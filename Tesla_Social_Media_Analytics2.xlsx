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pivotCache/pivotCacheDefinition7.xml" ContentType="application/vnd.openxmlformats-officedocument.spreadsheetml.pivotCacheDefinition+xml"/>
  <Override PartName="/xl/pivotCache/pivotCacheRecords7.xml" ContentType="application/vnd.openxmlformats-officedocument.spreadsheetml.pivotCacheRecords+xml"/>
  <Override PartName="/xl/pivotCache/pivotCacheDefinition8.xml" ContentType="application/vnd.openxmlformats-officedocument.spreadsheetml.pivotCacheDefinition+xml"/>
  <Override PartName="/xl/pivotCache/pivotCacheRecords8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2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tables/table3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tables/table4.xml" ContentType="application/vnd.openxmlformats-officedocument.spreadsheetml.table+xml"/>
  <Override PartName="/xl/queryTables/queryTable3.xml" ContentType="application/vnd.openxmlformats-officedocument.spreadsheetml.query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tables/table5.xml" ContentType="application/vnd.openxmlformats-officedocument.spreadsheetml.table+xml"/>
  <Override PartName="/xl/queryTables/queryTable4.xml" ContentType="application/vnd.openxmlformats-officedocument.spreadsheetml.query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11.xml" ContentType="application/vnd.openxmlformats-officedocument.spreadsheetml.pivotTable+xml"/>
  <Override PartName="/xl/tables/table6.xml" ContentType="application/vnd.openxmlformats-officedocument.spreadsheetml.table+xml"/>
  <Override PartName="/xl/queryTables/queryTable5.xml" ContentType="application/vnd.openxmlformats-officedocument.spreadsheetml.queryTab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tables/table7.xml" ContentType="application/vnd.openxmlformats-officedocument.spreadsheetml.table+xml"/>
  <Override PartName="/xl/queryTables/queryTable6.xml" ContentType="application/vnd.openxmlformats-officedocument.spreadsheetml.queryTable+xml"/>
  <Override PartName="/xl/tables/table8.xml" ContentType="application/vnd.openxmlformats-officedocument.spreadsheetml.table+xml"/>
  <Override PartName="/xl/queryTables/queryTable7.xml" ContentType="application/vnd.openxmlformats-officedocument.spreadsheetml.query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queryTables/queryTable8.xml" ContentType="application/vnd.openxmlformats-officedocument.spreadsheetml.queryTable+xml"/>
  <Override PartName="/xl/tables/table11.xml" ContentType="application/vnd.openxmlformats-officedocument.spreadsheetml.table+xml"/>
  <Override PartName="/xl/queryTables/queryTable9.xml" ContentType="application/vnd.openxmlformats-officedocument.spreadsheetml.queryTable+xml"/>
  <Override PartName="/xl/tables/table12.xml" ContentType="application/vnd.openxmlformats-officedocument.spreadsheetml.table+xml"/>
  <Override PartName="/xl/queryTables/queryTable10.xml" ContentType="application/vnd.openxmlformats-officedocument.spreadsheetml.queryTable+xml"/>
  <Override PartName="/xl/tables/table13.xml" ContentType="application/vnd.openxmlformats-officedocument.spreadsheetml.table+xml"/>
  <Override PartName="/xl/queryTables/queryTable11.xml" ContentType="application/vnd.openxmlformats-officedocument.spreadsheetml.queryTable+xml"/>
  <Override PartName="/xl/tables/table14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Internshala\Excel\"/>
    </mc:Choice>
  </mc:AlternateContent>
  <xr:revisionPtr revIDLastSave="0" documentId="13_ncr:1_{2BBCB7BE-408E-47A5-8698-1C45457BA983}" xr6:coauthVersionLast="47" xr6:coauthVersionMax="47" xr10:uidLastSave="{00000000-0000-0000-0000-000000000000}"/>
  <bookViews>
    <workbookView xWindow="-108" yWindow="-108" windowWidth="23256" windowHeight="12456" firstSheet="1" activeTab="1" xr2:uid="{00000000-000D-0000-FFFF-FFFF00000000}"/>
  </bookViews>
  <sheets>
    <sheet name="Table1" sheetId="4" state="hidden" r:id="rId1"/>
    <sheet name="Task 6" sheetId="21" r:id="rId2"/>
    <sheet name="Task 5.2" sheetId="19" r:id="rId3"/>
    <sheet name="Task 5" sheetId="18" r:id="rId4"/>
    <sheet name="Task 4.2" sheetId="17" r:id="rId5"/>
    <sheet name="Task 4" sheetId="15" r:id="rId6"/>
    <sheet name="Task 3" sheetId="14" r:id="rId7"/>
    <sheet name="Task2.3.2" sheetId="13" r:id="rId8"/>
    <sheet name="Task 2" sheetId="10" r:id="rId9"/>
    <sheet name="Task 1" sheetId="9" r:id="rId10"/>
    <sheet name="Sheet5" sheetId="20" r:id="rId11"/>
    <sheet name="Posts" sheetId="1" r:id="rId12"/>
    <sheet name="Engagement Summary" sheetId="2" r:id="rId13"/>
    <sheet name="Merge3" sheetId="8" state="hidden" r:id="rId14"/>
    <sheet name="Merge2" sheetId="7" state="hidden" r:id="rId15"/>
    <sheet name="Merge1" sheetId="6" state="hidden" r:id="rId16"/>
    <sheet name="Campaign Metadata (2)" sheetId="5" r:id="rId17"/>
    <sheet name="Campaign Metadata" sheetId="3" r:id="rId18"/>
  </sheets>
  <definedNames>
    <definedName name="_xlnm._FilterDatabase" localSheetId="1" hidden="1">'Task 6'!$R$1:$S$1</definedName>
    <definedName name="ExternalData_1" localSheetId="16" hidden="1">'Campaign Metadata (2)'!$A$1:$G$8</definedName>
    <definedName name="ExternalData_1" localSheetId="0" hidden="1">Table1!$A$1:$P$301</definedName>
    <definedName name="ExternalData_2" localSheetId="15" hidden="1">Merge1!$A$1:$Q$301</definedName>
    <definedName name="ExternalData_2" localSheetId="10" hidden="1">Sheet5!$A$1:$Q$301</definedName>
    <definedName name="ExternalData_2" localSheetId="9" hidden="1">'Task 1'!$A$1:$Q$301</definedName>
    <definedName name="ExternalData_3" localSheetId="14" hidden="1">Merge2!$A$1:$Q$301</definedName>
    <definedName name="ExternalData_3" localSheetId="3" hidden="1">'Task 5'!$A$1:$Q$301</definedName>
    <definedName name="ExternalData_3" localSheetId="2" hidden="1">'Task 5.2'!$A$1:$Q$301</definedName>
    <definedName name="ExternalData_3" localSheetId="7" hidden="1">Task2.3.2!$A$1:$O$340</definedName>
    <definedName name="ExternalData_4" localSheetId="13" hidden="1">Merge3!$A$1:$Q$301</definedName>
    <definedName name="ExternalData_4" localSheetId="4" hidden="1">'Task 4.2'!$A$1:$N$340</definedName>
  </definedNames>
  <calcPr calcId="191029"/>
  <pivotCaches>
    <pivotCache cacheId="0" r:id="rId19"/>
    <pivotCache cacheId="1" r:id="rId20"/>
    <pivotCache cacheId="2" r:id="rId21"/>
    <pivotCache cacheId="3" r:id="rId22"/>
    <pivotCache cacheId="4" r:id="rId23"/>
    <pivotCache cacheId="5" r:id="rId24"/>
    <pivotCache cacheId="6" r:id="rId25"/>
    <pivotCache cacheId="7" r:id="rId26"/>
  </pivotCaches>
</workbook>
</file>

<file path=xl/calcChain.xml><?xml version="1.0" encoding="utf-8"?>
<calcChain xmlns="http://schemas.openxmlformats.org/spreadsheetml/2006/main">
  <c r="T5" i="21" l="1"/>
  <c r="T6" i="21"/>
  <c r="T7" i="21"/>
  <c r="T8" i="21"/>
  <c r="T9" i="21"/>
  <c r="T10" i="21"/>
  <c r="T11" i="21"/>
  <c r="T12" i="21"/>
  <c r="T13" i="21"/>
  <c r="T14" i="21"/>
  <c r="T15" i="21"/>
  <c r="T16" i="21"/>
  <c r="T17" i="21"/>
  <c r="T18" i="21"/>
  <c r="T19" i="21"/>
  <c r="T20" i="21"/>
  <c r="T21" i="21"/>
  <c r="T22" i="21"/>
  <c r="T23" i="21"/>
  <c r="T24" i="21"/>
  <c r="T25" i="21"/>
  <c r="T26" i="21"/>
  <c r="T27" i="21"/>
  <c r="T28" i="21"/>
  <c r="T29" i="21"/>
  <c r="T30" i="21"/>
  <c r="T31" i="21"/>
  <c r="T32" i="21"/>
  <c r="T33" i="21"/>
  <c r="T34" i="21"/>
  <c r="T35" i="21"/>
  <c r="T36" i="21"/>
  <c r="T37" i="21"/>
  <c r="T38" i="21"/>
  <c r="T39" i="21"/>
  <c r="T40" i="21"/>
  <c r="T41" i="21"/>
  <c r="T42" i="21"/>
  <c r="T43" i="21"/>
  <c r="T44" i="21"/>
  <c r="T45" i="21"/>
  <c r="T46" i="21"/>
  <c r="T47" i="21"/>
  <c r="T48" i="21"/>
  <c r="T49" i="21"/>
  <c r="T50" i="21"/>
  <c r="T51" i="21"/>
  <c r="T4" i="21"/>
  <c r="I3" i="21"/>
  <c r="I4" i="21"/>
  <c r="I5" i="21"/>
  <c r="I6" i="21"/>
  <c r="I7" i="21"/>
  <c r="I8" i="21"/>
  <c r="I9" i="21"/>
  <c r="I10" i="21"/>
  <c r="I11" i="21"/>
  <c r="I12" i="21"/>
  <c r="I13" i="21"/>
  <c r="I14" i="21"/>
  <c r="I15" i="21"/>
  <c r="I16" i="21"/>
  <c r="I17" i="21"/>
  <c r="I18" i="21"/>
  <c r="I19" i="21"/>
  <c r="I20" i="21"/>
  <c r="I21" i="21"/>
  <c r="I22" i="21"/>
  <c r="I23" i="21"/>
  <c r="I24" i="21"/>
  <c r="I25" i="21"/>
  <c r="I26" i="21"/>
  <c r="I27" i="21"/>
  <c r="I28" i="21"/>
  <c r="I29" i="21"/>
  <c r="I30" i="21"/>
  <c r="I31" i="21"/>
  <c r="I32" i="21"/>
  <c r="I33" i="21"/>
  <c r="I34" i="21"/>
  <c r="I35" i="21"/>
  <c r="I36" i="21"/>
  <c r="I37" i="21"/>
  <c r="I38" i="21"/>
  <c r="I39" i="21"/>
  <c r="I40" i="21"/>
  <c r="I41" i="21"/>
  <c r="I42" i="21"/>
  <c r="I43" i="21"/>
  <c r="I44" i="21"/>
  <c r="I45" i="21"/>
  <c r="I46" i="21"/>
  <c r="I47" i="21"/>
  <c r="I48" i="21"/>
  <c r="I49" i="21"/>
  <c r="I50" i="21"/>
  <c r="I51" i="21"/>
  <c r="I52" i="21"/>
  <c r="I53" i="21"/>
  <c r="I54" i="21"/>
  <c r="I55" i="21"/>
  <c r="I56" i="21"/>
  <c r="I57" i="21"/>
  <c r="I58" i="21"/>
  <c r="I59" i="21"/>
  <c r="I60" i="21"/>
  <c r="I61" i="21"/>
  <c r="I62" i="21"/>
  <c r="I63" i="21"/>
  <c r="I64" i="21"/>
  <c r="I65" i="21"/>
  <c r="I66" i="21"/>
  <c r="I67" i="21"/>
  <c r="I68" i="21"/>
  <c r="I69" i="21"/>
  <c r="I70" i="21"/>
  <c r="I71" i="21"/>
  <c r="I72" i="21"/>
  <c r="I73" i="21"/>
  <c r="I74" i="21"/>
  <c r="I75" i="21"/>
  <c r="I76" i="21"/>
  <c r="I77" i="21"/>
  <c r="I78" i="21"/>
  <c r="I79" i="21"/>
  <c r="I80" i="21"/>
  <c r="I81" i="21"/>
  <c r="I82" i="21"/>
  <c r="I83" i="21"/>
  <c r="I84" i="21"/>
  <c r="I85" i="21"/>
  <c r="I86" i="21"/>
  <c r="I87" i="21"/>
  <c r="I88" i="21"/>
  <c r="I89" i="21"/>
  <c r="I90" i="21"/>
  <c r="I91" i="21"/>
  <c r="I92" i="21"/>
  <c r="I93" i="21"/>
  <c r="I94" i="21"/>
  <c r="I95" i="21"/>
  <c r="I96" i="21"/>
  <c r="I97" i="21"/>
  <c r="I98" i="21"/>
  <c r="I99" i="21"/>
  <c r="I100" i="21"/>
  <c r="I101" i="21"/>
  <c r="I102" i="21"/>
  <c r="I103" i="21"/>
  <c r="I104" i="21"/>
  <c r="I105" i="21"/>
  <c r="I106" i="21"/>
  <c r="I107" i="21"/>
  <c r="I108" i="21"/>
  <c r="I109" i="21"/>
  <c r="I110" i="21"/>
  <c r="I111" i="21"/>
  <c r="I112" i="21"/>
  <c r="I113" i="21"/>
  <c r="I114" i="21"/>
  <c r="I115" i="21"/>
  <c r="I116" i="21"/>
  <c r="I117" i="21"/>
  <c r="I118" i="21"/>
  <c r="I119" i="21"/>
  <c r="I120" i="21"/>
  <c r="I121" i="21"/>
  <c r="I122" i="21"/>
  <c r="I123" i="21"/>
  <c r="I124" i="21"/>
  <c r="I125" i="21"/>
  <c r="I126" i="21"/>
  <c r="I127" i="21"/>
  <c r="I128" i="21"/>
  <c r="I129" i="21"/>
  <c r="I130" i="21"/>
  <c r="I131" i="21"/>
  <c r="I132" i="21"/>
  <c r="I133" i="21"/>
  <c r="I134" i="21"/>
  <c r="I135" i="21"/>
  <c r="I136" i="21"/>
  <c r="I137" i="21"/>
  <c r="I138" i="21"/>
  <c r="I139" i="21"/>
  <c r="I140" i="21"/>
  <c r="I141" i="21"/>
  <c r="I142" i="21"/>
  <c r="I143" i="21"/>
  <c r="I144" i="21"/>
  <c r="I145" i="21"/>
  <c r="I146" i="21"/>
  <c r="I147" i="21"/>
  <c r="I148" i="21"/>
  <c r="I149" i="21"/>
  <c r="I150" i="21"/>
  <c r="I151" i="21"/>
  <c r="I152" i="21"/>
  <c r="I153" i="21"/>
  <c r="I154" i="21"/>
  <c r="I155" i="21"/>
  <c r="I156" i="21"/>
  <c r="I157" i="21"/>
  <c r="I158" i="21"/>
  <c r="I159" i="21"/>
  <c r="I160" i="21"/>
  <c r="I161" i="21"/>
  <c r="I162" i="21"/>
  <c r="I163" i="21"/>
  <c r="I164" i="21"/>
  <c r="I165" i="21"/>
  <c r="I166" i="21"/>
  <c r="I167" i="21"/>
  <c r="I168" i="21"/>
  <c r="I169" i="21"/>
  <c r="I170" i="21"/>
  <c r="I171" i="21"/>
  <c r="I172" i="21"/>
  <c r="I173" i="21"/>
  <c r="I174" i="21"/>
  <c r="I175" i="21"/>
  <c r="I176" i="21"/>
  <c r="I177" i="21"/>
  <c r="I178" i="21"/>
  <c r="I179" i="21"/>
  <c r="I180" i="21"/>
  <c r="I181" i="21"/>
  <c r="I182" i="21"/>
  <c r="I183" i="21"/>
  <c r="I184" i="21"/>
  <c r="I185" i="21"/>
  <c r="I186" i="21"/>
  <c r="I187" i="21"/>
  <c r="I188" i="21"/>
  <c r="I189" i="21"/>
  <c r="I190" i="21"/>
  <c r="I191" i="21"/>
  <c r="I192" i="21"/>
  <c r="I193" i="21"/>
  <c r="I194" i="21"/>
  <c r="I195" i="21"/>
  <c r="I196" i="21"/>
  <c r="I197" i="21"/>
  <c r="I198" i="21"/>
  <c r="I199" i="21"/>
  <c r="I200" i="21"/>
  <c r="I201" i="21"/>
  <c r="I2" i="21"/>
  <c r="H201" i="21"/>
  <c r="H200" i="21"/>
  <c r="H199" i="21"/>
  <c r="H198" i="21"/>
  <c r="H197" i="21"/>
  <c r="H196" i="21"/>
  <c r="H195" i="21"/>
  <c r="H194" i="21"/>
  <c r="H193" i="21"/>
  <c r="H192" i="21"/>
  <c r="H191" i="21"/>
  <c r="H190" i="21"/>
  <c r="H189" i="21"/>
  <c r="H188" i="21"/>
  <c r="H187" i="21"/>
  <c r="H186" i="21"/>
  <c r="H185" i="21"/>
  <c r="H184" i="21"/>
  <c r="H183" i="21"/>
  <c r="H182" i="21"/>
  <c r="H181" i="21"/>
  <c r="H180" i="21"/>
  <c r="H179" i="21"/>
  <c r="H178" i="21"/>
  <c r="H177" i="21"/>
  <c r="H176" i="21"/>
  <c r="H175" i="21"/>
  <c r="H174" i="21"/>
  <c r="H173" i="21"/>
  <c r="H172" i="21"/>
  <c r="H171" i="21"/>
  <c r="H170" i="21"/>
  <c r="H169" i="21"/>
  <c r="H168" i="21"/>
  <c r="H167" i="21"/>
  <c r="H166" i="21"/>
  <c r="H165" i="21"/>
  <c r="H164" i="21"/>
  <c r="H163" i="21"/>
  <c r="H162" i="21"/>
  <c r="H161" i="21"/>
  <c r="H160" i="21"/>
  <c r="H159" i="21"/>
  <c r="H158" i="21"/>
  <c r="H157" i="21"/>
  <c r="H156" i="21"/>
  <c r="H155" i="21"/>
  <c r="H154" i="21"/>
  <c r="H153" i="21"/>
  <c r="H152" i="21"/>
  <c r="H151" i="21"/>
  <c r="H150" i="21"/>
  <c r="H149" i="21"/>
  <c r="H148" i="21"/>
  <c r="H147" i="21"/>
  <c r="H146" i="21"/>
  <c r="H145" i="21"/>
  <c r="H144" i="21"/>
  <c r="H143" i="21"/>
  <c r="H142" i="21"/>
  <c r="H141" i="21"/>
  <c r="H140" i="21"/>
  <c r="H139" i="21"/>
  <c r="H138" i="21"/>
  <c r="H137" i="21"/>
  <c r="H136" i="21"/>
  <c r="H135" i="21"/>
  <c r="H134" i="21"/>
  <c r="H133" i="21"/>
  <c r="H132" i="21"/>
  <c r="H131" i="21"/>
  <c r="H130" i="21"/>
  <c r="H129" i="21"/>
  <c r="H128" i="21"/>
  <c r="H127" i="21"/>
  <c r="H126" i="21"/>
  <c r="H125" i="21"/>
  <c r="H124" i="21"/>
  <c r="H123" i="21"/>
  <c r="H122" i="21"/>
  <c r="H121" i="21"/>
  <c r="H120" i="21"/>
  <c r="H119" i="21"/>
  <c r="H118" i="21"/>
  <c r="H117" i="21"/>
  <c r="H116" i="21"/>
  <c r="H115" i="21"/>
  <c r="H114" i="21"/>
  <c r="H113" i="21"/>
  <c r="H112" i="21"/>
  <c r="H111" i="21"/>
  <c r="H110" i="21"/>
  <c r="H109" i="21"/>
  <c r="H108" i="21"/>
  <c r="H107" i="21"/>
  <c r="H106" i="21"/>
  <c r="H105" i="21"/>
  <c r="H104" i="21"/>
  <c r="H103" i="21"/>
  <c r="H102" i="21"/>
  <c r="H101" i="21"/>
  <c r="H100" i="21"/>
  <c r="H99" i="21"/>
  <c r="H98" i="21"/>
  <c r="H97" i="21"/>
  <c r="H96" i="21"/>
  <c r="H95" i="21"/>
  <c r="H94" i="21"/>
  <c r="H93" i="21"/>
  <c r="H92" i="21"/>
  <c r="H91" i="21"/>
  <c r="H90" i="21"/>
  <c r="H89" i="21"/>
  <c r="H88" i="21"/>
  <c r="H87" i="21"/>
  <c r="H86" i="21"/>
  <c r="H85" i="21"/>
  <c r="H84" i="21"/>
  <c r="H83" i="21"/>
  <c r="H82" i="21"/>
  <c r="H81" i="21"/>
  <c r="H80" i="21"/>
  <c r="H79" i="21"/>
  <c r="H78" i="21"/>
  <c r="H77" i="21"/>
  <c r="H76" i="21"/>
  <c r="H75" i="21"/>
  <c r="H74" i="21"/>
  <c r="H73" i="21"/>
  <c r="H72" i="21"/>
  <c r="H71" i="21"/>
  <c r="H70" i="21"/>
  <c r="H69" i="21"/>
  <c r="H68" i="21"/>
  <c r="H67" i="21"/>
  <c r="H66" i="21"/>
  <c r="H65" i="21"/>
  <c r="H64" i="21"/>
  <c r="H63" i="21"/>
  <c r="H62" i="21"/>
  <c r="H61" i="21"/>
  <c r="H60" i="21"/>
  <c r="H59" i="21"/>
  <c r="H58" i="21"/>
  <c r="H57" i="21"/>
  <c r="H56" i="21"/>
  <c r="H55" i="21"/>
  <c r="H54" i="21"/>
  <c r="H53" i="21"/>
  <c r="H52" i="21"/>
  <c r="H51" i="21"/>
  <c r="H50" i="21"/>
  <c r="H49" i="21"/>
  <c r="H48" i="21"/>
  <c r="H47" i="21"/>
  <c r="H46" i="21"/>
  <c r="H45" i="21"/>
  <c r="H44" i="21"/>
  <c r="H43" i="21"/>
  <c r="H42" i="21"/>
  <c r="H41" i="21"/>
  <c r="H40" i="21"/>
  <c r="H39" i="21"/>
  <c r="H38" i="21"/>
  <c r="H37" i="21"/>
  <c r="H36" i="21"/>
  <c r="H35" i="21"/>
  <c r="H34" i="21"/>
  <c r="H33" i="21"/>
  <c r="H32" i="21"/>
  <c r="H31" i="21"/>
  <c r="H30" i="21"/>
  <c r="H29" i="21"/>
  <c r="H28" i="21"/>
  <c r="H27" i="21"/>
  <c r="H26" i="21"/>
  <c r="H25" i="21"/>
  <c r="H24" i="21"/>
  <c r="H23" i="21"/>
  <c r="H22" i="21"/>
  <c r="H21" i="21"/>
  <c r="H20" i="21"/>
  <c r="H19" i="21"/>
  <c r="H18" i="21"/>
  <c r="H17" i="21"/>
  <c r="H16" i="21"/>
  <c r="H15" i="21"/>
  <c r="H14" i="21"/>
  <c r="H13" i="21"/>
  <c r="H12" i="21"/>
  <c r="H11" i="21"/>
  <c r="H10" i="21"/>
  <c r="H9" i="21"/>
  <c r="H8" i="21"/>
  <c r="H7" i="21"/>
  <c r="H6" i="21"/>
  <c r="H5" i="21"/>
  <c r="H4" i="21"/>
  <c r="H3" i="21"/>
  <c r="H2" i="21"/>
  <c r="AF4" i="19"/>
  <c r="AG4" i="19" s="1"/>
  <c r="AF5" i="19"/>
  <c r="AG5" i="19" s="1"/>
  <c r="AF6" i="19"/>
  <c r="AG6" i="19" s="1"/>
  <c r="AF3" i="19"/>
  <c r="R2" i="19"/>
  <c r="R3" i="19"/>
  <c r="R4" i="19"/>
  <c r="R5" i="19"/>
  <c r="R6" i="19"/>
  <c r="R7" i="19"/>
  <c r="R8" i="19"/>
  <c r="R9" i="19"/>
  <c r="R10" i="19"/>
  <c r="R11" i="19"/>
  <c r="R12" i="19"/>
  <c r="R13" i="19"/>
  <c r="R14" i="19"/>
  <c r="R15" i="19"/>
  <c r="R16" i="19"/>
  <c r="R17" i="19"/>
  <c r="R18" i="19"/>
  <c r="R19" i="19"/>
  <c r="R20" i="19"/>
  <c r="R21" i="19"/>
  <c r="R22" i="19"/>
  <c r="R23" i="19"/>
  <c r="R24" i="19"/>
  <c r="R25" i="19"/>
  <c r="R26" i="19"/>
  <c r="R27" i="19"/>
  <c r="R28" i="19"/>
  <c r="R29" i="19"/>
  <c r="R30" i="19"/>
  <c r="R31" i="19"/>
  <c r="R32" i="19"/>
  <c r="R33" i="19"/>
  <c r="R34" i="19"/>
  <c r="R35" i="19"/>
  <c r="R36" i="19"/>
  <c r="R37" i="19"/>
  <c r="R38" i="19"/>
  <c r="R39" i="19"/>
  <c r="R40" i="19"/>
  <c r="R41" i="19"/>
  <c r="R42" i="19"/>
  <c r="R43" i="19"/>
  <c r="R44" i="19"/>
  <c r="R45" i="19"/>
  <c r="R46" i="19"/>
  <c r="R47" i="19"/>
  <c r="R48" i="19"/>
  <c r="R49" i="19"/>
  <c r="R50" i="19"/>
  <c r="R51" i="19"/>
  <c r="R52" i="19"/>
  <c r="R53" i="19"/>
  <c r="R54" i="19"/>
  <c r="R55" i="19"/>
  <c r="R56" i="19"/>
  <c r="R57" i="19"/>
  <c r="R58" i="19"/>
  <c r="R59" i="19"/>
  <c r="R60" i="19"/>
  <c r="R61" i="19"/>
  <c r="R62" i="19"/>
  <c r="R63" i="19"/>
  <c r="R64" i="19"/>
  <c r="R65" i="19"/>
  <c r="R66" i="19"/>
  <c r="R67" i="19"/>
  <c r="R68" i="19"/>
  <c r="R69" i="19"/>
  <c r="R70" i="19"/>
  <c r="R71" i="19"/>
  <c r="R72" i="19"/>
  <c r="R73" i="19"/>
  <c r="R74" i="19"/>
  <c r="R75" i="19"/>
  <c r="R76" i="19"/>
  <c r="R77" i="19"/>
  <c r="R78" i="19"/>
  <c r="R79" i="19"/>
  <c r="R80" i="19"/>
  <c r="R81" i="19"/>
  <c r="R82" i="19"/>
  <c r="R83" i="19"/>
  <c r="R84" i="19"/>
  <c r="R85" i="19"/>
  <c r="R86" i="19"/>
  <c r="R87" i="19"/>
  <c r="R88" i="19"/>
  <c r="R89" i="19"/>
  <c r="R90" i="19"/>
  <c r="R91" i="19"/>
  <c r="R92" i="19"/>
  <c r="R93" i="19"/>
  <c r="R94" i="19"/>
  <c r="R95" i="19"/>
  <c r="R96" i="19"/>
  <c r="R97" i="19"/>
  <c r="R98" i="19"/>
  <c r="R99" i="19"/>
  <c r="R100" i="19"/>
  <c r="R101" i="19"/>
  <c r="R102" i="19"/>
  <c r="R103" i="19"/>
  <c r="R104" i="19"/>
  <c r="R105" i="19"/>
  <c r="R106" i="19"/>
  <c r="R107" i="19"/>
  <c r="R108" i="19"/>
  <c r="R109" i="19"/>
  <c r="R110" i="19"/>
  <c r="R111" i="19"/>
  <c r="R112" i="19"/>
  <c r="R113" i="19"/>
  <c r="R114" i="19"/>
  <c r="R115" i="19"/>
  <c r="R116" i="19"/>
  <c r="R117" i="19"/>
  <c r="R118" i="19"/>
  <c r="R119" i="19"/>
  <c r="R120" i="19"/>
  <c r="R121" i="19"/>
  <c r="R122" i="19"/>
  <c r="R123" i="19"/>
  <c r="R124" i="19"/>
  <c r="R125" i="19"/>
  <c r="R126" i="19"/>
  <c r="R127" i="19"/>
  <c r="R128" i="19"/>
  <c r="R129" i="19"/>
  <c r="R130" i="19"/>
  <c r="R131" i="19"/>
  <c r="R132" i="19"/>
  <c r="R133" i="19"/>
  <c r="R134" i="19"/>
  <c r="R135" i="19"/>
  <c r="R136" i="19"/>
  <c r="R137" i="19"/>
  <c r="R138" i="19"/>
  <c r="R139" i="19"/>
  <c r="R140" i="19"/>
  <c r="R141" i="19"/>
  <c r="R142" i="19"/>
  <c r="R143" i="19"/>
  <c r="R144" i="19"/>
  <c r="R145" i="19"/>
  <c r="R146" i="19"/>
  <c r="R147" i="19"/>
  <c r="R148" i="19"/>
  <c r="R149" i="19"/>
  <c r="R150" i="19"/>
  <c r="R151" i="19"/>
  <c r="R152" i="19"/>
  <c r="R153" i="19"/>
  <c r="R154" i="19"/>
  <c r="R155" i="19"/>
  <c r="R156" i="19"/>
  <c r="R157" i="19"/>
  <c r="R158" i="19"/>
  <c r="R159" i="19"/>
  <c r="R160" i="19"/>
  <c r="R161" i="19"/>
  <c r="R162" i="19"/>
  <c r="R163" i="19"/>
  <c r="R164" i="19"/>
  <c r="R165" i="19"/>
  <c r="R166" i="19"/>
  <c r="R167" i="19"/>
  <c r="R168" i="19"/>
  <c r="R169" i="19"/>
  <c r="R170" i="19"/>
  <c r="R171" i="19"/>
  <c r="R172" i="19"/>
  <c r="R173" i="19"/>
  <c r="R174" i="19"/>
  <c r="R175" i="19"/>
  <c r="R176" i="19"/>
  <c r="R177" i="19"/>
  <c r="R178" i="19"/>
  <c r="R179" i="19"/>
  <c r="R180" i="19"/>
  <c r="R181" i="19"/>
  <c r="R182" i="19"/>
  <c r="R183" i="19"/>
  <c r="R184" i="19"/>
  <c r="R185" i="19"/>
  <c r="R186" i="19"/>
  <c r="R187" i="19"/>
  <c r="R188" i="19"/>
  <c r="R189" i="19"/>
  <c r="R190" i="19"/>
  <c r="R191" i="19"/>
  <c r="R192" i="19"/>
  <c r="R193" i="19"/>
  <c r="R194" i="19"/>
  <c r="R195" i="19"/>
  <c r="R196" i="19"/>
  <c r="R197" i="19"/>
  <c r="R198" i="19"/>
  <c r="R199" i="19"/>
  <c r="R200" i="19"/>
  <c r="R201" i="19"/>
  <c r="R202" i="19"/>
  <c r="R203" i="19"/>
  <c r="R204" i="19"/>
  <c r="R205" i="19"/>
  <c r="R206" i="19"/>
  <c r="R207" i="19"/>
  <c r="R208" i="19"/>
  <c r="R209" i="19"/>
  <c r="R210" i="19"/>
  <c r="R211" i="19"/>
  <c r="R212" i="19"/>
  <c r="R213" i="19"/>
  <c r="R214" i="19"/>
  <c r="R215" i="19"/>
  <c r="R216" i="19"/>
  <c r="R217" i="19"/>
  <c r="R218" i="19"/>
  <c r="R219" i="19"/>
  <c r="R220" i="19"/>
  <c r="R221" i="19"/>
  <c r="R222" i="19"/>
  <c r="R223" i="19"/>
  <c r="R224" i="19"/>
  <c r="R225" i="19"/>
  <c r="R226" i="19"/>
  <c r="R227" i="19"/>
  <c r="R228" i="19"/>
  <c r="R229" i="19"/>
  <c r="R230" i="19"/>
  <c r="R231" i="19"/>
  <c r="R232" i="19"/>
  <c r="R233" i="19"/>
  <c r="R234" i="19"/>
  <c r="R235" i="19"/>
  <c r="R236" i="19"/>
  <c r="R237" i="19"/>
  <c r="R238" i="19"/>
  <c r="R239" i="19"/>
  <c r="R240" i="19"/>
  <c r="R241" i="19"/>
  <c r="R242" i="19"/>
  <c r="R243" i="19"/>
  <c r="R244" i="19"/>
  <c r="R245" i="19"/>
  <c r="R246" i="19"/>
  <c r="R247" i="19"/>
  <c r="R248" i="19"/>
  <c r="R249" i="19"/>
  <c r="R250" i="19"/>
  <c r="R251" i="19"/>
  <c r="R252" i="19"/>
  <c r="R253" i="19"/>
  <c r="R254" i="19"/>
  <c r="R255" i="19"/>
  <c r="R256" i="19"/>
  <c r="R257" i="19"/>
  <c r="R258" i="19"/>
  <c r="R259" i="19"/>
  <c r="R260" i="19"/>
  <c r="R261" i="19"/>
  <c r="R262" i="19"/>
  <c r="R263" i="19"/>
  <c r="R264" i="19"/>
  <c r="R265" i="19"/>
  <c r="R266" i="19"/>
  <c r="R267" i="19"/>
  <c r="R268" i="19"/>
  <c r="R269" i="19"/>
  <c r="R270" i="19"/>
  <c r="R271" i="19"/>
  <c r="R272" i="19"/>
  <c r="R273" i="19"/>
  <c r="R274" i="19"/>
  <c r="R275" i="19"/>
  <c r="R276" i="19"/>
  <c r="R277" i="19"/>
  <c r="R278" i="19"/>
  <c r="R279" i="19"/>
  <c r="R280" i="19"/>
  <c r="R281" i="19"/>
  <c r="R282" i="19"/>
  <c r="R283" i="19"/>
  <c r="R284" i="19"/>
  <c r="R285" i="19"/>
  <c r="R286" i="19"/>
  <c r="R287" i="19"/>
  <c r="R288" i="19"/>
  <c r="R289" i="19"/>
  <c r="R290" i="19"/>
  <c r="R291" i="19"/>
  <c r="R292" i="19"/>
  <c r="R293" i="19"/>
  <c r="R294" i="19"/>
  <c r="R295" i="19"/>
  <c r="R296" i="19"/>
  <c r="R297" i="19"/>
  <c r="R298" i="19"/>
  <c r="R299" i="19"/>
  <c r="R300" i="19"/>
  <c r="R301" i="19"/>
  <c r="Q301" i="19"/>
  <c r="Q300" i="19"/>
  <c r="Q299" i="19"/>
  <c r="Q298" i="19"/>
  <c r="Q297" i="19"/>
  <c r="Q296" i="19"/>
  <c r="Q295" i="19"/>
  <c r="Q294" i="19"/>
  <c r="Q293" i="19"/>
  <c r="Q292" i="19"/>
  <c r="Q291" i="19"/>
  <c r="Q290" i="19"/>
  <c r="Q289" i="19"/>
  <c r="Q288" i="19"/>
  <c r="Q287" i="19"/>
  <c r="Q286" i="19"/>
  <c r="Q285" i="19"/>
  <c r="Q284" i="19"/>
  <c r="Q283" i="19"/>
  <c r="Q282" i="19"/>
  <c r="Q281" i="19"/>
  <c r="Q280" i="19"/>
  <c r="Q279" i="19"/>
  <c r="Q278" i="19"/>
  <c r="Q277" i="19"/>
  <c r="Q276" i="19"/>
  <c r="Q275" i="19"/>
  <c r="Q274" i="19"/>
  <c r="Q273" i="19"/>
  <c r="Q272" i="19"/>
  <c r="Q271" i="19"/>
  <c r="Q270" i="19"/>
  <c r="Q269" i="19"/>
  <c r="Q268" i="19"/>
  <c r="Q267" i="19"/>
  <c r="Q266" i="19"/>
  <c r="Q265" i="19"/>
  <c r="Q264" i="19"/>
  <c r="Q263" i="19"/>
  <c r="Q262" i="19"/>
  <c r="Q261" i="19"/>
  <c r="Q260" i="19"/>
  <c r="Q259" i="19"/>
  <c r="Q258" i="19"/>
  <c r="Q257" i="19"/>
  <c r="Q256" i="19"/>
  <c r="Q255" i="19"/>
  <c r="Q254" i="19"/>
  <c r="Q253" i="19"/>
  <c r="Q252" i="19"/>
  <c r="Q251" i="19"/>
  <c r="Q250" i="19"/>
  <c r="Q249" i="19"/>
  <c r="Q248" i="19"/>
  <c r="Q247" i="19"/>
  <c r="Q246" i="19"/>
  <c r="Q245" i="19"/>
  <c r="Q244" i="19"/>
  <c r="Q243" i="19"/>
  <c r="Q242" i="19"/>
  <c r="Q241" i="19"/>
  <c r="Q240" i="19"/>
  <c r="Q239" i="19"/>
  <c r="Q238" i="19"/>
  <c r="Q237" i="19"/>
  <c r="Q236" i="19"/>
  <c r="Q235" i="19"/>
  <c r="Q234" i="19"/>
  <c r="Q233" i="19"/>
  <c r="Q232" i="19"/>
  <c r="Q231" i="19"/>
  <c r="Q230" i="19"/>
  <c r="Q229" i="19"/>
  <c r="Q228" i="19"/>
  <c r="Q227" i="19"/>
  <c r="Q226" i="19"/>
  <c r="Q225" i="19"/>
  <c r="Q224" i="19"/>
  <c r="Q223" i="19"/>
  <c r="Q222" i="19"/>
  <c r="Q221" i="19"/>
  <c r="Q220" i="19"/>
  <c r="Q219" i="19"/>
  <c r="Q218" i="19"/>
  <c r="Q217" i="19"/>
  <c r="Q216" i="19"/>
  <c r="Q215" i="19"/>
  <c r="Q214" i="19"/>
  <c r="Q213" i="19"/>
  <c r="Q212" i="19"/>
  <c r="Q211" i="19"/>
  <c r="Q210" i="19"/>
  <c r="Q209" i="19"/>
  <c r="Q208" i="19"/>
  <c r="Q207" i="19"/>
  <c r="Q206" i="19"/>
  <c r="Q205" i="19"/>
  <c r="Q204" i="19"/>
  <c r="Q203" i="19"/>
  <c r="Q202" i="19"/>
  <c r="Q201" i="19"/>
  <c r="Q200" i="19"/>
  <c r="Q199" i="19"/>
  <c r="Q198" i="19"/>
  <c r="Q197" i="19"/>
  <c r="Q196" i="19"/>
  <c r="Q195" i="19"/>
  <c r="Q194" i="19"/>
  <c r="Q193" i="19"/>
  <c r="Q192" i="19"/>
  <c r="Q191" i="19"/>
  <c r="Q190" i="19"/>
  <c r="Q189" i="19"/>
  <c r="Q188" i="19"/>
  <c r="Q187" i="19"/>
  <c r="Q186" i="19"/>
  <c r="Q185" i="19"/>
  <c r="Q184" i="19"/>
  <c r="Q183" i="19"/>
  <c r="Q182" i="19"/>
  <c r="Q181" i="19"/>
  <c r="Q180" i="19"/>
  <c r="Q179" i="19"/>
  <c r="Q178" i="19"/>
  <c r="Q177" i="19"/>
  <c r="Q176" i="19"/>
  <c r="Q175" i="19"/>
  <c r="Q174" i="19"/>
  <c r="Q173" i="19"/>
  <c r="Q172" i="19"/>
  <c r="Q171" i="19"/>
  <c r="Q170" i="19"/>
  <c r="Q169" i="19"/>
  <c r="Q168" i="19"/>
  <c r="Q167" i="19"/>
  <c r="Q166" i="19"/>
  <c r="Q165" i="19"/>
  <c r="Q164" i="19"/>
  <c r="Q163" i="19"/>
  <c r="Q162" i="19"/>
  <c r="Q161" i="19"/>
  <c r="Q160" i="19"/>
  <c r="Q159" i="19"/>
  <c r="Q158" i="19"/>
  <c r="Q157" i="19"/>
  <c r="Q156" i="19"/>
  <c r="Q155" i="19"/>
  <c r="Q154" i="19"/>
  <c r="Q153" i="19"/>
  <c r="Q152" i="19"/>
  <c r="Q151" i="19"/>
  <c r="Q150" i="19"/>
  <c r="Q149" i="19"/>
  <c r="Q148" i="19"/>
  <c r="Q147" i="19"/>
  <c r="Q146" i="19"/>
  <c r="Q145" i="19"/>
  <c r="Q144" i="19"/>
  <c r="Q143" i="19"/>
  <c r="Q142" i="19"/>
  <c r="Q141" i="19"/>
  <c r="Q140" i="19"/>
  <c r="Q139" i="19"/>
  <c r="Q138" i="19"/>
  <c r="Q137" i="19"/>
  <c r="Q136" i="19"/>
  <c r="Q135" i="19"/>
  <c r="Q134" i="19"/>
  <c r="Q133" i="19"/>
  <c r="Q132" i="19"/>
  <c r="Q131" i="19"/>
  <c r="Q130" i="19"/>
  <c r="Q129" i="19"/>
  <c r="Q128" i="19"/>
  <c r="Q127" i="19"/>
  <c r="Q126" i="19"/>
  <c r="Q125" i="19"/>
  <c r="Q124" i="19"/>
  <c r="Q123" i="19"/>
  <c r="Q122" i="19"/>
  <c r="Q121" i="19"/>
  <c r="Q120" i="19"/>
  <c r="Q119" i="19"/>
  <c r="Q118" i="19"/>
  <c r="Q117" i="19"/>
  <c r="Q116" i="19"/>
  <c r="Q115" i="19"/>
  <c r="Q114" i="19"/>
  <c r="Q113" i="19"/>
  <c r="Q112" i="19"/>
  <c r="Q111" i="19"/>
  <c r="Q110" i="19"/>
  <c r="Q109" i="19"/>
  <c r="Q108" i="19"/>
  <c r="Q107" i="19"/>
  <c r="Q106" i="19"/>
  <c r="Q105" i="19"/>
  <c r="Q104" i="19"/>
  <c r="Q103" i="19"/>
  <c r="Q102" i="19"/>
  <c r="Q101" i="19"/>
  <c r="Q100" i="19"/>
  <c r="Q99" i="19"/>
  <c r="Q98" i="19"/>
  <c r="Q97" i="19"/>
  <c r="Q96" i="19"/>
  <c r="Q95" i="19"/>
  <c r="Q94" i="19"/>
  <c r="Q93" i="19"/>
  <c r="Q92" i="19"/>
  <c r="Q91" i="19"/>
  <c r="Q90" i="19"/>
  <c r="Q89" i="19"/>
  <c r="Q88" i="19"/>
  <c r="Q87" i="19"/>
  <c r="Q86" i="19"/>
  <c r="Q85" i="19"/>
  <c r="Q84" i="19"/>
  <c r="Q83" i="19"/>
  <c r="Q82" i="19"/>
  <c r="Q81" i="19"/>
  <c r="Q80" i="19"/>
  <c r="Q79" i="19"/>
  <c r="Q78" i="19"/>
  <c r="Q77" i="19"/>
  <c r="Q76" i="19"/>
  <c r="Q75" i="19"/>
  <c r="Q74" i="19"/>
  <c r="Q73" i="19"/>
  <c r="Q72" i="19"/>
  <c r="Q71" i="19"/>
  <c r="Q70" i="19"/>
  <c r="Q69" i="19"/>
  <c r="Q68" i="19"/>
  <c r="Q67" i="19"/>
  <c r="Q66" i="19"/>
  <c r="Q65" i="19"/>
  <c r="Q64" i="19"/>
  <c r="Q63" i="19"/>
  <c r="Q62" i="19"/>
  <c r="Q61" i="19"/>
  <c r="Q60" i="19"/>
  <c r="Q59" i="19"/>
  <c r="Q58" i="19"/>
  <c r="Q57" i="19"/>
  <c r="Q56" i="19"/>
  <c r="Q55" i="19"/>
  <c r="Q54" i="19"/>
  <c r="Q53" i="19"/>
  <c r="Q52" i="19"/>
  <c r="Q51" i="19"/>
  <c r="Q50" i="19"/>
  <c r="Q49" i="19"/>
  <c r="Q48" i="19"/>
  <c r="Q47" i="19"/>
  <c r="Q46" i="19"/>
  <c r="Q45" i="19"/>
  <c r="Q44" i="19"/>
  <c r="Q43" i="19"/>
  <c r="Q42" i="19"/>
  <c r="Q41" i="19"/>
  <c r="Q40" i="19"/>
  <c r="Q39" i="19"/>
  <c r="Q38" i="19"/>
  <c r="Q37" i="19"/>
  <c r="Q36" i="19"/>
  <c r="Q35" i="19"/>
  <c r="Q34" i="19"/>
  <c r="Q33" i="19"/>
  <c r="Q32" i="19"/>
  <c r="Q31" i="19"/>
  <c r="Q30" i="19"/>
  <c r="Q29" i="19"/>
  <c r="Q28" i="19"/>
  <c r="Q27" i="19"/>
  <c r="Q26" i="19"/>
  <c r="Q25" i="19"/>
  <c r="Q24" i="19"/>
  <c r="Q23" i="19"/>
  <c r="Q22" i="19"/>
  <c r="Q21" i="19"/>
  <c r="Q20" i="19"/>
  <c r="Q19" i="19"/>
  <c r="Q18" i="19"/>
  <c r="Q17" i="19"/>
  <c r="Q16" i="19"/>
  <c r="Q15" i="19"/>
  <c r="Q14" i="19"/>
  <c r="Q13" i="19"/>
  <c r="Q12" i="19"/>
  <c r="Q11" i="19"/>
  <c r="Q10" i="19"/>
  <c r="Q9" i="19"/>
  <c r="Q8" i="19"/>
  <c r="Q7" i="19"/>
  <c r="Q6" i="19"/>
  <c r="Q5" i="19"/>
  <c r="Q4" i="19"/>
  <c r="Q3" i="19"/>
  <c r="Q2" i="19"/>
  <c r="R2" i="18"/>
  <c r="R3" i="18"/>
  <c r="R4" i="18"/>
  <c r="R5" i="18"/>
  <c r="R6" i="18"/>
  <c r="R7" i="18"/>
  <c r="R8" i="18"/>
  <c r="R9" i="18"/>
  <c r="R10" i="18"/>
  <c r="R11" i="18"/>
  <c r="R12" i="18"/>
  <c r="R13" i="18"/>
  <c r="R14" i="18"/>
  <c r="R15" i="18"/>
  <c r="R16" i="18"/>
  <c r="R17" i="18"/>
  <c r="R18" i="18"/>
  <c r="R19" i="18"/>
  <c r="R20" i="18"/>
  <c r="R21" i="18"/>
  <c r="R22" i="18"/>
  <c r="R23" i="18"/>
  <c r="R24" i="18"/>
  <c r="R25" i="18"/>
  <c r="R26" i="18"/>
  <c r="R27" i="18"/>
  <c r="R28" i="18"/>
  <c r="R29" i="18"/>
  <c r="R30" i="18"/>
  <c r="R31" i="18"/>
  <c r="R32" i="18"/>
  <c r="R33" i="18"/>
  <c r="R34" i="18"/>
  <c r="R35" i="18"/>
  <c r="R36" i="18"/>
  <c r="R37" i="18"/>
  <c r="R38" i="18"/>
  <c r="R39" i="18"/>
  <c r="R40" i="18"/>
  <c r="R41" i="18"/>
  <c r="R42" i="18"/>
  <c r="R43" i="18"/>
  <c r="R44" i="18"/>
  <c r="R45" i="18"/>
  <c r="R46" i="18"/>
  <c r="R47" i="18"/>
  <c r="R48" i="18"/>
  <c r="R49" i="18"/>
  <c r="R50" i="18"/>
  <c r="R51" i="18"/>
  <c r="R52" i="18"/>
  <c r="R53" i="18"/>
  <c r="R54" i="18"/>
  <c r="R55" i="18"/>
  <c r="R56" i="18"/>
  <c r="R57" i="18"/>
  <c r="R58" i="18"/>
  <c r="R59" i="18"/>
  <c r="R60" i="18"/>
  <c r="R61" i="18"/>
  <c r="R62" i="18"/>
  <c r="R63" i="18"/>
  <c r="R64" i="18"/>
  <c r="R65" i="18"/>
  <c r="R66" i="18"/>
  <c r="R67" i="18"/>
  <c r="R68" i="18"/>
  <c r="R69" i="18"/>
  <c r="R70" i="18"/>
  <c r="R71" i="18"/>
  <c r="R72" i="18"/>
  <c r="R73" i="18"/>
  <c r="R74" i="18"/>
  <c r="R75" i="18"/>
  <c r="R76" i="18"/>
  <c r="R77" i="18"/>
  <c r="R78" i="18"/>
  <c r="R79" i="18"/>
  <c r="R80" i="18"/>
  <c r="R81" i="18"/>
  <c r="R82" i="18"/>
  <c r="R83" i="18"/>
  <c r="R84" i="18"/>
  <c r="R85" i="18"/>
  <c r="R86" i="18"/>
  <c r="R87" i="18"/>
  <c r="R88" i="18"/>
  <c r="R89" i="18"/>
  <c r="R90" i="18"/>
  <c r="R91" i="18"/>
  <c r="R92" i="18"/>
  <c r="R93" i="18"/>
  <c r="R94" i="18"/>
  <c r="R95" i="18"/>
  <c r="R96" i="18"/>
  <c r="R97" i="18"/>
  <c r="R98" i="18"/>
  <c r="R99" i="18"/>
  <c r="R100" i="18"/>
  <c r="R101" i="18"/>
  <c r="R102" i="18"/>
  <c r="R103" i="18"/>
  <c r="R104" i="18"/>
  <c r="R105" i="18"/>
  <c r="R106" i="18"/>
  <c r="R107" i="18"/>
  <c r="R108" i="18"/>
  <c r="R109" i="18"/>
  <c r="R110" i="18"/>
  <c r="R111" i="18"/>
  <c r="R112" i="18"/>
  <c r="R113" i="18"/>
  <c r="R114" i="18"/>
  <c r="R115" i="18"/>
  <c r="R116" i="18"/>
  <c r="R117" i="18"/>
  <c r="R118" i="18"/>
  <c r="R119" i="18"/>
  <c r="R120" i="18"/>
  <c r="R121" i="18"/>
  <c r="R122" i="18"/>
  <c r="R123" i="18"/>
  <c r="R124" i="18"/>
  <c r="R125" i="18"/>
  <c r="R126" i="18"/>
  <c r="R127" i="18"/>
  <c r="R128" i="18"/>
  <c r="R129" i="18"/>
  <c r="R130" i="18"/>
  <c r="R131" i="18"/>
  <c r="R132" i="18"/>
  <c r="R133" i="18"/>
  <c r="R134" i="18"/>
  <c r="R135" i="18"/>
  <c r="R136" i="18"/>
  <c r="R137" i="18"/>
  <c r="R138" i="18"/>
  <c r="R139" i="18"/>
  <c r="R140" i="18"/>
  <c r="R141" i="18"/>
  <c r="R142" i="18"/>
  <c r="R143" i="18"/>
  <c r="R144" i="18"/>
  <c r="R145" i="18"/>
  <c r="R146" i="18"/>
  <c r="R147" i="18"/>
  <c r="R148" i="18"/>
  <c r="R149" i="18"/>
  <c r="R150" i="18"/>
  <c r="R151" i="18"/>
  <c r="R152" i="18"/>
  <c r="R153" i="18"/>
  <c r="R154" i="18"/>
  <c r="R155" i="18"/>
  <c r="R156" i="18"/>
  <c r="R157" i="18"/>
  <c r="R158" i="18"/>
  <c r="R159" i="18"/>
  <c r="R160" i="18"/>
  <c r="R161" i="18"/>
  <c r="R162" i="18"/>
  <c r="R163" i="18"/>
  <c r="R164" i="18"/>
  <c r="R165" i="18"/>
  <c r="R166" i="18"/>
  <c r="R167" i="18"/>
  <c r="R168" i="18"/>
  <c r="R169" i="18"/>
  <c r="R170" i="18"/>
  <c r="R171" i="18"/>
  <c r="R172" i="18"/>
  <c r="R173" i="18"/>
  <c r="R174" i="18"/>
  <c r="R175" i="18"/>
  <c r="R176" i="18"/>
  <c r="R177" i="18"/>
  <c r="R178" i="18"/>
  <c r="R179" i="18"/>
  <c r="R180" i="18"/>
  <c r="R181" i="18"/>
  <c r="R182" i="18"/>
  <c r="R183" i="18"/>
  <c r="R184" i="18"/>
  <c r="R185" i="18"/>
  <c r="R186" i="18"/>
  <c r="R187" i="18"/>
  <c r="R188" i="18"/>
  <c r="R189" i="18"/>
  <c r="R190" i="18"/>
  <c r="R191" i="18"/>
  <c r="R192" i="18"/>
  <c r="R193" i="18"/>
  <c r="R194" i="18"/>
  <c r="R195" i="18"/>
  <c r="R196" i="18"/>
  <c r="R197" i="18"/>
  <c r="R198" i="18"/>
  <c r="R199" i="18"/>
  <c r="R200" i="18"/>
  <c r="R201" i="18"/>
  <c r="R202" i="18"/>
  <c r="R203" i="18"/>
  <c r="R204" i="18"/>
  <c r="R205" i="18"/>
  <c r="R206" i="18"/>
  <c r="R207" i="18"/>
  <c r="R208" i="18"/>
  <c r="R209" i="18"/>
  <c r="R210" i="18"/>
  <c r="R211" i="18"/>
  <c r="R212" i="18"/>
  <c r="R213" i="18"/>
  <c r="R214" i="18"/>
  <c r="R215" i="18"/>
  <c r="R216" i="18"/>
  <c r="R217" i="18"/>
  <c r="R218" i="18"/>
  <c r="R219" i="18"/>
  <c r="R220" i="18"/>
  <c r="R221" i="18"/>
  <c r="R222" i="18"/>
  <c r="R223" i="18"/>
  <c r="R224" i="18"/>
  <c r="R225" i="18"/>
  <c r="R226" i="18"/>
  <c r="R227" i="18"/>
  <c r="R228" i="18"/>
  <c r="R229" i="18"/>
  <c r="R230" i="18"/>
  <c r="R231" i="18"/>
  <c r="R232" i="18"/>
  <c r="R233" i="18"/>
  <c r="R234" i="18"/>
  <c r="R235" i="18"/>
  <c r="R236" i="18"/>
  <c r="R237" i="18"/>
  <c r="R238" i="18"/>
  <c r="R239" i="18"/>
  <c r="R240" i="18"/>
  <c r="R241" i="18"/>
  <c r="R242" i="18"/>
  <c r="R243" i="18"/>
  <c r="R244" i="18"/>
  <c r="R245" i="18"/>
  <c r="R246" i="18"/>
  <c r="R247" i="18"/>
  <c r="R248" i="18"/>
  <c r="R249" i="18"/>
  <c r="R250" i="18"/>
  <c r="R251" i="18"/>
  <c r="R252" i="18"/>
  <c r="R253" i="18"/>
  <c r="R254" i="18"/>
  <c r="R255" i="18"/>
  <c r="R256" i="18"/>
  <c r="R257" i="18"/>
  <c r="R258" i="18"/>
  <c r="R259" i="18"/>
  <c r="R260" i="18"/>
  <c r="R261" i="18"/>
  <c r="R262" i="18"/>
  <c r="R263" i="18"/>
  <c r="R264" i="18"/>
  <c r="R265" i="18"/>
  <c r="R266" i="18"/>
  <c r="R267" i="18"/>
  <c r="R268" i="18"/>
  <c r="R269" i="18"/>
  <c r="R270" i="18"/>
  <c r="R271" i="18"/>
  <c r="R272" i="18"/>
  <c r="R273" i="18"/>
  <c r="R274" i="18"/>
  <c r="R275" i="18"/>
  <c r="R276" i="18"/>
  <c r="R277" i="18"/>
  <c r="R278" i="18"/>
  <c r="R279" i="18"/>
  <c r="R280" i="18"/>
  <c r="R281" i="18"/>
  <c r="R282" i="18"/>
  <c r="R283" i="18"/>
  <c r="R284" i="18"/>
  <c r="R285" i="18"/>
  <c r="R286" i="18"/>
  <c r="R287" i="18"/>
  <c r="R288" i="18"/>
  <c r="R289" i="18"/>
  <c r="R290" i="18"/>
  <c r="R291" i="18"/>
  <c r="R292" i="18"/>
  <c r="R293" i="18"/>
  <c r="R294" i="18"/>
  <c r="R295" i="18"/>
  <c r="R296" i="18"/>
  <c r="R297" i="18"/>
  <c r="R298" i="18"/>
  <c r="R299" i="18"/>
  <c r="R300" i="18"/>
  <c r="R301" i="18"/>
  <c r="Q3" i="18"/>
  <c r="Q4" i="18"/>
  <c r="Q5" i="18"/>
  <c r="Q6" i="18"/>
  <c r="Q7" i="18"/>
  <c r="Q8" i="18"/>
  <c r="Q9" i="18"/>
  <c r="Q10" i="18"/>
  <c r="Q11" i="18"/>
  <c r="Q12" i="18"/>
  <c r="Q13" i="18"/>
  <c r="Q14" i="18"/>
  <c r="Q15" i="18"/>
  <c r="Q16" i="18"/>
  <c r="Q17" i="18"/>
  <c r="Q18" i="18"/>
  <c r="Q19" i="18"/>
  <c r="Q20" i="18"/>
  <c r="Q21" i="18"/>
  <c r="Q22" i="18"/>
  <c r="Q23" i="18"/>
  <c r="Q24" i="18"/>
  <c r="Q25" i="18"/>
  <c r="Q26" i="18"/>
  <c r="Q27" i="18"/>
  <c r="Q28" i="18"/>
  <c r="Q29" i="18"/>
  <c r="Q30" i="18"/>
  <c r="Q31" i="18"/>
  <c r="Q32" i="18"/>
  <c r="Q33" i="18"/>
  <c r="Q34" i="18"/>
  <c r="Q35" i="18"/>
  <c r="Q36" i="18"/>
  <c r="Q37" i="18"/>
  <c r="Q38" i="18"/>
  <c r="Q39" i="18"/>
  <c r="Q40" i="18"/>
  <c r="Q41" i="18"/>
  <c r="Q42" i="18"/>
  <c r="Q43" i="18"/>
  <c r="Q44" i="18"/>
  <c r="Q45" i="18"/>
  <c r="Q46" i="18"/>
  <c r="Q47" i="18"/>
  <c r="Q48" i="18"/>
  <c r="Q49" i="18"/>
  <c r="Q50" i="18"/>
  <c r="Q51" i="18"/>
  <c r="Q52" i="18"/>
  <c r="Q53" i="18"/>
  <c r="Q54" i="18"/>
  <c r="Q55" i="18"/>
  <c r="Q56" i="18"/>
  <c r="Q57" i="18"/>
  <c r="Q58" i="18"/>
  <c r="Q59" i="18"/>
  <c r="Q60" i="18"/>
  <c r="Q61" i="18"/>
  <c r="Q62" i="18"/>
  <c r="Q63" i="18"/>
  <c r="Q64" i="18"/>
  <c r="Q65" i="18"/>
  <c r="Q66" i="18"/>
  <c r="Q67" i="18"/>
  <c r="Q68" i="18"/>
  <c r="Q69" i="18"/>
  <c r="Q70" i="18"/>
  <c r="Q71" i="18"/>
  <c r="Q72" i="18"/>
  <c r="Q73" i="18"/>
  <c r="Q74" i="18"/>
  <c r="Q75" i="18"/>
  <c r="Q76" i="18"/>
  <c r="Q77" i="18"/>
  <c r="Q78" i="18"/>
  <c r="Q79" i="18"/>
  <c r="Q80" i="18"/>
  <c r="Q81" i="18"/>
  <c r="Q82" i="18"/>
  <c r="Q83" i="18"/>
  <c r="Q84" i="18"/>
  <c r="Q85" i="18"/>
  <c r="Q86" i="18"/>
  <c r="Q87" i="18"/>
  <c r="Q88" i="18"/>
  <c r="Q89" i="18"/>
  <c r="Q90" i="18"/>
  <c r="Q91" i="18"/>
  <c r="Q92" i="18"/>
  <c r="Q93" i="18"/>
  <c r="Q94" i="18"/>
  <c r="Q95" i="18"/>
  <c r="Q96" i="18"/>
  <c r="Q97" i="18"/>
  <c r="Q98" i="18"/>
  <c r="Q99" i="18"/>
  <c r="Q100" i="18"/>
  <c r="Q101" i="18"/>
  <c r="Q102" i="18"/>
  <c r="Q103" i="18"/>
  <c r="Q104" i="18"/>
  <c r="Q105" i="18"/>
  <c r="Q106" i="18"/>
  <c r="Q107" i="18"/>
  <c r="Q108" i="18"/>
  <c r="Q109" i="18"/>
  <c r="Q110" i="18"/>
  <c r="Q111" i="18"/>
  <c r="Q112" i="18"/>
  <c r="Q113" i="18"/>
  <c r="Q114" i="18"/>
  <c r="Q115" i="18"/>
  <c r="Q116" i="18"/>
  <c r="Q117" i="18"/>
  <c r="Q118" i="18"/>
  <c r="Q119" i="18"/>
  <c r="Q120" i="18"/>
  <c r="Q121" i="18"/>
  <c r="Q122" i="18"/>
  <c r="Q123" i="18"/>
  <c r="Q124" i="18"/>
  <c r="Q125" i="18"/>
  <c r="Q126" i="18"/>
  <c r="Q127" i="18"/>
  <c r="Q128" i="18"/>
  <c r="Q129" i="18"/>
  <c r="Q130" i="18"/>
  <c r="Q131" i="18"/>
  <c r="Q132" i="18"/>
  <c r="Q133" i="18"/>
  <c r="Q134" i="18"/>
  <c r="Q135" i="18"/>
  <c r="Q136" i="18"/>
  <c r="Q137" i="18"/>
  <c r="Q138" i="18"/>
  <c r="Q139" i="18"/>
  <c r="Q140" i="18"/>
  <c r="Q141" i="18"/>
  <c r="Q142" i="18"/>
  <c r="Q143" i="18"/>
  <c r="Q144" i="18"/>
  <c r="Q145" i="18"/>
  <c r="Q146" i="18"/>
  <c r="Q147" i="18"/>
  <c r="Q148" i="18"/>
  <c r="Q149" i="18"/>
  <c r="Q150" i="18"/>
  <c r="Q151" i="18"/>
  <c r="Q152" i="18"/>
  <c r="Q153" i="18"/>
  <c r="Q154" i="18"/>
  <c r="Q155" i="18"/>
  <c r="Q156" i="18"/>
  <c r="Q157" i="18"/>
  <c r="Q158" i="18"/>
  <c r="Q159" i="18"/>
  <c r="Q160" i="18"/>
  <c r="Q161" i="18"/>
  <c r="Q162" i="18"/>
  <c r="Q163" i="18"/>
  <c r="Q164" i="18"/>
  <c r="Q165" i="18"/>
  <c r="Q166" i="18"/>
  <c r="Q167" i="18"/>
  <c r="Q168" i="18"/>
  <c r="Q169" i="18"/>
  <c r="Q170" i="18"/>
  <c r="Q171" i="18"/>
  <c r="Q172" i="18"/>
  <c r="Q173" i="18"/>
  <c r="Q174" i="18"/>
  <c r="Q175" i="18"/>
  <c r="Q176" i="18"/>
  <c r="Q177" i="18"/>
  <c r="Q178" i="18"/>
  <c r="Q179" i="18"/>
  <c r="Q180" i="18"/>
  <c r="Q181" i="18"/>
  <c r="Q182" i="18"/>
  <c r="Q183" i="18"/>
  <c r="Q184" i="18"/>
  <c r="Q185" i="18"/>
  <c r="Q186" i="18"/>
  <c r="Q187" i="18"/>
  <c r="Q188" i="18"/>
  <c r="Q189" i="18"/>
  <c r="Q190" i="18"/>
  <c r="Q191" i="18"/>
  <c r="Q192" i="18"/>
  <c r="Q193" i="18"/>
  <c r="Q194" i="18"/>
  <c r="Q195" i="18"/>
  <c r="Q196" i="18"/>
  <c r="Q197" i="18"/>
  <c r="Q198" i="18"/>
  <c r="Q199" i="18"/>
  <c r="Q200" i="18"/>
  <c r="Q201" i="18"/>
  <c r="Q202" i="18"/>
  <c r="Q203" i="18"/>
  <c r="Q204" i="18"/>
  <c r="Q205" i="18"/>
  <c r="Q206" i="18"/>
  <c r="Q207" i="18"/>
  <c r="Q208" i="18"/>
  <c r="Q209" i="18"/>
  <c r="Q210" i="18"/>
  <c r="Q211" i="18"/>
  <c r="Q212" i="18"/>
  <c r="Q213" i="18"/>
  <c r="Q214" i="18"/>
  <c r="Q215" i="18"/>
  <c r="Q216" i="18"/>
  <c r="Q217" i="18"/>
  <c r="Q218" i="18"/>
  <c r="Q219" i="18"/>
  <c r="Q220" i="18"/>
  <c r="Q221" i="18"/>
  <c r="Q222" i="18"/>
  <c r="Q223" i="18"/>
  <c r="Q224" i="18"/>
  <c r="Q225" i="18"/>
  <c r="Q226" i="18"/>
  <c r="Q227" i="18"/>
  <c r="Q228" i="18"/>
  <c r="Q229" i="18"/>
  <c r="Q230" i="18"/>
  <c r="Q231" i="18"/>
  <c r="Q232" i="18"/>
  <c r="Q233" i="18"/>
  <c r="Q234" i="18"/>
  <c r="Q235" i="18"/>
  <c r="Q236" i="18"/>
  <c r="Q237" i="18"/>
  <c r="Q238" i="18"/>
  <c r="Q239" i="18"/>
  <c r="Q240" i="18"/>
  <c r="Q241" i="18"/>
  <c r="Q242" i="18"/>
  <c r="Q243" i="18"/>
  <c r="Q244" i="18"/>
  <c r="Q245" i="18"/>
  <c r="Q246" i="18"/>
  <c r="Q247" i="18"/>
  <c r="Q248" i="18"/>
  <c r="Q249" i="18"/>
  <c r="Q250" i="18"/>
  <c r="Q251" i="18"/>
  <c r="Q252" i="18"/>
  <c r="Q253" i="18"/>
  <c r="Q254" i="18"/>
  <c r="Q255" i="18"/>
  <c r="Q256" i="18"/>
  <c r="Q257" i="18"/>
  <c r="Q258" i="18"/>
  <c r="Q259" i="18"/>
  <c r="Q260" i="18"/>
  <c r="Q261" i="18"/>
  <c r="Q262" i="18"/>
  <c r="Q263" i="18"/>
  <c r="Q264" i="18"/>
  <c r="Q265" i="18"/>
  <c r="Q266" i="18"/>
  <c r="Q267" i="18"/>
  <c r="Q268" i="18"/>
  <c r="Q269" i="18"/>
  <c r="Q270" i="18"/>
  <c r="Q271" i="18"/>
  <c r="Q272" i="18"/>
  <c r="Q273" i="18"/>
  <c r="Q274" i="18"/>
  <c r="Q275" i="18"/>
  <c r="Q276" i="18"/>
  <c r="Q277" i="18"/>
  <c r="Q278" i="18"/>
  <c r="Q279" i="18"/>
  <c r="Q280" i="18"/>
  <c r="Q281" i="18"/>
  <c r="Q282" i="18"/>
  <c r="Q283" i="18"/>
  <c r="Q284" i="18"/>
  <c r="Q285" i="18"/>
  <c r="Q286" i="18"/>
  <c r="Q287" i="18"/>
  <c r="Q288" i="18"/>
  <c r="Q289" i="18"/>
  <c r="Q290" i="18"/>
  <c r="Q291" i="18"/>
  <c r="Q292" i="18"/>
  <c r="Q293" i="18"/>
  <c r="Q294" i="18"/>
  <c r="Q295" i="18"/>
  <c r="Q296" i="18"/>
  <c r="Q297" i="18"/>
  <c r="Q298" i="18"/>
  <c r="Q299" i="18"/>
  <c r="Q300" i="18"/>
  <c r="Q301" i="18"/>
  <c r="Q2" i="18"/>
  <c r="R2" i="20"/>
  <c r="R3" i="20"/>
  <c r="R4" i="20"/>
  <c r="R5" i="20"/>
  <c r="R6" i="20"/>
  <c r="R7" i="20"/>
  <c r="R8" i="20"/>
  <c r="R9" i="20"/>
  <c r="R10" i="20"/>
  <c r="R11" i="20"/>
  <c r="R12" i="20"/>
  <c r="R13" i="20"/>
  <c r="R14" i="20"/>
  <c r="R15" i="20"/>
  <c r="R16" i="20"/>
  <c r="R17" i="20"/>
  <c r="R18" i="20"/>
  <c r="R19" i="20"/>
  <c r="R20" i="20"/>
  <c r="R21" i="20"/>
  <c r="R22" i="20"/>
  <c r="R23" i="20"/>
  <c r="R24" i="20"/>
  <c r="R25" i="20"/>
  <c r="R26" i="20"/>
  <c r="R27" i="20"/>
  <c r="R28" i="20"/>
  <c r="R29" i="20"/>
  <c r="R30" i="20"/>
  <c r="R31" i="20"/>
  <c r="R32" i="20"/>
  <c r="R33" i="20"/>
  <c r="R34" i="20"/>
  <c r="R35" i="20"/>
  <c r="R36" i="20"/>
  <c r="R37" i="20"/>
  <c r="R38" i="20"/>
  <c r="R39" i="20"/>
  <c r="R40" i="20"/>
  <c r="R41" i="20"/>
  <c r="R42" i="20"/>
  <c r="R43" i="20"/>
  <c r="R44" i="20"/>
  <c r="R45" i="20"/>
  <c r="R46" i="20"/>
  <c r="R47" i="20"/>
  <c r="R48" i="20"/>
  <c r="R49" i="20"/>
  <c r="R50" i="20"/>
  <c r="R51" i="20"/>
  <c r="R52" i="20"/>
  <c r="R53" i="20"/>
  <c r="R54" i="20"/>
  <c r="R55" i="20"/>
  <c r="R56" i="20"/>
  <c r="R57" i="20"/>
  <c r="R58" i="20"/>
  <c r="R59" i="20"/>
  <c r="R60" i="20"/>
  <c r="R61" i="20"/>
  <c r="R62" i="20"/>
  <c r="R63" i="20"/>
  <c r="R64" i="20"/>
  <c r="R65" i="20"/>
  <c r="R66" i="20"/>
  <c r="R67" i="20"/>
  <c r="R68" i="20"/>
  <c r="R69" i="20"/>
  <c r="R70" i="20"/>
  <c r="R71" i="20"/>
  <c r="R72" i="20"/>
  <c r="R73" i="20"/>
  <c r="R74" i="20"/>
  <c r="R75" i="20"/>
  <c r="R76" i="20"/>
  <c r="R77" i="20"/>
  <c r="R78" i="20"/>
  <c r="R79" i="20"/>
  <c r="R80" i="20"/>
  <c r="R81" i="20"/>
  <c r="R82" i="20"/>
  <c r="R83" i="20"/>
  <c r="R84" i="20"/>
  <c r="R85" i="20"/>
  <c r="R86" i="20"/>
  <c r="R87" i="20"/>
  <c r="R88" i="20"/>
  <c r="R89" i="20"/>
  <c r="R90" i="20"/>
  <c r="R91" i="20"/>
  <c r="R92" i="20"/>
  <c r="R93" i="20"/>
  <c r="R94" i="20"/>
  <c r="R95" i="20"/>
  <c r="R96" i="20"/>
  <c r="R97" i="20"/>
  <c r="R98" i="20"/>
  <c r="R99" i="20"/>
  <c r="R100" i="20"/>
  <c r="R101" i="20"/>
  <c r="R102" i="20"/>
  <c r="R103" i="20"/>
  <c r="R104" i="20"/>
  <c r="R105" i="20"/>
  <c r="R106" i="20"/>
  <c r="R107" i="20"/>
  <c r="R108" i="20"/>
  <c r="R109" i="20"/>
  <c r="R110" i="20"/>
  <c r="R111" i="20"/>
  <c r="R112" i="20"/>
  <c r="R113" i="20"/>
  <c r="R114" i="20"/>
  <c r="R115" i="20"/>
  <c r="R116" i="20"/>
  <c r="R117" i="20"/>
  <c r="R118" i="20"/>
  <c r="R119" i="20"/>
  <c r="R120" i="20"/>
  <c r="R121" i="20"/>
  <c r="R122" i="20"/>
  <c r="R123" i="20"/>
  <c r="R124" i="20"/>
  <c r="R125" i="20"/>
  <c r="R126" i="20"/>
  <c r="R127" i="20"/>
  <c r="R128" i="20"/>
  <c r="R129" i="20"/>
  <c r="R130" i="20"/>
  <c r="R131" i="20"/>
  <c r="R132" i="20"/>
  <c r="R133" i="20"/>
  <c r="R134" i="20"/>
  <c r="R135" i="20"/>
  <c r="R136" i="20"/>
  <c r="R137" i="20"/>
  <c r="R138" i="20"/>
  <c r="R139" i="20"/>
  <c r="R140" i="20"/>
  <c r="R141" i="20"/>
  <c r="R142" i="20"/>
  <c r="R143" i="20"/>
  <c r="R144" i="20"/>
  <c r="R145" i="20"/>
  <c r="R146" i="20"/>
  <c r="R147" i="20"/>
  <c r="R148" i="20"/>
  <c r="R149" i="20"/>
  <c r="R150" i="20"/>
  <c r="R151" i="20"/>
  <c r="R152" i="20"/>
  <c r="R153" i="20"/>
  <c r="R154" i="20"/>
  <c r="R155" i="20"/>
  <c r="R156" i="20"/>
  <c r="R157" i="20"/>
  <c r="R158" i="20"/>
  <c r="R159" i="20"/>
  <c r="R160" i="20"/>
  <c r="R161" i="20"/>
  <c r="R162" i="20"/>
  <c r="R163" i="20"/>
  <c r="R164" i="20"/>
  <c r="R165" i="20"/>
  <c r="R166" i="20"/>
  <c r="R167" i="20"/>
  <c r="R168" i="20"/>
  <c r="R169" i="20"/>
  <c r="R170" i="20"/>
  <c r="R171" i="20"/>
  <c r="R172" i="20"/>
  <c r="R173" i="20"/>
  <c r="R174" i="20"/>
  <c r="R175" i="20"/>
  <c r="R176" i="20"/>
  <c r="R177" i="20"/>
  <c r="R178" i="20"/>
  <c r="R179" i="20"/>
  <c r="R180" i="20"/>
  <c r="R181" i="20"/>
  <c r="R182" i="20"/>
  <c r="R183" i="20"/>
  <c r="R184" i="20"/>
  <c r="R185" i="20"/>
  <c r="R186" i="20"/>
  <c r="R187" i="20"/>
  <c r="R188" i="20"/>
  <c r="R189" i="20"/>
  <c r="R190" i="20"/>
  <c r="R191" i="20"/>
  <c r="R192" i="20"/>
  <c r="R193" i="20"/>
  <c r="R194" i="20"/>
  <c r="R195" i="20"/>
  <c r="R196" i="20"/>
  <c r="R197" i="20"/>
  <c r="R198" i="20"/>
  <c r="R199" i="20"/>
  <c r="R200" i="20"/>
  <c r="R201" i="20"/>
  <c r="R202" i="20"/>
  <c r="R203" i="20"/>
  <c r="R204" i="20"/>
  <c r="R205" i="20"/>
  <c r="R206" i="20"/>
  <c r="R207" i="20"/>
  <c r="R208" i="20"/>
  <c r="R209" i="20"/>
  <c r="R210" i="20"/>
  <c r="R211" i="20"/>
  <c r="R212" i="20"/>
  <c r="R213" i="20"/>
  <c r="R214" i="20"/>
  <c r="R215" i="20"/>
  <c r="R216" i="20"/>
  <c r="R217" i="20"/>
  <c r="R218" i="20"/>
  <c r="R219" i="20"/>
  <c r="R220" i="20"/>
  <c r="R221" i="20"/>
  <c r="R222" i="20"/>
  <c r="R223" i="20"/>
  <c r="R224" i="20"/>
  <c r="R225" i="20"/>
  <c r="R226" i="20"/>
  <c r="R227" i="20"/>
  <c r="R228" i="20"/>
  <c r="R229" i="20"/>
  <c r="R230" i="20"/>
  <c r="R231" i="20"/>
  <c r="R232" i="20"/>
  <c r="R233" i="20"/>
  <c r="R234" i="20"/>
  <c r="R235" i="20"/>
  <c r="R236" i="20"/>
  <c r="R237" i="20"/>
  <c r="R238" i="20"/>
  <c r="R239" i="20"/>
  <c r="R240" i="20"/>
  <c r="R241" i="20"/>
  <c r="R242" i="20"/>
  <c r="R243" i="20"/>
  <c r="R244" i="20"/>
  <c r="R245" i="20"/>
  <c r="R246" i="20"/>
  <c r="R247" i="20"/>
  <c r="R248" i="20"/>
  <c r="R249" i="20"/>
  <c r="R250" i="20"/>
  <c r="R251" i="20"/>
  <c r="R252" i="20"/>
  <c r="R253" i="20"/>
  <c r="R254" i="20"/>
  <c r="R255" i="20"/>
  <c r="R256" i="20"/>
  <c r="R257" i="20"/>
  <c r="R258" i="20"/>
  <c r="R259" i="20"/>
  <c r="R260" i="20"/>
  <c r="R261" i="20"/>
  <c r="R262" i="20"/>
  <c r="R263" i="20"/>
  <c r="R264" i="20"/>
  <c r="R265" i="20"/>
  <c r="R266" i="20"/>
  <c r="R267" i="20"/>
  <c r="R268" i="20"/>
  <c r="R269" i="20"/>
  <c r="R270" i="20"/>
  <c r="R271" i="20"/>
  <c r="R272" i="20"/>
  <c r="R273" i="20"/>
  <c r="R274" i="20"/>
  <c r="R275" i="20"/>
  <c r="R276" i="20"/>
  <c r="R277" i="20"/>
  <c r="R278" i="20"/>
  <c r="R279" i="20"/>
  <c r="R280" i="20"/>
  <c r="R281" i="20"/>
  <c r="R282" i="20"/>
  <c r="R283" i="20"/>
  <c r="R284" i="20"/>
  <c r="R285" i="20"/>
  <c r="R286" i="20"/>
  <c r="R287" i="20"/>
  <c r="R288" i="20"/>
  <c r="R289" i="20"/>
  <c r="R290" i="20"/>
  <c r="R291" i="20"/>
  <c r="R292" i="20"/>
  <c r="R293" i="20"/>
  <c r="R294" i="20"/>
  <c r="R295" i="20"/>
  <c r="R296" i="20"/>
  <c r="R297" i="20"/>
  <c r="R298" i="20"/>
  <c r="R299" i="20"/>
  <c r="R300" i="20"/>
  <c r="R301" i="20"/>
  <c r="AE5" i="18"/>
  <c r="AE6" i="18"/>
  <c r="AE7" i="18"/>
  <c r="AE4" i="18"/>
  <c r="H3" i="2"/>
  <c r="H4" i="2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52" i="2"/>
  <c r="H53" i="2"/>
  <c r="H54" i="2"/>
  <c r="H55" i="2"/>
  <c r="H56" i="2"/>
  <c r="H57" i="2"/>
  <c r="H58" i="2"/>
  <c r="H59" i="2"/>
  <c r="H60" i="2"/>
  <c r="H61" i="2"/>
  <c r="H62" i="2"/>
  <c r="H63" i="2"/>
  <c r="H64" i="2"/>
  <c r="H65" i="2"/>
  <c r="H66" i="2"/>
  <c r="H67" i="2"/>
  <c r="H68" i="2"/>
  <c r="H69" i="2"/>
  <c r="H70" i="2"/>
  <c r="H71" i="2"/>
  <c r="H72" i="2"/>
  <c r="H73" i="2"/>
  <c r="H74" i="2"/>
  <c r="H75" i="2"/>
  <c r="H76" i="2"/>
  <c r="H77" i="2"/>
  <c r="H78" i="2"/>
  <c r="H79" i="2"/>
  <c r="H80" i="2"/>
  <c r="H81" i="2"/>
  <c r="H82" i="2"/>
  <c r="H83" i="2"/>
  <c r="H84" i="2"/>
  <c r="H85" i="2"/>
  <c r="H86" i="2"/>
  <c r="H87" i="2"/>
  <c r="H88" i="2"/>
  <c r="H89" i="2"/>
  <c r="H90" i="2"/>
  <c r="H91" i="2"/>
  <c r="H92" i="2"/>
  <c r="H93" i="2"/>
  <c r="H94" i="2"/>
  <c r="H95" i="2"/>
  <c r="H96" i="2"/>
  <c r="H97" i="2"/>
  <c r="H98" i="2"/>
  <c r="H99" i="2"/>
  <c r="H100" i="2"/>
  <c r="H101" i="2"/>
  <c r="H102" i="2"/>
  <c r="H103" i="2"/>
  <c r="H104" i="2"/>
  <c r="H105" i="2"/>
  <c r="H106" i="2"/>
  <c r="H107" i="2"/>
  <c r="H108" i="2"/>
  <c r="H109" i="2"/>
  <c r="H110" i="2"/>
  <c r="H111" i="2"/>
  <c r="H112" i="2"/>
  <c r="H113" i="2"/>
  <c r="H114" i="2"/>
  <c r="H115" i="2"/>
  <c r="H116" i="2"/>
  <c r="H117" i="2"/>
  <c r="H118" i="2"/>
  <c r="H119" i="2"/>
  <c r="H120" i="2"/>
  <c r="H121" i="2"/>
  <c r="H122" i="2"/>
  <c r="H123" i="2"/>
  <c r="H124" i="2"/>
  <c r="H125" i="2"/>
  <c r="H126" i="2"/>
  <c r="H127" i="2"/>
  <c r="H128" i="2"/>
  <c r="H129" i="2"/>
  <c r="H130" i="2"/>
  <c r="H131" i="2"/>
  <c r="H132" i="2"/>
  <c r="H133" i="2"/>
  <c r="H134" i="2"/>
  <c r="H135" i="2"/>
  <c r="H136" i="2"/>
  <c r="H137" i="2"/>
  <c r="H138" i="2"/>
  <c r="H139" i="2"/>
  <c r="H140" i="2"/>
  <c r="H141" i="2"/>
  <c r="H142" i="2"/>
  <c r="H143" i="2"/>
  <c r="H144" i="2"/>
  <c r="H145" i="2"/>
  <c r="H146" i="2"/>
  <c r="H147" i="2"/>
  <c r="H148" i="2"/>
  <c r="H149" i="2"/>
  <c r="H150" i="2"/>
  <c r="H151" i="2"/>
  <c r="H152" i="2"/>
  <c r="H153" i="2"/>
  <c r="H154" i="2"/>
  <c r="H155" i="2"/>
  <c r="H156" i="2"/>
  <c r="H157" i="2"/>
  <c r="H158" i="2"/>
  <c r="H159" i="2"/>
  <c r="H160" i="2"/>
  <c r="H161" i="2"/>
  <c r="H162" i="2"/>
  <c r="H163" i="2"/>
  <c r="H164" i="2"/>
  <c r="H165" i="2"/>
  <c r="H166" i="2"/>
  <c r="H167" i="2"/>
  <c r="H168" i="2"/>
  <c r="H169" i="2"/>
  <c r="H170" i="2"/>
  <c r="H171" i="2"/>
  <c r="H172" i="2"/>
  <c r="H173" i="2"/>
  <c r="H174" i="2"/>
  <c r="H175" i="2"/>
  <c r="H176" i="2"/>
  <c r="H177" i="2"/>
  <c r="H178" i="2"/>
  <c r="H179" i="2"/>
  <c r="H180" i="2"/>
  <c r="H181" i="2"/>
  <c r="H182" i="2"/>
  <c r="H183" i="2"/>
  <c r="H184" i="2"/>
  <c r="H185" i="2"/>
  <c r="H186" i="2"/>
  <c r="H187" i="2"/>
  <c r="H188" i="2"/>
  <c r="H189" i="2"/>
  <c r="H190" i="2"/>
  <c r="H191" i="2"/>
  <c r="H192" i="2"/>
  <c r="H193" i="2"/>
  <c r="H194" i="2"/>
  <c r="H195" i="2"/>
  <c r="H196" i="2"/>
  <c r="H197" i="2"/>
  <c r="H198" i="2"/>
  <c r="H199" i="2"/>
  <c r="H200" i="2"/>
  <c r="H201" i="2"/>
  <c r="H2" i="2"/>
  <c r="T11" i="10"/>
  <c r="T10" i="10"/>
  <c r="T9" i="10"/>
  <c r="T8" i="10"/>
  <c r="T7" i="10"/>
  <c r="T6" i="10"/>
  <c r="T5" i="10"/>
  <c r="T4" i="10"/>
  <c r="T3" i="10"/>
  <c r="T2" i="10"/>
  <c r="AH6" i="19"/>
  <c r="AH5" i="19"/>
  <c r="AH4" i="19"/>
  <c r="AG7" i="18"/>
  <c r="AG6" i="18"/>
  <c r="AG5" i="18"/>
  <c r="AG4" i="18"/>
  <c r="AF5" i="18"/>
  <c r="AF6" i="18"/>
  <c r="AF7" i="18"/>
  <c r="AF4" i="18"/>
  <c r="AH3" i="19"/>
  <c r="AG3" i="19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39F5D4A-9DF4-424C-B0B1-CEB7CB05BDBD}" keepAlive="1" name="Query - Campaign Metadata" description="Connection to the 'Campaign Metadata' query in the workbook." type="5" refreshedVersion="8" background="1" saveData="1">
    <dbPr connection="Provider=Microsoft.Mashup.OleDb.1;Data Source=$Workbook$;Location=&quot;Campaign Metadata&quot;;Extended Properties=&quot;&quot;" command="SELECT * FROM [Campaign Metadata]"/>
  </connection>
  <connection id="2" xr16:uid="{4EE4BDFD-74E6-4156-9084-9B6F90C36341}" keepAlive="1" name="Query - Merge1" description="Connection to the 'Merge1' query in the workbook." type="5" refreshedVersion="8" background="1" saveData="1">
    <dbPr connection="Provider=Microsoft.Mashup.OleDb.1;Data Source=$Workbook$;Location=Merge1;Extended Properties=&quot;&quot;" command="SELECT * FROM [Merge1]"/>
  </connection>
  <connection id="3" xr16:uid="{A7C72BD8-44C4-4455-BE13-FB3E5263571A}" keepAlive="1" name="Query - Merge2" description="Connection to the 'Merge2' query in the workbook." type="5" refreshedVersion="8" background="1" saveData="1">
    <dbPr connection="Provider=Microsoft.Mashup.OleDb.1;Data Source=$Workbook$;Location=Merge2;Extended Properties=&quot;&quot;" command="SELECT * FROM [Merge2]"/>
  </connection>
  <connection id="4" xr16:uid="{C70863EA-6142-42E1-9B44-F22AF187A8FC}" keepAlive="1" name="Query - Merge3" description="Connection to the 'Merge3' query in the workbook." type="5" refreshedVersion="8" background="1" saveData="1">
    <dbPr connection="Provider=Microsoft.Mashup.OleDb.1;Data Source=$Workbook$;Location=Merge3;Extended Properties=&quot;&quot;" command="SELECT * FROM [Merge3]"/>
  </connection>
  <connection id="5" xr16:uid="{250C00F9-B5B9-4104-BFC7-B29F7AF948A3}" keepAlive="1" name="Query - Table1" description="Connection to the 'Table1' query in the workbook." type="5" refreshedVersion="8" background="1" saveData="1">
    <dbPr connection="Provider=Microsoft.Mashup.OleDb.1;Data Source=$Workbook$;Location=Table1;Extended Properties=&quot;&quot;" command="SELECT * FROM [Table1]"/>
  </connection>
  <connection id="6" xr16:uid="{1DC99A9A-6997-42FE-BCE2-04712002113E}" keepAlive="1" name="Query - Table1_1" description="Connection to the 'Table1_1' query in the workbook." type="5" refreshedVersion="8" background="1" saveData="1">
    <dbPr connection="Provider=Microsoft.Mashup.OleDb.1;Data Source=$Workbook$;Location=Table1_1;Extended Properties=&quot;&quot;" command="SELECT * FROM [Table1_1]"/>
  </connection>
  <connection id="7" xr16:uid="{DFADA799-583F-4EA1-8336-07ED439936A3}" keepAlive="1" name="Query - Table1_1 (2)" description="Connection to the 'Table1_1 (2)' query in the workbook." type="5" refreshedVersion="8" background="1" saveData="1">
    <dbPr connection="Provider=Microsoft.Mashup.OleDb.1;Data Source=$Workbook$;Location=&quot;Table1_1 (2)&quot;;Extended Properties=&quot;&quot;" command="SELECT * FROM [Table1_1 (2)]"/>
  </connection>
  <connection id="8" xr16:uid="{FE21145A-DB29-4DCB-B1B5-91A8C37AF5D5}" keepAlive="1" name="Query - Table1_1 (3)" description="Connection to the 'Table1_1 (3)' query in the workbook." type="5" refreshedVersion="8" background="1" saveData="1">
    <dbPr connection="Provider=Microsoft.Mashup.OleDb.1;Data Source=$Workbook$;Location=&quot;Table1_1 (3)&quot;;Extended Properties=&quot;&quot;" command="SELECT * FROM [Table1_1 (3)]"/>
  </connection>
  <connection id="9" xr16:uid="{D4D02BFE-02D6-4978-919C-C5CE7A865A64}" keepAlive="1" name="Query - Table1_1 (4)" description="Connection to the 'Table1_1 (4)' query in the workbook." type="5" refreshedVersion="8" background="1" saveData="1">
    <dbPr connection="Provider=Microsoft.Mashup.OleDb.1;Data Source=$Workbook$;Location=&quot;Table1_1 (4)&quot;;Extended Properties=&quot;&quot;" command="SELECT * FROM [Table1_1 (4)]"/>
  </connection>
  <connection id="10" xr16:uid="{53270FE5-E287-47E0-B6A2-6F34F3318400}" keepAlive="1" name="Query - Table1_2" description="Connection to the 'Table1_2' query in the workbook." type="5" refreshedVersion="8" background="1" saveData="1">
    <dbPr connection="Provider=Microsoft.Mashup.OleDb.1;Data Source=$Workbook$;Location=Table1_2;Extended Properties=&quot;&quot;" command="SELECT * FROM [Table1_2]"/>
  </connection>
  <connection id="11" xr16:uid="{B301CB58-13F2-4725-9A0C-7E0048D3C928}" keepAlive="1" name="Query - Table1_2__2" description="Connection to the 'Table1_2__2' query in the workbook." type="5" refreshedVersion="8" background="1" saveData="1">
    <dbPr connection="Provider=Microsoft.Mashup.OleDb.1;Data Source=$Workbook$;Location=Table1_2__2;Extended Properties=&quot;&quot;" command="SELECT * FROM [Table1_2__2]"/>
  </connection>
</connections>
</file>

<file path=xl/sharedStrings.xml><?xml version="1.0" encoding="utf-8"?>
<sst xmlns="http://schemas.openxmlformats.org/spreadsheetml/2006/main" count="25143" uniqueCount="658">
  <si>
    <t>Post ID</t>
  </si>
  <si>
    <t>Platform</t>
  </si>
  <si>
    <t>Date</t>
  </si>
  <si>
    <t>Content Type</t>
  </si>
  <si>
    <t>Post Text</t>
  </si>
  <si>
    <t>Likes</t>
  </si>
  <si>
    <t>Shares</t>
  </si>
  <si>
    <t>Comments</t>
  </si>
  <si>
    <t>Impressions</t>
  </si>
  <si>
    <t>Reach</t>
  </si>
  <si>
    <t>Clicks</t>
  </si>
  <si>
    <t>Hashtags Used</t>
  </si>
  <si>
    <t>Campaign_Name</t>
  </si>
  <si>
    <t>P001</t>
  </si>
  <si>
    <t>Twitter</t>
  </si>
  <si>
    <t>2024-12-23</t>
  </si>
  <si>
    <t>Reel</t>
  </si>
  <si>
    <t>Check out our latest reel on twitter!</t>
  </si>
  <si>
    <t>#FutureOfDriving,#AnytimeIsTeslaTime</t>
  </si>
  <si>
    <t>CybertruckLaunch</t>
  </si>
  <si>
    <t>P002</t>
  </si>
  <si>
    <t>2025-04-03</t>
  </si>
  <si>
    <t>Text</t>
  </si>
  <si>
    <t>Check out our latest text on twitter!</t>
  </si>
  <si>
    <t>#TeslaCoInnovation,#BetterWithTesla</t>
  </si>
  <si>
    <t>ModelYCampaign</t>
  </si>
  <si>
    <t>P003</t>
  </si>
  <si>
    <t>YouTube</t>
  </si>
  <si>
    <t>2025-05-12</t>
  </si>
  <si>
    <t>Check out our latest reel on youtube!</t>
  </si>
  <si>
    <t>#TeslaCoInnovation</t>
  </si>
  <si>
    <t>FSDUpdate</t>
  </si>
  <si>
    <t>P004</t>
  </si>
  <si>
    <t>Instagram</t>
  </si>
  <si>
    <t>2024-08-12</t>
  </si>
  <si>
    <t>Story</t>
  </si>
  <si>
    <t>Check out our latest story on instagram!</t>
  </si>
  <si>
    <t>#EVRevolution</t>
  </si>
  <si>
    <t>SustainabilityDrive</t>
  </si>
  <si>
    <t>P005</t>
  </si>
  <si>
    <t>2024-06-26</t>
  </si>
  <si>
    <t>#EVRevolution,#TeslaCoInnovation</t>
  </si>
  <si>
    <t>P006</t>
  </si>
  <si>
    <t>Facebook</t>
  </si>
  <si>
    <t>2024-10-31</t>
  </si>
  <si>
    <t>Carousel</t>
  </si>
  <si>
    <t>Check out our latest carousel on facebook!</t>
  </si>
  <si>
    <t>P007</t>
  </si>
  <si>
    <t>2024-06-24</t>
  </si>
  <si>
    <t>Check out our latest carousel on twitter!</t>
  </si>
  <si>
    <t>P008</t>
  </si>
  <si>
    <t>2024-07-13</t>
  </si>
  <si>
    <t>Image</t>
  </si>
  <si>
    <t>Check out our latest image on youtube!</t>
  </si>
  <si>
    <t>P009</t>
  </si>
  <si>
    <t>2024-08-30</t>
  </si>
  <si>
    <t>Check out our latest text on facebook!</t>
  </si>
  <si>
    <t>P010</t>
  </si>
  <si>
    <t>2025-03-11</t>
  </si>
  <si>
    <t>Check out our latest image on facebook!</t>
  </si>
  <si>
    <t>P011</t>
  </si>
  <si>
    <t>2025-02-02</t>
  </si>
  <si>
    <t>#FutureOfDriving</t>
  </si>
  <si>
    <t>P012</t>
  </si>
  <si>
    <t>2024-07-21</t>
  </si>
  <si>
    <t>Check out our latest reel on facebook!</t>
  </si>
  <si>
    <t>P013</t>
  </si>
  <si>
    <t>2024-11-18</t>
  </si>
  <si>
    <t>Check out our latest carousel on youtube!</t>
  </si>
  <si>
    <t>P014</t>
  </si>
  <si>
    <t>2025-02-16</t>
  </si>
  <si>
    <t>Check out our latest story on facebook!</t>
  </si>
  <si>
    <t>P015</t>
  </si>
  <si>
    <t>2024-10-24</t>
  </si>
  <si>
    <t>Video</t>
  </si>
  <si>
    <t>Check out our latest video on facebook!</t>
  </si>
  <si>
    <t>P016</t>
  </si>
  <si>
    <t>2024-08-26</t>
  </si>
  <si>
    <t>P017</t>
  </si>
  <si>
    <t>2025-05-05</t>
  </si>
  <si>
    <t>P018</t>
  </si>
  <si>
    <t>2024-08-19</t>
  </si>
  <si>
    <t>Check out our latest reel on instagram!</t>
  </si>
  <si>
    <t>P019</t>
  </si>
  <si>
    <t>2024-06-23</t>
  </si>
  <si>
    <t>Check out our latest video on instagram!</t>
  </si>
  <si>
    <t>P020</t>
  </si>
  <si>
    <t>2024-09-09</t>
  </si>
  <si>
    <t>Check out our latest carousel on instagram!</t>
  </si>
  <si>
    <t>P021</t>
  </si>
  <si>
    <t>2025-01-04</t>
  </si>
  <si>
    <t>P022</t>
  </si>
  <si>
    <t>2025-02-27</t>
  </si>
  <si>
    <t>P023</t>
  </si>
  <si>
    <t>2024-11-06</t>
  </si>
  <si>
    <t>#TeslaCoInnovation,#AnytimeIsTeslaTime</t>
  </si>
  <si>
    <t>P024</t>
  </si>
  <si>
    <t>2025-01-23</t>
  </si>
  <si>
    <t>P025</t>
  </si>
  <si>
    <t>2025-04-10</t>
  </si>
  <si>
    <t>P026</t>
  </si>
  <si>
    <t>2025-04-05</t>
  </si>
  <si>
    <t>P027</t>
  </si>
  <si>
    <t>2024-09-17</t>
  </si>
  <si>
    <t>Check out our latest text on youtube!</t>
  </si>
  <si>
    <t>P028</t>
  </si>
  <si>
    <t>2025-03-04</t>
  </si>
  <si>
    <t>P029</t>
  </si>
  <si>
    <t>2025-01-31</t>
  </si>
  <si>
    <t>P030</t>
  </si>
  <si>
    <t>2025-02-25</t>
  </si>
  <si>
    <t>P031</t>
  </si>
  <si>
    <t>2024-12-16</t>
  </si>
  <si>
    <t>Check out our latest text on instagram!</t>
  </si>
  <si>
    <t>P032</t>
  </si>
  <si>
    <t>2024-07-31</t>
  </si>
  <si>
    <t>P033</t>
  </si>
  <si>
    <t>2024-08-21</t>
  </si>
  <si>
    <t>P034</t>
  </si>
  <si>
    <t>2025-03-26</t>
  </si>
  <si>
    <t>P035</t>
  </si>
  <si>
    <t>2024-11-30</t>
  </si>
  <si>
    <t>P036</t>
  </si>
  <si>
    <t>2025-04-19</t>
  </si>
  <si>
    <t>P037</t>
  </si>
  <si>
    <t>2025-01-06</t>
  </si>
  <si>
    <t>P038</t>
  </si>
  <si>
    <t>2025-02-17</t>
  </si>
  <si>
    <t>P039</t>
  </si>
  <si>
    <t>2024-11-25</t>
  </si>
  <si>
    <t>P040</t>
  </si>
  <si>
    <t>2025-03-07</t>
  </si>
  <si>
    <t>Check out our latest image on twitter!</t>
  </si>
  <si>
    <t>P041</t>
  </si>
  <si>
    <t>2025-03-08</t>
  </si>
  <si>
    <t>P042</t>
  </si>
  <si>
    <t>2025-03-05</t>
  </si>
  <si>
    <t>P043</t>
  </si>
  <si>
    <t>2024-12-14</t>
  </si>
  <si>
    <t>P044</t>
  </si>
  <si>
    <t>2025-03-02</t>
  </si>
  <si>
    <t>P045</t>
  </si>
  <si>
    <t>2024-11-01</t>
  </si>
  <si>
    <t>P046</t>
  </si>
  <si>
    <t>2025-05-02</t>
  </si>
  <si>
    <t>Check out our latest video on twitter!</t>
  </si>
  <si>
    <t>P047</t>
  </si>
  <si>
    <t>2025-02-24</t>
  </si>
  <si>
    <t>P048</t>
  </si>
  <si>
    <t>Check out our latest story on twitter!</t>
  </si>
  <si>
    <t>P049</t>
  </si>
  <si>
    <t>2024-06-10</t>
  </si>
  <si>
    <t>P050</t>
  </si>
  <si>
    <t>2024-07-03</t>
  </si>
  <si>
    <t>Check out our latest story on youtube!</t>
  </si>
  <si>
    <t>P051</t>
  </si>
  <si>
    <t>2024-06-13</t>
  </si>
  <si>
    <t>P052</t>
  </si>
  <si>
    <t>2025-01-03</t>
  </si>
  <si>
    <t>P053</t>
  </si>
  <si>
    <t>#EVRevolution,#BetterWithTesla</t>
  </si>
  <si>
    <t>P054</t>
  </si>
  <si>
    <t>2025-03-13</t>
  </si>
  <si>
    <t>P055</t>
  </si>
  <si>
    <t>2024-06-17</t>
  </si>
  <si>
    <t>P056</t>
  </si>
  <si>
    <t>2024-12-18</t>
  </si>
  <si>
    <t>P057</t>
  </si>
  <si>
    <t>2024-10-21</t>
  </si>
  <si>
    <t>P058</t>
  </si>
  <si>
    <t>2025-04-15</t>
  </si>
  <si>
    <t>P059</t>
  </si>
  <si>
    <t>2024-06-22</t>
  </si>
  <si>
    <t>P060</t>
  </si>
  <si>
    <t>2025-01-28</t>
  </si>
  <si>
    <t>#EVRevolution,#TeslaCoInnovation,#AnytimeIsTeslaTime</t>
  </si>
  <si>
    <t>P061</t>
  </si>
  <si>
    <t>2024-09-05</t>
  </si>
  <si>
    <t>P062</t>
  </si>
  <si>
    <t>2024-11-22</t>
  </si>
  <si>
    <t>P063</t>
  </si>
  <si>
    <t>P064</t>
  </si>
  <si>
    <t>2024-08-17</t>
  </si>
  <si>
    <t>P065</t>
  </si>
  <si>
    <t>2025-03-28</t>
  </si>
  <si>
    <t>P066</t>
  </si>
  <si>
    <t>2024-07-26</t>
  </si>
  <si>
    <t>P067</t>
  </si>
  <si>
    <t>2025-03-29</t>
  </si>
  <si>
    <t>P068</t>
  </si>
  <si>
    <t>2024-12-08</t>
  </si>
  <si>
    <t>P069</t>
  </si>
  <si>
    <t>P070</t>
  </si>
  <si>
    <t>2025-04-02</t>
  </si>
  <si>
    <t>P071</t>
  </si>
  <si>
    <t>2024-09-02</t>
  </si>
  <si>
    <t>P072</t>
  </si>
  <si>
    <t>2025-03-03</t>
  </si>
  <si>
    <t>P073</t>
  </si>
  <si>
    <t>2024-10-18</t>
  </si>
  <si>
    <t>P074</t>
  </si>
  <si>
    <t>2024-10-28</t>
  </si>
  <si>
    <t>P075</t>
  </si>
  <si>
    <t>2024-08-01</t>
  </si>
  <si>
    <t>P076</t>
  </si>
  <si>
    <t>2024-11-07</t>
  </si>
  <si>
    <t>P077</t>
  </si>
  <si>
    <t>P078</t>
  </si>
  <si>
    <t>P079</t>
  </si>
  <si>
    <t>2024-10-09</t>
  </si>
  <si>
    <t>P080</t>
  </si>
  <si>
    <t>P081</t>
  </si>
  <si>
    <t>2024-10-19</t>
  </si>
  <si>
    <t>P082</t>
  </si>
  <si>
    <t>2024-07-24</t>
  </si>
  <si>
    <t>Check out our latest image on instagram!</t>
  </si>
  <si>
    <t>#FutureOfDriving,#TeslaCoInnovation,#AnytimeIsTeslaTime</t>
  </si>
  <si>
    <t>P083</t>
  </si>
  <si>
    <t>2024-10-15</t>
  </si>
  <si>
    <t>Check out our latest video on youtube!</t>
  </si>
  <si>
    <t>P084</t>
  </si>
  <si>
    <t>2024-12-09</t>
  </si>
  <si>
    <t>P085</t>
  </si>
  <si>
    <t>P086</t>
  </si>
  <si>
    <t>2025-01-27</t>
  </si>
  <si>
    <t>P087</t>
  </si>
  <si>
    <t>2024-06-06</t>
  </si>
  <si>
    <t>P088</t>
  </si>
  <si>
    <t>2024-07-07</t>
  </si>
  <si>
    <t>P089</t>
  </si>
  <si>
    <t>2025-01-10</t>
  </si>
  <si>
    <t>P090</t>
  </si>
  <si>
    <t>2024-06-03</t>
  </si>
  <si>
    <t>P091</t>
  </si>
  <si>
    <t>2025-03-24</t>
  </si>
  <si>
    <t>P092</t>
  </si>
  <si>
    <t>P093</t>
  </si>
  <si>
    <t>2024-12-11</t>
  </si>
  <si>
    <t>P094</t>
  </si>
  <si>
    <t>P095</t>
  </si>
  <si>
    <t>2024-11-08</t>
  </si>
  <si>
    <t>P096</t>
  </si>
  <si>
    <t>2024-09-10</t>
  </si>
  <si>
    <t>P097</t>
  </si>
  <si>
    <t>2024-08-13</t>
  </si>
  <si>
    <t>P098</t>
  </si>
  <si>
    <t>P099</t>
  </si>
  <si>
    <t>2024-07-02</t>
  </si>
  <si>
    <t>P100</t>
  </si>
  <si>
    <t>2025-02-10</t>
  </si>
  <si>
    <t>P101</t>
  </si>
  <si>
    <t>P102</t>
  </si>
  <si>
    <t>2024-09-18</t>
  </si>
  <si>
    <t>P103</t>
  </si>
  <si>
    <t>2024-06-11</t>
  </si>
  <si>
    <t>P104</t>
  </si>
  <si>
    <t>2025-03-23</t>
  </si>
  <si>
    <t>P105</t>
  </si>
  <si>
    <t>2024-06-14</t>
  </si>
  <si>
    <t>P106</t>
  </si>
  <si>
    <t>2025-02-04</t>
  </si>
  <si>
    <t>P107</t>
  </si>
  <si>
    <t>2024-06-21</t>
  </si>
  <si>
    <t>P108</t>
  </si>
  <si>
    <t>2025-03-25</t>
  </si>
  <si>
    <t>P109</t>
  </si>
  <si>
    <t>2024-08-08</t>
  </si>
  <si>
    <t>P110</t>
  </si>
  <si>
    <t>2024-07-29</t>
  </si>
  <si>
    <t>P111</t>
  </si>
  <si>
    <t>2024-11-23</t>
  </si>
  <si>
    <t>P112</t>
  </si>
  <si>
    <t>2024-10-05</t>
  </si>
  <si>
    <t>P113</t>
  </si>
  <si>
    <t>2024-10-02</t>
  </si>
  <si>
    <t>P114</t>
  </si>
  <si>
    <t>2024-11-14</t>
  </si>
  <si>
    <t>P115</t>
  </si>
  <si>
    <t>2025-05-11</t>
  </si>
  <si>
    <t>P116</t>
  </si>
  <si>
    <t>2025-03-18</t>
  </si>
  <si>
    <t>P117</t>
  </si>
  <si>
    <t>2024-11-04</t>
  </si>
  <si>
    <t>P118</t>
  </si>
  <si>
    <t>P119</t>
  </si>
  <si>
    <t>2025-02-07</t>
  </si>
  <si>
    <t>P120</t>
  </si>
  <si>
    <t>P121</t>
  </si>
  <si>
    <t>P122</t>
  </si>
  <si>
    <t>P123</t>
  </si>
  <si>
    <t>P124</t>
  </si>
  <si>
    <t>2025-04-06</t>
  </si>
  <si>
    <t>P125</t>
  </si>
  <si>
    <t>2024-09-08</t>
  </si>
  <si>
    <t>P126</t>
  </si>
  <si>
    <t>P127</t>
  </si>
  <si>
    <t>P128</t>
  </si>
  <si>
    <t>P129</t>
  </si>
  <si>
    <t>P130</t>
  </si>
  <si>
    <t>2024-09-29</t>
  </si>
  <si>
    <t>P131</t>
  </si>
  <si>
    <t>P132</t>
  </si>
  <si>
    <t>P133</t>
  </si>
  <si>
    <t>2025-02-06</t>
  </si>
  <si>
    <t>P134</t>
  </si>
  <si>
    <t>2025-04-24</t>
  </si>
  <si>
    <t>P135</t>
  </si>
  <si>
    <t>2024-11-28</t>
  </si>
  <si>
    <t>P136</t>
  </si>
  <si>
    <t>2024-07-11</t>
  </si>
  <si>
    <t>P137</t>
  </si>
  <si>
    <t>P138</t>
  </si>
  <si>
    <t>P139</t>
  </si>
  <si>
    <t>2024-10-29</t>
  </si>
  <si>
    <t>P140</t>
  </si>
  <si>
    <t>2024-07-15</t>
  </si>
  <si>
    <t>#EVRevolution,#SmoothLikeNitroTesla</t>
  </si>
  <si>
    <t>P141</t>
  </si>
  <si>
    <t>2024-08-31</t>
  </si>
  <si>
    <t>P142</t>
  </si>
  <si>
    <t>P143</t>
  </si>
  <si>
    <t>P144</t>
  </si>
  <si>
    <t>P145</t>
  </si>
  <si>
    <t>P146</t>
  </si>
  <si>
    <t>2024-06-05</t>
  </si>
  <si>
    <t>#EVRevolution,#AnytimeIsTeslaTime</t>
  </si>
  <si>
    <t>P147</t>
  </si>
  <si>
    <t>P148</t>
  </si>
  <si>
    <t>P149</t>
  </si>
  <si>
    <t>2024-06-16</t>
  </si>
  <si>
    <t>P150</t>
  </si>
  <si>
    <t>2024-08-22</t>
  </si>
  <si>
    <t>P151</t>
  </si>
  <si>
    <t>P152</t>
  </si>
  <si>
    <t>2025-04-22</t>
  </si>
  <si>
    <t>P153</t>
  </si>
  <si>
    <t>2025-01-01</t>
  </si>
  <si>
    <t>P154</t>
  </si>
  <si>
    <t>P155</t>
  </si>
  <si>
    <t>2024-12-21</t>
  </si>
  <si>
    <t>P156</t>
  </si>
  <si>
    <t>2024-10-22</t>
  </si>
  <si>
    <t>P157</t>
  </si>
  <si>
    <t>2024-07-23</t>
  </si>
  <si>
    <t>P158</t>
  </si>
  <si>
    <t>2024-08-11</t>
  </si>
  <si>
    <t>P159</t>
  </si>
  <si>
    <t>P160</t>
  </si>
  <si>
    <t>2024-08-24</t>
  </si>
  <si>
    <t>P161</t>
  </si>
  <si>
    <t>2025-02-19</t>
  </si>
  <si>
    <t>P162</t>
  </si>
  <si>
    <t>2025-04-01</t>
  </si>
  <si>
    <t>P163</t>
  </si>
  <si>
    <t>2025-04-08</t>
  </si>
  <si>
    <t>P164</t>
  </si>
  <si>
    <t>P165</t>
  </si>
  <si>
    <t>P166</t>
  </si>
  <si>
    <t>P167</t>
  </si>
  <si>
    <t>P168</t>
  </si>
  <si>
    <t>2024-11-12</t>
  </si>
  <si>
    <t>P169</t>
  </si>
  <si>
    <t>2024-12-03</t>
  </si>
  <si>
    <t>P170</t>
  </si>
  <si>
    <t>2025-04-28</t>
  </si>
  <si>
    <t>P171</t>
  </si>
  <si>
    <t>2024-12-31</t>
  </si>
  <si>
    <t>P172</t>
  </si>
  <si>
    <t>2024-08-14</t>
  </si>
  <si>
    <t>P173</t>
  </si>
  <si>
    <t>2024-12-05</t>
  </si>
  <si>
    <t>P174</t>
  </si>
  <si>
    <t>P175</t>
  </si>
  <si>
    <t>2025-01-17</t>
  </si>
  <si>
    <t>P176</t>
  </si>
  <si>
    <t>2024-06-20</t>
  </si>
  <si>
    <t>P177</t>
  </si>
  <si>
    <t>2024-07-10</t>
  </si>
  <si>
    <t>P178</t>
  </si>
  <si>
    <t>P179</t>
  </si>
  <si>
    <t>P180</t>
  </si>
  <si>
    <t>P181</t>
  </si>
  <si>
    <t>2025-03-21</t>
  </si>
  <si>
    <t>P182</t>
  </si>
  <si>
    <t>P183</t>
  </si>
  <si>
    <t>2024-12-17</t>
  </si>
  <si>
    <t>P184</t>
  </si>
  <si>
    <t>2024-07-28</t>
  </si>
  <si>
    <t>P185</t>
  </si>
  <si>
    <t>2025-01-11</t>
  </si>
  <si>
    <t>P186</t>
  </si>
  <si>
    <t>P187</t>
  </si>
  <si>
    <t>2024-12-22</t>
  </si>
  <si>
    <t>P188</t>
  </si>
  <si>
    <t>P189</t>
  </si>
  <si>
    <t>P190</t>
  </si>
  <si>
    <t>2024-10-04</t>
  </si>
  <si>
    <t>P191</t>
  </si>
  <si>
    <t>P192</t>
  </si>
  <si>
    <t>2024-11-29</t>
  </si>
  <si>
    <t>P193</t>
  </si>
  <si>
    <t>2024-09-11</t>
  </si>
  <si>
    <t>P194</t>
  </si>
  <si>
    <t>P195</t>
  </si>
  <si>
    <t>2024-08-15</t>
  </si>
  <si>
    <t>P196</t>
  </si>
  <si>
    <t>2024-12-19</t>
  </si>
  <si>
    <t>P197</t>
  </si>
  <si>
    <t>P198</t>
  </si>
  <si>
    <t>2024-09-14</t>
  </si>
  <si>
    <t>P199</t>
  </si>
  <si>
    <t>P200</t>
  </si>
  <si>
    <t>2025-04-07</t>
  </si>
  <si>
    <t>P201</t>
  </si>
  <si>
    <t>2025-01-15</t>
  </si>
  <si>
    <t>P202</t>
  </si>
  <si>
    <t>2024-06-02</t>
  </si>
  <si>
    <t>P203</t>
  </si>
  <si>
    <t>2024-11-21</t>
  </si>
  <si>
    <t>P204</t>
  </si>
  <si>
    <t>P205</t>
  </si>
  <si>
    <t>#TeslaCoInnovation,#SmoothLikeNitroTesla</t>
  </si>
  <si>
    <t>P206</t>
  </si>
  <si>
    <t>P207</t>
  </si>
  <si>
    <t>2024-12-29</t>
  </si>
  <si>
    <t>P208</t>
  </si>
  <si>
    <t>P209</t>
  </si>
  <si>
    <t>2025-03-19</t>
  </si>
  <si>
    <t>P210</t>
  </si>
  <si>
    <t>P211</t>
  </si>
  <si>
    <t>2024-07-18</t>
  </si>
  <si>
    <t>P212</t>
  </si>
  <si>
    <t>P213</t>
  </si>
  <si>
    <t>2025-05-01</t>
  </si>
  <si>
    <t>P214</t>
  </si>
  <si>
    <t>P215</t>
  </si>
  <si>
    <t>2025-05-06</t>
  </si>
  <si>
    <t>P216</t>
  </si>
  <si>
    <t>P217</t>
  </si>
  <si>
    <t>P218</t>
  </si>
  <si>
    <t>P219</t>
  </si>
  <si>
    <t>P220</t>
  </si>
  <si>
    <t>P221</t>
  </si>
  <si>
    <t>P222</t>
  </si>
  <si>
    <t>2024-10-08</t>
  </si>
  <si>
    <t>#FutureOfDriving,#SmoothLikeNitroTesla</t>
  </si>
  <si>
    <t>P223</t>
  </si>
  <si>
    <t>P224</t>
  </si>
  <si>
    <t>2025-05-13</t>
  </si>
  <si>
    <t>P225</t>
  </si>
  <si>
    <t>P226</t>
  </si>
  <si>
    <t>2024-08-07</t>
  </si>
  <si>
    <t>P227</t>
  </si>
  <si>
    <t>2024-06-12</t>
  </si>
  <si>
    <t>P228</t>
  </si>
  <si>
    <t>2024-07-01</t>
  </si>
  <si>
    <t>P229</t>
  </si>
  <si>
    <t>P230</t>
  </si>
  <si>
    <t>P231</t>
  </si>
  <si>
    <t>P232</t>
  </si>
  <si>
    <t>2025-04-29</t>
  </si>
  <si>
    <t>P233</t>
  </si>
  <si>
    <t>P234</t>
  </si>
  <si>
    <t>2024-06-01</t>
  </si>
  <si>
    <t>P235</t>
  </si>
  <si>
    <t>P236</t>
  </si>
  <si>
    <t>#FutureOfDriving,#AnytimeIsTeslaTime,#EVRevolution</t>
  </si>
  <si>
    <t>P237</t>
  </si>
  <si>
    <t>P238</t>
  </si>
  <si>
    <t>2024-07-16</t>
  </si>
  <si>
    <t>P239</t>
  </si>
  <si>
    <t>P240</t>
  </si>
  <si>
    <t>P241</t>
  </si>
  <si>
    <t>2025-01-18</t>
  </si>
  <si>
    <t>P242</t>
  </si>
  <si>
    <t>P243</t>
  </si>
  <si>
    <t>2025-03-06</t>
  </si>
  <si>
    <t>P244</t>
  </si>
  <si>
    <t>2024-10-25</t>
  </si>
  <si>
    <t>P245</t>
  </si>
  <si>
    <t>2025-01-12</t>
  </si>
  <si>
    <t>P246</t>
  </si>
  <si>
    <t>2024-10-11</t>
  </si>
  <si>
    <t>P247</t>
  </si>
  <si>
    <t>2024-08-27</t>
  </si>
  <si>
    <t>#FutureOfDriving,#EVRevolution,#BetterWithTesla</t>
  </si>
  <si>
    <t>P248</t>
  </si>
  <si>
    <t>P249</t>
  </si>
  <si>
    <t>P250</t>
  </si>
  <si>
    <t>P251</t>
  </si>
  <si>
    <t>2025-03-27</t>
  </si>
  <si>
    <t>P252</t>
  </si>
  <si>
    <t>P253</t>
  </si>
  <si>
    <t>2024-08-03</t>
  </si>
  <si>
    <t>P254</t>
  </si>
  <si>
    <t>2025-01-14</t>
  </si>
  <si>
    <t>P255</t>
  </si>
  <si>
    <t>P256</t>
  </si>
  <si>
    <t>P257</t>
  </si>
  <si>
    <t>#EVRevolution,#EVRevolution,#BetterWithTesla</t>
  </si>
  <si>
    <t>P258</t>
  </si>
  <si>
    <t>2024-08-05</t>
  </si>
  <si>
    <t>P259</t>
  </si>
  <si>
    <t>P260</t>
  </si>
  <si>
    <t>2025-02-12</t>
  </si>
  <si>
    <t>#TeslaCoInnovation,#EVRevolution,#BetterWithTesla</t>
  </si>
  <si>
    <t>P261</t>
  </si>
  <si>
    <t>2024-10-27</t>
  </si>
  <si>
    <t>P262</t>
  </si>
  <si>
    <t>P263</t>
  </si>
  <si>
    <t>2024-08-20</t>
  </si>
  <si>
    <t>P264</t>
  </si>
  <si>
    <t>2025-01-30</t>
  </si>
  <si>
    <t>P265</t>
  </si>
  <si>
    <t>2025-02-20</t>
  </si>
  <si>
    <t>P266</t>
  </si>
  <si>
    <t>P267</t>
  </si>
  <si>
    <t>P268</t>
  </si>
  <si>
    <t>2025-04-13</t>
  </si>
  <si>
    <t>P269</t>
  </si>
  <si>
    <t>2024-11-05</t>
  </si>
  <si>
    <t>P270</t>
  </si>
  <si>
    <t>P271</t>
  </si>
  <si>
    <t>2024-10-17</t>
  </si>
  <si>
    <t>P272</t>
  </si>
  <si>
    <t>P273</t>
  </si>
  <si>
    <t>2024-10-12</t>
  </si>
  <si>
    <t>P274</t>
  </si>
  <si>
    <t>P275</t>
  </si>
  <si>
    <t>P276</t>
  </si>
  <si>
    <t>2024-06-07</t>
  </si>
  <si>
    <t>P277</t>
  </si>
  <si>
    <t>P278</t>
  </si>
  <si>
    <t>2024-11-26</t>
  </si>
  <si>
    <t>P279</t>
  </si>
  <si>
    <t>P280</t>
  </si>
  <si>
    <t>P281</t>
  </si>
  <si>
    <t>2025-03-22</t>
  </si>
  <si>
    <t>P282</t>
  </si>
  <si>
    <t>2024-10-03</t>
  </si>
  <si>
    <t>P283</t>
  </si>
  <si>
    <t>2025-05-09</t>
  </si>
  <si>
    <t>P284</t>
  </si>
  <si>
    <t>P285</t>
  </si>
  <si>
    <t>P286</t>
  </si>
  <si>
    <t>2024-09-25</t>
  </si>
  <si>
    <t>P287</t>
  </si>
  <si>
    <t>P288</t>
  </si>
  <si>
    <t>2025-04-17</t>
  </si>
  <si>
    <t>P289</t>
  </si>
  <si>
    <t>P290</t>
  </si>
  <si>
    <t>2024-12-20</t>
  </si>
  <si>
    <t>P291</t>
  </si>
  <si>
    <t>P292</t>
  </si>
  <si>
    <t>2024-11-17</t>
  </si>
  <si>
    <t>P293</t>
  </si>
  <si>
    <t>2025-05-14</t>
  </si>
  <si>
    <t>P294</t>
  </si>
  <si>
    <t>2024-06-19</t>
  </si>
  <si>
    <t>P295</t>
  </si>
  <si>
    <t>P296</t>
  </si>
  <si>
    <t>2025-02-11</t>
  </si>
  <si>
    <t>P297</t>
  </si>
  <si>
    <t>2024-12-24</t>
  </si>
  <si>
    <t>P298</t>
  </si>
  <si>
    <t>P299</t>
  </si>
  <si>
    <t>P300</t>
  </si>
  <si>
    <t>Week_Start_Date</t>
  </si>
  <si>
    <t>New_Followers</t>
  </si>
  <si>
    <t>Unfollows</t>
  </si>
  <si>
    <t>Total_Followers</t>
  </si>
  <si>
    <t>Engagement_Rate</t>
  </si>
  <si>
    <t>Ad_Spend</t>
  </si>
  <si>
    <t>2024-07-08</t>
  </si>
  <si>
    <t>2024-07-22</t>
  </si>
  <si>
    <t>2024-09-16</t>
  </si>
  <si>
    <t>2024-09-23</t>
  </si>
  <si>
    <t>2024-09-30</t>
  </si>
  <si>
    <t>2024-10-07</t>
  </si>
  <si>
    <t>2024-10-14</t>
  </si>
  <si>
    <t>2024-11-11</t>
  </si>
  <si>
    <t>2024-12-02</t>
  </si>
  <si>
    <t>2024-12-30</t>
  </si>
  <si>
    <t>2025-01-13</t>
  </si>
  <si>
    <t>2025-01-20</t>
  </si>
  <si>
    <t>2025-02-03</t>
  </si>
  <si>
    <t>2025-03-10</t>
  </si>
  <si>
    <t>2025-03-17</t>
  </si>
  <si>
    <t>2025-03-31</t>
  </si>
  <si>
    <t>2025-04-14</t>
  </si>
  <si>
    <t>2025-04-21</t>
  </si>
  <si>
    <t>Start_Date</t>
  </si>
  <si>
    <t>End_Date</t>
  </si>
  <si>
    <t>Objective</t>
  </si>
  <si>
    <t>Total_Budget</t>
  </si>
  <si>
    <t>Target_Platforms</t>
  </si>
  <si>
    <t>Primary_Hashtags</t>
  </si>
  <si>
    <t>2024-06-15</t>
  </si>
  <si>
    <t>Product Awareness</t>
  </si>
  <si>
    <t>Instagram,Facebook</t>
  </si>
  <si>
    <t>2024-10-01</t>
  </si>
  <si>
    <t>Customer Engagement</t>
  </si>
  <si>
    <t>Instagram,YouTube</t>
  </si>
  <si>
    <t>#AnytimeIsTeslaTime,</t>
  </si>
  <si>
    <t>2024-12-25</t>
  </si>
  <si>
    <t>Vehicle Launch</t>
  </si>
  <si>
    <t>Facebook,Twitter</t>
  </si>
  <si>
    <t>#SmoothLikeNitroTesla</t>
  </si>
  <si>
    <t>2025-03-01</t>
  </si>
  <si>
    <t>Community Growth</t>
  </si>
  <si>
    <t>Instagram,Twitter</t>
  </si>
  <si>
    <t>#BetterWithTesla,#FutureOfDriving</t>
  </si>
  <si>
    <t>Hashtags Used.1</t>
  </si>
  <si>
    <t>Hashtags Used.2</t>
  </si>
  <si>
    <t>Hashtags Used.3</t>
  </si>
  <si>
    <t>#AnytimeIsTeslaTime</t>
  </si>
  <si>
    <t>#BetterWithTesla</t>
  </si>
  <si>
    <t>Engagement Rate</t>
  </si>
  <si>
    <t>Campaign_Name_Filled</t>
  </si>
  <si>
    <t>Hastag</t>
  </si>
  <si>
    <t>Campaign_From_Hashtag2</t>
  </si>
  <si>
    <t>Campaign_From_Hashtag3.Campaign_Name</t>
  </si>
  <si>
    <t>Campaign_From_Hashtag1</t>
  </si>
  <si>
    <t>Colu</t>
  </si>
  <si>
    <t>Row Labels</t>
  </si>
  <si>
    <t>Grand Total</t>
  </si>
  <si>
    <t>Average of Engagement Rate</t>
  </si>
  <si>
    <t>Column Labels</t>
  </si>
  <si>
    <t>Sum of Likes</t>
  </si>
  <si>
    <t>Total Sum of Likes</t>
  </si>
  <si>
    <t>Total Sum of Shares</t>
  </si>
  <si>
    <t>Sum of Shares</t>
  </si>
  <si>
    <t>Total Sum of Comments</t>
  </si>
  <si>
    <t>Sum of Comments</t>
  </si>
  <si>
    <t>Average of Clicks</t>
  </si>
  <si>
    <t>Sum of Engagement Rate</t>
  </si>
  <si>
    <t>Follower Growth Rate</t>
  </si>
  <si>
    <t>Average of Follower Growth Rate</t>
  </si>
  <si>
    <t>Sum of Ad_Spend</t>
  </si>
  <si>
    <t>Average of Engagement_Rate</t>
  </si>
  <si>
    <t>Content type</t>
  </si>
  <si>
    <t>Sum of Impressions</t>
  </si>
  <si>
    <t>Sum of Clicks</t>
  </si>
  <si>
    <t>Average of Impressions2</t>
  </si>
  <si>
    <t>Average of Clicks2</t>
  </si>
  <si>
    <t>Average of Likes2</t>
  </si>
  <si>
    <t>Average of Impressions</t>
  </si>
  <si>
    <t>Column1</t>
  </si>
  <si>
    <t>Campaign Name</t>
  </si>
  <si>
    <t>Engagement Uplift (%)</t>
  </si>
  <si>
    <t>Total Engagement</t>
  </si>
  <si>
    <t>ROI</t>
  </si>
  <si>
    <t>Sum of Total Engagement</t>
  </si>
  <si>
    <t>Average of Likes</t>
  </si>
  <si>
    <t>Attribute</t>
  </si>
  <si>
    <t>Net_Followers</t>
  </si>
  <si>
    <t>Sum of Net_Followers</t>
  </si>
  <si>
    <t>3-Week Moving 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</si>
</sst>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[$-F800]dddd\,\ mmmm\ dd\,\ yyyy"/>
  </numFmts>
  <fonts count="9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/>
        <bgColor theme="9"/>
      </patternFill>
    </fill>
    <fill>
      <patternFill patternType="solid">
        <fgColor theme="9" tint="0.79998168889431442"/>
        <bgColor theme="9" tint="0.79998168889431442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8" tint="0.79998168889431442"/>
        <bgColor indexed="64"/>
      </patternFill>
    </fill>
  </fills>
  <borders count="2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14" fontId="0" fillId="0" borderId="0" xfId="0" applyNumberFormat="1"/>
    <xf numFmtId="22" fontId="0" fillId="0" borderId="0" xfId="0" applyNumberFormat="1"/>
    <xf numFmtId="2" fontId="0" fillId="0" borderId="0" xfId="0" applyNumberFormat="1"/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5" fillId="2" borderId="3" xfId="0" applyFont="1" applyFill="1" applyBorder="1"/>
    <xf numFmtId="0" fontId="4" fillId="2" borderId="3" xfId="0" applyFont="1" applyFill="1" applyBorder="1"/>
    <xf numFmtId="14" fontId="5" fillId="2" borderId="3" xfId="0" applyNumberFormat="1" applyFont="1" applyFill="1" applyBorder="1"/>
    <xf numFmtId="0" fontId="0" fillId="3" borderId="3" xfId="0" applyFill="1" applyBorder="1"/>
    <xf numFmtId="14" fontId="0" fillId="3" borderId="3" xfId="0" applyNumberFormat="1" applyFill="1" applyBorder="1"/>
    <xf numFmtId="164" fontId="0" fillId="3" borderId="3" xfId="0" applyNumberFormat="1" applyFill="1" applyBorder="1"/>
    <xf numFmtId="0" fontId="0" fillId="0" borderId="3" xfId="0" applyBorder="1"/>
    <xf numFmtId="14" fontId="0" fillId="0" borderId="3" xfId="0" applyNumberFormat="1" applyBorder="1"/>
    <xf numFmtId="164" fontId="0" fillId="0" borderId="3" xfId="0" applyNumberFormat="1" applyBorder="1"/>
    <xf numFmtId="0" fontId="0" fillId="0" borderId="4" xfId="0" applyBorder="1"/>
    <xf numFmtId="0" fontId="0" fillId="0" borderId="4" xfId="0" pivotButton="1" applyBorder="1"/>
    <xf numFmtId="0" fontId="0" fillId="0" borderId="4" xfId="0" applyBorder="1" applyAlignment="1">
      <alignment horizontal="left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wrapText="1"/>
    </xf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10" fontId="0" fillId="0" borderId="0" xfId="0" applyNumberFormat="1"/>
    <xf numFmtId="0" fontId="6" fillId="0" borderId="0" xfId="0" applyFont="1"/>
    <xf numFmtId="10" fontId="6" fillId="0" borderId="20" xfId="0" applyNumberFormat="1" applyFont="1" applyBorder="1"/>
    <xf numFmtId="0" fontId="6" fillId="4" borderId="10" xfId="0" applyFont="1" applyFill="1" applyBorder="1"/>
    <xf numFmtId="0" fontId="7" fillId="5" borderId="0" xfId="0" applyFont="1" applyFill="1"/>
    <xf numFmtId="2" fontId="0" fillId="0" borderId="5" xfId="0" applyNumberFormat="1" applyBorder="1"/>
    <xf numFmtId="0" fontId="0" fillId="0" borderId="8" xfId="0" pivotButton="1" applyBorder="1"/>
    <xf numFmtId="2" fontId="0" fillId="0" borderId="3" xfId="0" applyNumberFormat="1" applyBorder="1"/>
    <xf numFmtId="0" fontId="1" fillId="0" borderId="0" xfId="0" applyFont="1"/>
    <xf numFmtId="0" fontId="6" fillId="6" borderId="0" xfId="0" applyFont="1" applyFill="1"/>
    <xf numFmtId="0" fontId="1" fillId="0" borderId="0" xfId="0" applyFont="1" applyAlignment="1">
      <alignment horizontal="left"/>
    </xf>
    <xf numFmtId="0" fontId="6" fillId="7" borderId="0" xfId="0" applyFont="1" applyFill="1"/>
    <xf numFmtId="2" fontId="6" fillId="0" borderId="0" xfId="0" applyNumberFormat="1" applyFont="1"/>
    <xf numFmtId="1" fontId="0" fillId="0" borderId="0" xfId="0" applyNumberFormat="1"/>
    <xf numFmtId="2" fontId="6" fillId="7" borderId="0" xfId="0" applyNumberFormat="1" applyFont="1" applyFill="1"/>
    <xf numFmtId="1" fontId="6" fillId="7" borderId="0" xfId="0" applyNumberFormat="1" applyFont="1" applyFill="1"/>
    <xf numFmtId="1" fontId="6" fillId="4" borderId="10" xfId="0" applyNumberFormat="1" applyFont="1" applyFill="1" applyBorder="1"/>
    <xf numFmtId="0" fontId="6" fillId="0" borderId="21" xfId="0" applyFont="1" applyBorder="1"/>
    <xf numFmtId="0" fontId="2" fillId="4" borderId="10" xfId="0" applyFont="1" applyFill="1" applyBorder="1"/>
    <xf numFmtId="2" fontId="6" fillId="8" borderId="0" xfId="0" applyNumberFormat="1" applyFont="1" applyFill="1"/>
    <xf numFmtId="165" fontId="2" fillId="4" borderId="10" xfId="0" applyNumberFormat="1" applyFont="1" applyFill="1" applyBorder="1"/>
    <xf numFmtId="165" fontId="0" fillId="0" borderId="0" xfId="0" applyNumberFormat="1" applyAlignment="1">
      <alignment horizontal="left"/>
    </xf>
    <xf numFmtId="165" fontId="0" fillId="0" borderId="0" xfId="0" applyNumberFormat="1"/>
  </cellXfs>
  <cellStyles count="1">
    <cellStyle name="Normal" xfId="0" builtinId="0"/>
  </cellStyles>
  <dxfs count="208"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numFmt numFmtId="0" formatCode="General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top style="thin">
          <color rgb="FF000000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righ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/>
        <right/>
      </border>
    </dxf>
    <dxf>
      <border>
        <left style="thin">
          <color indexed="64"/>
        </lef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/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alignment wrapText="1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1" formatCode="0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numFmt numFmtId="2" formatCode="0.00"/>
    </dxf>
    <dxf>
      <numFmt numFmtId="2" formatCode="0.00"/>
    </dxf>
    <dxf>
      <numFmt numFmtId="2" formatCode="0.00"/>
    </dxf>
    <dxf>
      <numFmt numFmtId="164" formatCode="0.000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27" formatCode="dd/mm/yyyy\ hh:mm"/>
    </dxf>
    <dxf>
      <numFmt numFmtId="0" formatCode="General"/>
    </dxf>
    <dxf>
      <numFmt numFmtId="0" formatCode="General"/>
    </dxf>
    <dxf>
      <border>
        <bottom style="thin">
          <color indexed="64"/>
        </bottom>
      </border>
    </dxf>
    <dxf>
      <border>
        <bottom style="thin">
          <color indexed="64"/>
        </bottom>
      </border>
    </dxf>
    <dxf>
      <border>
        <top style="thin">
          <color indexed="64"/>
        </top>
      </border>
    </dxf>
    <dxf>
      <border>
        <top style="thin">
          <color indexed="64"/>
        </top>
      </border>
    </dxf>
    <dxf>
      <border>
        <right style="thin">
          <color indexed="64"/>
        </right>
      </border>
    </dxf>
    <dxf>
      <border>
        <right style="thin">
          <color indexed="64"/>
        </righ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border>
        <left style="thin">
          <color indexed="64"/>
        </left>
      </border>
    </dxf>
    <dxf>
      <numFmt numFmtId="2" formatCode="0.00"/>
    </dxf>
    <dxf>
      <numFmt numFmtId="2" formatCode="0.00"/>
    </dxf>
    <dxf>
      <numFmt numFmtId="14" formatCode="0.0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/>
        <bottom/>
      </border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4" formatCode="0.00%"/>
    </dxf>
    <dxf>
      <numFmt numFmtId="14" formatCode="0.00%"/>
    </dxf>
    <dxf>
      <numFmt numFmtId="14" formatCode="0.00%"/>
    </dxf>
    <dxf>
      <numFmt numFmtId="14" formatCode="0.00%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pivotCacheDefinition" Target="pivotCache/pivotCacheDefinition8.xml"/><Relationship Id="rId3" Type="http://schemas.openxmlformats.org/officeDocument/2006/relationships/worksheet" Target="worksheets/sheet3.xml"/><Relationship Id="rId21" Type="http://schemas.openxmlformats.org/officeDocument/2006/relationships/pivotCacheDefinition" Target="pivotCache/pivotCacheDefinition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pivotCacheDefinition" Target="pivotCache/pivotCacheDefinition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2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pivotCacheDefinition" Target="pivotCache/pivotCacheDefinition6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pivotCacheDefinition" Target="pivotCache/pivotCacheDefinition5.xml"/><Relationship Id="rId28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1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pivotCacheDefinition" Target="pivotCache/pivotCacheDefinition4.xml"/><Relationship Id="rId27" Type="http://schemas.openxmlformats.org/officeDocument/2006/relationships/theme" Target="theme/theme1.xml"/><Relationship Id="rId30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'Task 6'!$R$1</c:f>
              <c:strCache>
                <c:ptCount val="1"/>
                <c:pt idx="0">
                  <c:v>Week_Start_Date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'Task 6'!$R$2:$R$51</c:f>
              <c:numCache>
                <c:formatCode>[$-F800]dddd\,\ mmmm\ dd\,\ yyyy</c:formatCode>
                <c:ptCount val="50"/>
                <c:pt idx="0">
                  <c:v>45656</c:v>
                </c:pt>
                <c:pt idx="1">
                  <c:v>45698</c:v>
                </c:pt>
                <c:pt idx="2">
                  <c:v>45642</c:v>
                </c:pt>
                <c:pt idx="3">
                  <c:v>45712</c:v>
                </c:pt>
                <c:pt idx="4">
                  <c:v>45628</c:v>
                </c:pt>
                <c:pt idx="5">
                  <c:v>45635</c:v>
                </c:pt>
                <c:pt idx="6">
                  <c:v>45782</c:v>
                </c:pt>
                <c:pt idx="7">
                  <c:v>45600</c:v>
                </c:pt>
                <c:pt idx="8">
                  <c:v>45544</c:v>
                </c:pt>
                <c:pt idx="9">
                  <c:v>45747</c:v>
                </c:pt>
                <c:pt idx="10">
                  <c:v>45733</c:v>
                </c:pt>
                <c:pt idx="11">
                  <c:v>45768</c:v>
                </c:pt>
                <c:pt idx="12">
                  <c:v>45621</c:v>
                </c:pt>
                <c:pt idx="13">
                  <c:v>45649</c:v>
                </c:pt>
                <c:pt idx="14">
                  <c:v>45460</c:v>
                </c:pt>
                <c:pt idx="15">
                  <c:v>45572</c:v>
                </c:pt>
                <c:pt idx="16">
                  <c:v>45516</c:v>
                </c:pt>
                <c:pt idx="17">
                  <c:v>45726</c:v>
                </c:pt>
                <c:pt idx="18">
                  <c:v>45705</c:v>
                </c:pt>
                <c:pt idx="19">
                  <c:v>45677</c:v>
                </c:pt>
                <c:pt idx="20">
                  <c:v>45775</c:v>
                </c:pt>
                <c:pt idx="21">
                  <c:v>45663</c:v>
                </c:pt>
                <c:pt idx="22">
                  <c:v>45446</c:v>
                </c:pt>
                <c:pt idx="23">
                  <c:v>45684</c:v>
                </c:pt>
                <c:pt idx="24">
                  <c:v>45558</c:v>
                </c:pt>
                <c:pt idx="25">
                  <c:v>45565</c:v>
                </c:pt>
                <c:pt idx="26">
                  <c:v>45481</c:v>
                </c:pt>
                <c:pt idx="27">
                  <c:v>45467</c:v>
                </c:pt>
                <c:pt idx="28">
                  <c:v>45523</c:v>
                </c:pt>
                <c:pt idx="29">
                  <c:v>45453</c:v>
                </c:pt>
                <c:pt idx="30">
                  <c:v>45530</c:v>
                </c:pt>
                <c:pt idx="31">
                  <c:v>45537</c:v>
                </c:pt>
                <c:pt idx="32">
                  <c:v>45586</c:v>
                </c:pt>
                <c:pt idx="33">
                  <c:v>45670</c:v>
                </c:pt>
                <c:pt idx="34">
                  <c:v>45495</c:v>
                </c:pt>
                <c:pt idx="35">
                  <c:v>45593</c:v>
                </c:pt>
                <c:pt idx="36">
                  <c:v>45754</c:v>
                </c:pt>
                <c:pt idx="37">
                  <c:v>45719</c:v>
                </c:pt>
                <c:pt idx="38">
                  <c:v>45607</c:v>
                </c:pt>
                <c:pt idx="39">
                  <c:v>45488</c:v>
                </c:pt>
                <c:pt idx="40">
                  <c:v>45691</c:v>
                </c:pt>
                <c:pt idx="41">
                  <c:v>45502</c:v>
                </c:pt>
                <c:pt idx="42">
                  <c:v>45789</c:v>
                </c:pt>
                <c:pt idx="43">
                  <c:v>45579</c:v>
                </c:pt>
                <c:pt idx="44">
                  <c:v>45740</c:v>
                </c:pt>
                <c:pt idx="45">
                  <c:v>45551</c:v>
                </c:pt>
                <c:pt idx="46">
                  <c:v>45474</c:v>
                </c:pt>
                <c:pt idx="47">
                  <c:v>45509</c:v>
                </c:pt>
                <c:pt idx="48">
                  <c:v>45614</c:v>
                </c:pt>
                <c:pt idx="49">
                  <c:v>45761</c:v>
                </c:pt>
              </c:numCache>
            </c:numRef>
          </c:cat>
          <c:val>
            <c:numRef>
              <c:f>'Task 6'!$R$2:$R$201</c:f>
              <c:numCache>
                <c:formatCode>[$-F800]dddd\,\ mmmm\ dd\,\ yyyy</c:formatCode>
                <c:ptCount val="200"/>
                <c:pt idx="0">
                  <c:v>45656</c:v>
                </c:pt>
                <c:pt idx="1">
                  <c:v>45698</c:v>
                </c:pt>
                <c:pt idx="2">
                  <c:v>45642</c:v>
                </c:pt>
                <c:pt idx="3">
                  <c:v>45712</c:v>
                </c:pt>
                <c:pt idx="4">
                  <c:v>45628</c:v>
                </c:pt>
                <c:pt idx="5">
                  <c:v>45635</c:v>
                </c:pt>
                <c:pt idx="6">
                  <c:v>45782</c:v>
                </c:pt>
                <c:pt idx="7">
                  <c:v>45600</c:v>
                </c:pt>
                <c:pt idx="8">
                  <c:v>45544</c:v>
                </c:pt>
                <c:pt idx="9">
                  <c:v>45747</c:v>
                </c:pt>
                <c:pt idx="10">
                  <c:v>45733</c:v>
                </c:pt>
                <c:pt idx="11">
                  <c:v>45768</c:v>
                </c:pt>
                <c:pt idx="12">
                  <c:v>45621</c:v>
                </c:pt>
                <c:pt idx="13">
                  <c:v>45649</c:v>
                </c:pt>
                <c:pt idx="14">
                  <c:v>45460</c:v>
                </c:pt>
                <c:pt idx="15">
                  <c:v>45572</c:v>
                </c:pt>
                <c:pt idx="16">
                  <c:v>45516</c:v>
                </c:pt>
                <c:pt idx="17">
                  <c:v>45726</c:v>
                </c:pt>
                <c:pt idx="18">
                  <c:v>45705</c:v>
                </c:pt>
                <c:pt idx="19">
                  <c:v>45677</c:v>
                </c:pt>
                <c:pt idx="20">
                  <c:v>45775</c:v>
                </c:pt>
                <c:pt idx="21">
                  <c:v>45663</c:v>
                </c:pt>
                <c:pt idx="22">
                  <c:v>45446</c:v>
                </c:pt>
                <c:pt idx="23">
                  <c:v>45684</c:v>
                </c:pt>
                <c:pt idx="24">
                  <c:v>45558</c:v>
                </c:pt>
                <c:pt idx="25">
                  <c:v>45565</c:v>
                </c:pt>
                <c:pt idx="26">
                  <c:v>45481</c:v>
                </c:pt>
                <c:pt idx="27">
                  <c:v>45467</c:v>
                </c:pt>
                <c:pt idx="28">
                  <c:v>45523</c:v>
                </c:pt>
                <c:pt idx="29">
                  <c:v>45453</c:v>
                </c:pt>
                <c:pt idx="30">
                  <c:v>45530</c:v>
                </c:pt>
                <c:pt idx="31">
                  <c:v>45537</c:v>
                </c:pt>
                <c:pt idx="32">
                  <c:v>45586</c:v>
                </c:pt>
                <c:pt idx="33">
                  <c:v>45670</c:v>
                </c:pt>
                <c:pt idx="34">
                  <c:v>45495</c:v>
                </c:pt>
                <c:pt idx="35">
                  <c:v>45593</c:v>
                </c:pt>
                <c:pt idx="36">
                  <c:v>45754</c:v>
                </c:pt>
                <c:pt idx="37">
                  <c:v>45719</c:v>
                </c:pt>
                <c:pt idx="38">
                  <c:v>45607</c:v>
                </c:pt>
                <c:pt idx="39">
                  <c:v>45488</c:v>
                </c:pt>
                <c:pt idx="40">
                  <c:v>45691</c:v>
                </c:pt>
                <c:pt idx="41">
                  <c:v>45502</c:v>
                </c:pt>
                <c:pt idx="42">
                  <c:v>45789</c:v>
                </c:pt>
                <c:pt idx="43">
                  <c:v>45579</c:v>
                </c:pt>
                <c:pt idx="44">
                  <c:v>45740</c:v>
                </c:pt>
                <c:pt idx="45">
                  <c:v>45551</c:v>
                </c:pt>
                <c:pt idx="46">
                  <c:v>45474</c:v>
                </c:pt>
                <c:pt idx="47">
                  <c:v>45509</c:v>
                </c:pt>
                <c:pt idx="48">
                  <c:v>45614</c:v>
                </c:pt>
                <c:pt idx="49">
                  <c:v>45761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9E8-44E0-A31B-B96E7DB9C249}"/>
            </c:ext>
          </c:extLst>
        </c:ser>
        <c:ser>
          <c:idx val="1"/>
          <c:order val="1"/>
          <c:tx>
            <c:strRef>
              <c:f>'Task 6'!$S$1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'Task 6'!$R$2:$R$51</c:f>
              <c:numCache>
                <c:formatCode>[$-F800]dddd\,\ mmmm\ dd\,\ yyyy</c:formatCode>
                <c:ptCount val="50"/>
                <c:pt idx="0">
                  <c:v>45656</c:v>
                </c:pt>
                <c:pt idx="1">
                  <c:v>45698</c:v>
                </c:pt>
                <c:pt idx="2">
                  <c:v>45642</c:v>
                </c:pt>
                <c:pt idx="3">
                  <c:v>45712</c:v>
                </c:pt>
                <c:pt idx="4">
                  <c:v>45628</c:v>
                </c:pt>
                <c:pt idx="5">
                  <c:v>45635</c:v>
                </c:pt>
                <c:pt idx="6">
                  <c:v>45782</c:v>
                </c:pt>
                <c:pt idx="7">
                  <c:v>45600</c:v>
                </c:pt>
                <c:pt idx="8">
                  <c:v>45544</c:v>
                </c:pt>
                <c:pt idx="9">
                  <c:v>45747</c:v>
                </c:pt>
                <c:pt idx="10">
                  <c:v>45733</c:v>
                </c:pt>
                <c:pt idx="11">
                  <c:v>45768</c:v>
                </c:pt>
                <c:pt idx="12">
                  <c:v>45621</c:v>
                </c:pt>
                <c:pt idx="13">
                  <c:v>45649</c:v>
                </c:pt>
                <c:pt idx="14">
                  <c:v>45460</c:v>
                </c:pt>
                <c:pt idx="15">
                  <c:v>45572</c:v>
                </c:pt>
                <c:pt idx="16">
                  <c:v>45516</c:v>
                </c:pt>
                <c:pt idx="17">
                  <c:v>45726</c:v>
                </c:pt>
                <c:pt idx="18">
                  <c:v>45705</c:v>
                </c:pt>
                <c:pt idx="19">
                  <c:v>45677</c:v>
                </c:pt>
                <c:pt idx="20">
                  <c:v>45775</c:v>
                </c:pt>
                <c:pt idx="21">
                  <c:v>45663</c:v>
                </c:pt>
                <c:pt idx="22">
                  <c:v>45446</c:v>
                </c:pt>
                <c:pt idx="23">
                  <c:v>45684</c:v>
                </c:pt>
                <c:pt idx="24">
                  <c:v>45558</c:v>
                </c:pt>
                <c:pt idx="25">
                  <c:v>45565</c:v>
                </c:pt>
                <c:pt idx="26">
                  <c:v>45481</c:v>
                </c:pt>
                <c:pt idx="27">
                  <c:v>45467</c:v>
                </c:pt>
                <c:pt idx="28">
                  <c:v>45523</c:v>
                </c:pt>
                <c:pt idx="29">
                  <c:v>45453</c:v>
                </c:pt>
                <c:pt idx="30">
                  <c:v>45530</c:v>
                </c:pt>
                <c:pt idx="31">
                  <c:v>45537</c:v>
                </c:pt>
                <c:pt idx="32">
                  <c:v>45586</c:v>
                </c:pt>
                <c:pt idx="33">
                  <c:v>45670</c:v>
                </c:pt>
                <c:pt idx="34">
                  <c:v>45495</c:v>
                </c:pt>
                <c:pt idx="35">
                  <c:v>45593</c:v>
                </c:pt>
                <c:pt idx="36">
                  <c:v>45754</c:v>
                </c:pt>
                <c:pt idx="37">
                  <c:v>45719</c:v>
                </c:pt>
                <c:pt idx="38">
                  <c:v>45607</c:v>
                </c:pt>
                <c:pt idx="39">
                  <c:v>45488</c:v>
                </c:pt>
                <c:pt idx="40">
                  <c:v>45691</c:v>
                </c:pt>
                <c:pt idx="41">
                  <c:v>45502</c:v>
                </c:pt>
                <c:pt idx="42">
                  <c:v>45789</c:v>
                </c:pt>
                <c:pt idx="43">
                  <c:v>45579</c:v>
                </c:pt>
                <c:pt idx="44">
                  <c:v>45740</c:v>
                </c:pt>
                <c:pt idx="45">
                  <c:v>45551</c:v>
                </c:pt>
                <c:pt idx="46">
                  <c:v>45474</c:v>
                </c:pt>
                <c:pt idx="47">
                  <c:v>45509</c:v>
                </c:pt>
                <c:pt idx="48">
                  <c:v>45614</c:v>
                </c:pt>
                <c:pt idx="49">
                  <c:v>45761</c:v>
                </c:pt>
              </c:numCache>
            </c:numRef>
          </c:cat>
          <c:val>
            <c:numRef>
              <c:f>'Task 6'!$S$2:$S$201</c:f>
              <c:numCache>
                <c:formatCode>General</c:formatCode>
                <c:ptCount val="200"/>
                <c:pt idx="0">
                  <c:v>6530</c:v>
                </c:pt>
                <c:pt idx="1">
                  <c:v>5281</c:v>
                </c:pt>
                <c:pt idx="2">
                  <c:v>5044</c:v>
                </c:pt>
                <c:pt idx="3">
                  <c:v>4806</c:v>
                </c:pt>
                <c:pt idx="4">
                  <c:v>4795</c:v>
                </c:pt>
                <c:pt idx="5">
                  <c:v>4792</c:v>
                </c:pt>
                <c:pt idx="6">
                  <c:v>4594</c:v>
                </c:pt>
                <c:pt idx="7">
                  <c:v>4584</c:v>
                </c:pt>
                <c:pt idx="8">
                  <c:v>4360</c:v>
                </c:pt>
                <c:pt idx="9">
                  <c:v>4298</c:v>
                </c:pt>
                <c:pt idx="10">
                  <c:v>4042</c:v>
                </c:pt>
                <c:pt idx="11">
                  <c:v>4040</c:v>
                </c:pt>
                <c:pt idx="12">
                  <c:v>4008</c:v>
                </c:pt>
                <c:pt idx="13">
                  <c:v>3914</c:v>
                </c:pt>
                <c:pt idx="14">
                  <c:v>3907</c:v>
                </c:pt>
                <c:pt idx="15">
                  <c:v>3759</c:v>
                </c:pt>
                <c:pt idx="16">
                  <c:v>3728</c:v>
                </c:pt>
                <c:pt idx="17">
                  <c:v>3712</c:v>
                </c:pt>
                <c:pt idx="18">
                  <c:v>3693</c:v>
                </c:pt>
                <c:pt idx="19">
                  <c:v>3614</c:v>
                </c:pt>
                <c:pt idx="20">
                  <c:v>3577</c:v>
                </c:pt>
                <c:pt idx="21">
                  <c:v>3557</c:v>
                </c:pt>
                <c:pt idx="22">
                  <c:v>3554</c:v>
                </c:pt>
                <c:pt idx="23">
                  <c:v>3383</c:v>
                </c:pt>
                <c:pt idx="24">
                  <c:v>3333</c:v>
                </c:pt>
                <c:pt idx="25">
                  <c:v>3151</c:v>
                </c:pt>
                <c:pt idx="26">
                  <c:v>3042</c:v>
                </c:pt>
                <c:pt idx="27">
                  <c:v>3011</c:v>
                </c:pt>
                <c:pt idx="28">
                  <c:v>2989</c:v>
                </c:pt>
                <c:pt idx="29">
                  <c:v>2980</c:v>
                </c:pt>
                <c:pt idx="30">
                  <c:v>2903</c:v>
                </c:pt>
                <c:pt idx="31">
                  <c:v>2822</c:v>
                </c:pt>
                <c:pt idx="32">
                  <c:v>2821</c:v>
                </c:pt>
                <c:pt idx="33">
                  <c:v>2777</c:v>
                </c:pt>
                <c:pt idx="34">
                  <c:v>2753</c:v>
                </c:pt>
                <c:pt idx="35">
                  <c:v>2656</c:v>
                </c:pt>
                <c:pt idx="36">
                  <c:v>2412</c:v>
                </c:pt>
                <c:pt idx="37">
                  <c:v>2410</c:v>
                </c:pt>
                <c:pt idx="38">
                  <c:v>2295</c:v>
                </c:pt>
                <c:pt idx="39">
                  <c:v>2270</c:v>
                </c:pt>
                <c:pt idx="40">
                  <c:v>2194</c:v>
                </c:pt>
                <c:pt idx="41">
                  <c:v>2193</c:v>
                </c:pt>
                <c:pt idx="42">
                  <c:v>1995</c:v>
                </c:pt>
                <c:pt idx="43">
                  <c:v>1856</c:v>
                </c:pt>
                <c:pt idx="44">
                  <c:v>1616</c:v>
                </c:pt>
                <c:pt idx="45">
                  <c:v>1568</c:v>
                </c:pt>
                <c:pt idx="46">
                  <c:v>1293</c:v>
                </c:pt>
                <c:pt idx="47">
                  <c:v>802</c:v>
                </c:pt>
                <c:pt idx="48">
                  <c:v>528</c:v>
                </c:pt>
                <c:pt idx="49">
                  <c:v>-137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F9E8-44E0-A31B-B96E7DB9C249}"/>
            </c:ext>
          </c:extLst>
        </c:ser>
        <c:ser>
          <c:idx val="2"/>
          <c:order val="2"/>
          <c:tx>
            <c:strRef>
              <c:f>'Task 6'!$T$1</c:f>
              <c:strCache>
                <c:ptCount val="1"/>
                <c:pt idx="0">
                  <c:v>3-Week Moving Average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'Task 6'!$R$2:$R$51</c:f>
              <c:numCache>
                <c:formatCode>[$-F800]dddd\,\ mmmm\ dd\,\ yyyy</c:formatCode>
                <c:ptCount val="50"/>
                <c:pt idx="0">
                  <c:v>45656</c:v>
                </c:pt>
                <c:pt idx="1">
                  <c:v>45698</c:v>
                </c:pt>
                <c:pt idx="2">
                  <c:v>45642</c:v>
                </c:pt>
                <c:pt idx="3">
                  <c:v>45712</c:v>
                </c:pt>
                <c:pt idx="4">
                  <c:v>45628</c:v>
                </c:pt>
                <c:pt idx="5">
                  <c:v>45635</c:v>
                </c:pt>
                <c:pt idx="6">
                  <c:v>45782</c:v>
                </c:pt>
                <c:pt idx="7">
                  <c:v>45600</c:v>
                </c:pt>
                <c:pt idx="8">
                  <c:v>45544</c:v>
                </c:pt>
                <c:pt idx="9">
                  <c:v>45747</c:v>
                </c:pt>
                <c:pt idx="10">
                  <c:v>45733</c:v>
                </c:pt>
                <c:pt idx="11">
                  <c:v>45768</c:v>
                </c:pt>
                <c:pt idx="12">
                  <c:v>45621</c:v>
                </c:pt>
                <c:pt idx="13">
                  <c:v>45649</c:v>
                </c:pt>
                <c:pt idx="14">
                  <c:v>45460</c:v>
                </c:pt>
                <c:pt idx="15">
                  <c:v>45572</c:v>
                </c:pt>
                <c:pt idx="16">
                  <c:v>45516</c:v>
                </c:pt>
                <c:pt idx="17">
                  <c:v>45726</c:v>
                </c:pt>
                <c:pt idx="18">
                  <c:v>45705</c:v>
                </c:pt>
                <c:pt idx="19">
                  <c:v>45677</c:v>
                </c:pt>
                <c:pt idx="20">
                  <c:v>45775</c:v>
                </c:pt>
                <c:pt idx="21">
                  <c:v>45663</c:v>
                </c:pt>
                <c:pt idx="22">
                  <c:v>45446</c:v>
                </c:pt>
                <c:pt idx="23">
                  <c:v>45684</c:v>
                </c:pt>
                <c:pt idx="24">
                  <c:v>45558</c:v>
                </c:pt>
                <c:pt idx="25">
                  <c:v>45565</c:v>
                </c:pt>
                <c:pt idx="26">
                  <c:v>45481</c:v>
                </c:pt>
                <c:pt idx="27">
                  <c:v>45467</c:v>
                </c:pt>
                <c:pt idx="28">
                  <c:v>45523</c:v>
                </c:pt>
                <c:pt idx="29">
                  <c:v>45453</c:v>
                </c:pt>
                <c:pt idx="30">
                  <c:v>45530</c:v>
                </c:pt>
                <c:pt idx="31">
                  <c:v>45537</c:v>
                </c:pt>
                <c:pt idx="32">
                  <c:v>45586</c:v>
                </c:pt>
                <c:pt idx="33">
                  <c:v>45670</c:v>
                </c:pt>
                <c:pt idx="34">
                  <c:v>45495</c:v>
                </c:pt>
                <c:pt idx="35">
                  <c:v>45593</c:v>
                </c:pt>
                <c:pt idx="36">
                  <c:v>45754</c:v>
                </c:pt>
                <c:pt idx="37">
                  <c:v>45719</c:v>
                </c:pt>
                <c:pt idx="38">
                  <c:v>45607</c:v>
                </c:pt>
                <c:pt idx="39">
                  <c:v>45488</c:v>
                </c:pt>
                <c:pt idx="40">
                  <c:v>45691</c:v>
                </c:pt>
                <c:pt idx="41">
                  <c:v>45502</c:v>
                </c:pt>
                <c:pt idx="42">
                  <c:v>45789</c:v>
                </c:pt>
                <c:pt idx="43">
                  <c:v>45579</c:v>
                </c:pt>
                <c:pt idx="44">
                  <c:v>45740</c:v>
                </c:pt>
                <c:pt idx="45">
                  <c:v>45551</c:v>
                </c:pt>
                <c:pt idx="46">
                  <c:v>45474</c:v>
                </c:pt>
                <c:pt idx="47">
                  <c:v>45509</c:v>
                </c:pt>
                <c:pt idx="48">
                  <c:v>45614</c:v>
                </c:pt>
                <c:pt idx="49">
                  <c:v>45761</c:v>
                </c:pt>
              </c:numCache>
            </c:numRef>
          </c:cat>
          <c:val>
            <c:numRef>
              <c:f>'Task 6'!$T$2:$T$201</c:f>
              <c:numCache>
                <c:formatCode>0.00</c:formatCode>
                <c:ptCount val="200"/>
                <c:pt idx="2">
                  <c:v>5618.333333333333</c:v>
                </c:pt>
                <c:pt idx="3">
                  <c:v>5043.666666666667</c:v>
                </c:pt>
                <c:pt idx="4">
                  <c:v>4881.666666666667</c:v>
                </c:pt>
                <c:pt idx="5">
                  <c:v>4797.666666666667</c:v>
                </c:pt>
                <c:pt idx="6">
                  <c:v>4727</c:v>
                </c:pt>
                <c:pt idx="7">
                  <c:v>4656.666666666667</c:v>
                </c:pt>
                <c:pt idx="8">
                  <c:v>4512.666666666667</c:v>
                </c:pt>
                <c:pt idx="9">
                  <c:v>4414</c:v>
                </c:pt>
                <c:pt idx="10">
                  <c:v>4233.333333333333</c:v>
                </c:pt>
                <c:pt idx="11">
                  <c:v>4126.666666666667</c:v>
                </c:pt>
                <c:pt idx="12">
                  <c:v>4030</c:v>
                </c:pt>
                <c:pt idx="13">
                  <c:v>3987.3333333333335</c:v>
                </c:pt>
                <c:pt idx="14">
                  <c:v>3943</c:v>
                </c:pt>
                <c:pt idx="15">
                  <c:v>3860</c:v>
                </c:pt>
                <c:pt idx="16">
                  <c:v>3798</c:v>
                </c:pt>
                <c:pt idx="17">
                  <c:v>3733</c:v>
                </c:pt>
                <c:pt idx="18">
                  <c:v>3711</c:v>
                </c:pt>
                <c:pt idx="19">
                  <c:v>3673</c:v>
                </c:pt>
                <c:pt idx="20">
                  <c:v>3628</c:v>
                </c:pt>
                <c:pt idx="21">
                  <c:v>3582.6666666666665</c:v>
                </c:pt>
                <c:pt idx="22">
                  <c:v>3562.6666666666665</c:v>
                </c:pt>
                <c:pt idx="23">
                  <c:v>3498</c:v>
                </c:pt>
                <c:pt idx="24">
                  <c:v>3423.3333333333335</c:v>
                </c:pt>
                <c:pt idx="25">
                  <c:v>3289</c:v>
                </c:pt>
                <c:pt idx="26">
                  <c:v>3175.3333333333335</c:v>
                </c:pt>
                <c:pt idx="27">
                  <c:v>3068</c:v>
                </c:pt>
                <c:pt idx="28">
                  <c:v>3014</c:v>
                </c:pt>
                <c:pt idx="29">
                  <c:v>2993.3333333333335</c:v>
                </c:pt>
                <c:pt idx="30">
                  <c:v>2957.3333333333335</c:v>
                </c:pt>
                <c:pt idx="31">
                  <c:v>2901.6666666666665</c:v>
                </c:pt>
                <c:pt idx="32">
                  <c:v>2848.6666666666665</c:v>
                </c:pt>
                <c:pt idx="33">
                  <c:v>2806.6666666666665</c:v>
                </c:pt>
                <c:pt idx="34">
                  <c:v>2783.6666666666665</c:v>
                </c:pt>
                <c:pt idx="35">
                  <c:v>2728.6666666666665</c:v>
                </c:pt>
                <c:pt idx="36">
                  <c:v>2607</c:v>
                </c:pt>
                <c:pt idx="37">
                  <c:v>2492.6666666666665</c:v>
                </c:pt>
                <c:pt idx="38">
                  <c:v>2372.3333333333335</c:v>
                </c:pt>
                <c:pt idx="39">
                  <c:v>2325</c:v>
                </c:pt>
                <c:pt idx="40">
                  <c:v>2253</c:v>
                </c:pt>
                <c:pt idx="41">
                  <c:v>2219</c:v>
                </c:pt>
                <c:pt idx="42">
                  <c:v>2127.3333333333335</c:v>
                </c:pt>
                <c:pt idx="43">
                  <c:v>2014.6666666666667</c:v>
                </c:pt>
                <c:pt idx="44">
                  <c:v>1822.3333333333333</c:v>
                </c:pt>
                <c:pt idx="45">
                  <c:v>1680</c:v>
                </c:pt>
                <c:pt idx="46">
                  <c:v>1492.3333333333333</c:v>
                </c:pt>
                <c:pt idx="47">
                  <c:v>1221</c:v>
                </c:pt>
                <c:pt idx="48">
                  <c:v>874.33333333333337</c:v>
                </c:pt>
                <c:pt idx="49">
                  <c:v>397.66666666666669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9E8-44E0-A31B-B96E7DB9C24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57659311"/>
        <c:axId val="757662191"/>
      </c:lineChart>
      <c:dateAx>
        <c:axId val="757659311"/>
        <c:scaling>
          <c:orientation val="minMax"/>
        </c:scaling>
        <c:delete val="0"/>
        <c:axPos val="b"/>
        <c:numFmt formatCode="[$-F800]dddd\,\ mmmm\ dd\,\ yy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62191"/>
        <c:crosses val="autoZero"/>
        <c:auto val="1"/>
        <c:lblOffset val="100"/>
        <c:baseTimeUnit val="days"/>
      </c:dateAx>
      <c:valAx>
        <c:axId val="7576621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[$-F800]dddd\,\ mmmm\ dd\,\ yy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576593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none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Ad Spend vs. Follower Growth Correlation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none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'Task 6'!$I$1</c:f>
              <c:strCache>
                <c:ptCount val="1"/>
                <c:pt idx="0">
                  <c:v>Net_Followers</c:v>
                </c:pt>
              </c:strCache>
            </c:strRef>
          </c:tx>
          <c:spPr>
            <a:ln w="25400" cap="rnd">
              <a:noFill/>
            </a:ln>
            <a:effectLst>
              <a:glow rad="139700">
                <a:schemeClr val="accent1">
                  <a:satMod val="175000"/>
                  <a:alpha val="14000"/>
                </a:schemeClr>
              </a:glow>
            </a:effectLst>
          </c:spPr>
          <c:marker>
            <c:symbol val="circle"/>
            <c:size val="3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>
                <a:glow rad="63500">
                  <a:schemeClr val="accent1">
                    <a:satMod val="175000"/>
                    <a:alpha val="25000"/>
                  </a:schemeClr>
                </a:glow>
              </a:effectLst>
            </c:spPr>
          </c:marker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0"/>
            <c:dispEq val="0"/>
          </c:trendline>
          <c:trendline>
            <c:spPr>
              <a:ln w="25400" cap="rnd">
                <a:solidFill>
                  <a:schemeClr val="accent1">
                    <a:alpha val="50000"/>
                  </a:schemeClr>
                </a:solidFill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lt1">
                          <a:lumMod val="7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'Task 6'!$G$2:$G$201</c:f>
              <c:numCache>
                <c:formatCode>General</c:formatCode>
                <c:ptCount val="200"/>
                <c:pt idx="0">
                  <c:v>5904</c:v>
                </c:pt>
                <c:pt idx="1">
                  <c:v>9566</c:v>
                </c:pt>
                <c:pt idx="2">
                  <c:v>26752</c:v>
                </c:pt>
                <c:pt idx="3">
                  <c:v>30671</c:v>
                </c:pt>
                <c:pt idx="4">
                  <c:v>9920</c:v>
                </c:pt>
                <c:pt idx="5">
                  <c:v>7924</c:v>
                </c:pt>
                <c:pt idx="6">
                  <c:v>8912</c:v>
                </c:pt>
                <c:pt idx="7">
                  <c:v>21205</c:v>
                </c:pt>
                <c:pt idx="8">
                  <c:v>11329</c:v>
                </c:pt>
                <c:pt idx="9">
                  <c:v>46670</c:v>
                </c:pt>
                <c:pt idx="10">
                  <c:v>22482</c:v>
                </c:pt>
                <c:pt idx="11">
                  <c:v>24313</c:v>
                </c:pt>
                <c:pt idx="12">
                  <c:v>18050</c:v>
                </c:pt>
                <c:pt idx="13">
                  <c:v>30635</c:v>
                </c:pt>
                <c:pt idx="14">
                  <c:v>31280</c:v>
                </c:pt>
                <c:pt idx="15">
                  <c:v>1783</c:v>
                </c:pt>
                <c:pt idx="16">
                  <c:v>9566</c:v>
                </c:pt>
                <c:pt idx="17">
                  <c:v>42307</c:v>
                </c:pt>
                <c:pt idx="18">
                  <c:v>5914</c:v>
                </c:pt>
                <c:pt idx="19">
                  <c:v>30060</c:v>
                </c:pt>
                <c:pt idx="20">
                  <c:v>22728</c:v>
                </c:pt>
                <c:pt idx="21">
                  <c:v>38610</c:v>
                </c:pt>
                <c:pt idx="22">
                  <c:v>2932</c:v>
                </c:pt>
                <c:pt idx="23">
                  <c:v>15071</c:v>
                </c:pt>
                <c:pt idx="24">
                  <c:v>10740</c:v>
                </c:pt>
                <c:pt idx="25">
                  <c:v>43420</c:v>
                </c:pt>
                <c:pt idx="26">
                  <c:v>32393</c:v>
                </c:pt>
                <c:pt idx="27">
                  <c:v>28474</c:v>
                </c:pt>
                <c:pt idx="28">
                  <c:v>17328</c:v>
                </c:pt>
                <c:pt idx="29">
                  <c:v>26067</c:v>
                </c:pt>
                <c:pt idx="30">
                  <c:v>32763</c:v>
                </c:pt>
                <c:pt idx="31">
                  <c:v>26452</c:v>
                </c:pt>
                <c:pt idx="32">
                  <c:v>15353</c:v>
                </c:pt>
                <c:pt idx="33">
                  <c:v>4839</c:v>
                </c:pt>
                <c:pt idx="34">
                  <c:v>39272</c:v>
                </c:pt>
                <c:pt idx="35">
                  <c:v>16804</c:v>
                </c:pt>
                <c:pt idx="36">
                  <c:v>49303</c:v>
                </c:pt>
                <c:pt idx="37">
                  <c:v>26455</c:v>
                </c:pt>
                <c:pt idx="38">
                  <c:v>12384</c:v>
                </c:pt>
                <c:pt idx="39">
                  <c:v>49372</c:v>
                </c:pt>
                <c:pt idx="40">
                  <c:v>47101</c:v>
                </c:pt>
                <c:pt idx="41">
                  <c:v>37903</c:v>
                </c:pt>
                <c:pt idx="42">
                  <c:v>33258</c:v>
                </c:pt>
                <c:pt idx="43">
                  <c:v>6915</c:v>
                </c:pt>
                <c:pt idx="44">
                  <c:v>35501</c:v>
                </c:pt>
                <c:pt idx="45">
                  <c:v>14203</c:v>
                </c:pt>
                <c:pt idx="46">
                  <c:v>22206</c:v>
                </c:pt>
                <c:pt idx="47">
                  <c:v>10283</c:v>
                </c:pt>
                <c:pt idx="48">
                  <c:v>24913</c:v>
                </c:pt>
                <c:pt idx="49">
                  <c:v>26925</c:v>
                </c:pt>
                <c:pt idx="50">
                  <c:v>9942</c:v>
                </c:pt>
                <c:pt idx="51">
                  <c:v>32929</c:v>
                </c:pt>
                <c:pt idx="52">
                  <c:v>37829</c:v>
                </c:pt>
                <c:pt idx="53">
                  <c:v>24384</c:v>
                </c:pt>
                <c:pt idx="54">
                  <c:v>25797</c:v>
                </c:pt>
                <c:pt idx="55">
                  <c:v>12646</c:v>
                </c:pt>
                <c:pt idx="56">
                  <c:v>26663</c:v>
                </c:pt>
                <c:pt idx="57">
                  <c:v>40478</c:v>
                </c:pt>
                <c:pt idx="58">
                  <c:v>15476</c:v>
                </c:pt>
                <c:pt idx="59">
                  <c:v>10217</c:v>
                </c:pt>
                <c:pt idx="60">
                  <c:v>21939</c:v>
                </c:pt>
                <c:pt idx="61">
                  <c:v>47462</c:v>
                </c:pt>
                <c:pt idx="62">
                  <c:v>30270</c:v>
                </c:pt>
                <c:pt idx="63">
                  <c:v>5442</c:v>
                </c:pt>
                <c:pt idx="64">
                  <c:v>1083</c:v>
                </c:pt>
                <c:pt idx="65">
                  <c:v>11901</c:v>
                </c:pt>
                <c:pt idx="66">
                  <c:v>24018</c:v>
                </c:pt>
                <c:pt idx="67">
                  <c:v>38883</c:v>
                </c:pt>
                <c:pt idx="68">
                  <c:v>30575</c:v>
                </c:pt>
                <c:pt idx="69">
                  <c:v>2315</c:v>
                </c:pt>
                <c:pt idx="70">
                  <c:v>12148</c:v>
                </c:pt>
                <c:pt idx="71">
                  <c:v>36851</c:v>
                </c:pt>
                <c:pt idx="72">
                  <c:v>41215</c:v>
                </c:pt>
                <c:pt idx="73">
                  <c:v>43836</c:v>
                </c:pt>
                <c:pt idx="74">
                  <c:v>4509</c:v>
                </c:pt>
                <c:pt idx="75">
                  <c:v>27822</c:v>
                </c:pt>
                <c:pt idx="76">
                  <c:v>36397</c:v>
                </c:pt>
                <c:pt idx="77">
                  <c:v>7285</c:v>
                </c:pt>
                <c:pt idx="78">
                  <c:v>33174</c:v>
                </c:pt>
                <c:pt idx="79">
                  <c:v>6742</c:v>
                </c:pt>
                <c:pt idx="80">
                  <c:v>32478</c:v>
                </c:pt>
                <c:pt idx="81">
                  <c:v>42824</c:v>
                </c:pt>
                <c:pt idx="82">
                  <c:v>21208</c:v>
                </c:pt>
                <c:pt idx="83">
                  <c:v>44321</c:v>
                </c:pt>
                <c:pt idx="84">
                  <c:v>13116</c:v>
                </c:pt>
                <c:pt idx="85">
                  <c:v>30214</c:v>
                </c:pt>
                <c:pt idx="86">
                  <c:v>15827</c:v>
                </c:pt>
                <c:pt idx="87">
                  <c:v>46643</c:v>
                </c:pt>
                <c:pt idx="88">
                  <c:v>36484</c:v>
                </c:pt>
                <c:pt idx="89">
                  <c:v>4996</c:v>
                </c:pt>
                <c:pt idx="90">
                  <c:v>36095</c:v>
                </c:pt>
                <c:pt idx="91">
                  <c:v>16443</c:v>
                </c:pt>
                <c:pt idx="92">
                  <c:v>47812</c:v>
                </c:pt>
                <c:pt idx="93">
                  <c:v>38452</c:v>
                </c:pt>
                <c:pt idx="94">
                  <c:v>30428</c:v>
                </c:pt>
                <c:pt idx="95">
                  <c:v>9269</c:v>
                </c:pt>
                <c:pt idx="96">
                  <c:v>29533</c:v>
                </c:pt>
                <c:pt idx="97">
                  <c:v>39997</c:v>
                </c:pt>
                <c:pt idx="98">
                  <c:v>5391</c:v>
                </c:pt>
                <c:pt idx="99">
                  <c:v>22373</c:v>
                </c:pt>
                <c:pt idx="100">
                  <c:v>1810</c:v>
                </c:pt>
                <c:pt idx="101">
                  <c:v>28498</c:v>
                </c:pt>
                <c:pt idx="102">
                  <c:v>39530</c:v>
                </c:pt>
                <c:pt idx="103">
                  <c:v>37876</c:v>
                </c:pt>
                <c:pt idx="104">
                  <c:v>36103</c:v>
                </c:pt>
                <c:pt idx="105">
                  <c:v>26103</c:v>
                </c:pt>
                <c:pt idx="106">
                  <c:v>3455</c:v>
                </c:pt>
                <c:pt idx="107">
                  <c:v>40888</c:v>
                </c:pt>
                <c:pt idx="108">
                  <c:v>22724</c:v>
                </c:pt>
                <c:pt idx="109">
                  <c:v>18601</c:v>
                </c:pt>
                <c:pt idx="110">
                  <c:v>20861</c:v>
                </c:pt>
                <c:pt idx="111">
                  <c:v>46625</c:v>
                </c:pt>
                <c:pt idx="112">
                  <c:v>20692</c:v>
                </c:pt>
                <c:pt idx="113">
                  <c:v>18656</c:v>
                </c:pt>
                <c:pt idx="114">
                  <c:v>13316</c:v>
                </c:pt>
                <c:pt idx="115">
                  <c:v>49558</c:v>
                </c:pt>
                <c:pt idx="116">
                  <c:v>4683</c:v>
                </c:pt>
                <c:pt idx="117">
                  <c:v>47502</c:v>
                </c:pt>
                <c:pt idx="118">
                  <c:v>35359</c:v>
                </c:pt>
                <c:pt idx="119">
                  <c:v>14154</c:v>
                </c:pt>
                <c:pt idx="120">
                  <c:v>4313</c:v>
                </c:pt>
                <c:pt idx="121">
                  <c:v>25140</c:v>
                </c:pt>
                <c:pt idx="122">
                  <c:v>9118</c:v>
                </c:pt>
                <c:pt idx="123">
                  <c:v>39931</c:v>
                </c:pt>
                <c:pt idx="124">
                  <c:v>37132</c:v>
                </c:pt>
                <c:pt idx="125">
                  <c:v>17951</c:v>
                </c:pt>
                <c:pt idx="126">
                  <c:v>2798</c:v>
                </c:pt>
                <c:pt idx="127">
                  <c:v>15045</c:v>
                </c:pt>
                <c:pt idx="128">
                  <c:v>14548</c:v>
                </c:pt>
                <c:pt idx="129">
                  <c:v>45708</c:v>
                </c:pt>
                <c:pt idx="130">
                  <c:v>12350</c:v>
                </c:pt>
                <c:pt idx="131">
                  <c:v>40868</c:v>
                </c:pt>
                <c:pt idx="132">
                  <c:v>43122</c:v>
                </c:pt>
                <c:pt idx="133">
                  <c:v>23853</c:v>
                </c:pt>
                <c:pt idx="134">
                  <c:v>45380</c:v>
                </c:pt>
                <c:pt idx="135">
                  <c:v>7705</c:v>
                </c:pt>
                <c:pt idx="136">
                  <c:v>25525</c:v>
                </c:pt>
                <c:pt idx="137">
                  <c:v>20560</c:v>
                </c:pt>
                <c:pt idx="138">
                  <c:v>19119</c:v>
                </c:pt>
                <c:pt idx="139">
                  <c:v>43999</c:v>
                </c:pt>
                <c:pt idx="140">
                  <c:v>10825</c:v>
                </c:pt>
                <c:pt idx="141">
                  <c:v>40323</c:v>
                </c:pt>
                <c:pt idx="142">
                  <c:v>48270</c:v>
                </c:pt>
                <c:pt idx="143">
                  <c:v>18001</c:v>
                </c:pt>
                <c:pt idx="144">
                  <c:v>3314</c:v>
                </c:pt>
                <c:pt idx="145">
                  <c:v>23489</c:v>
                </c:pt>
                <c:pt idx="146">
                  <c:v>42832</c:v>
                </c:pt>
                <c:pt idx="147">
                  <c:v>24494</c:v>
                </c:pt>
                <c:pt idx="148">
                  <c:v>44097</c:v>
                </c:pt>
                <c:pt idx="149">
                  <c:v>31853</c:v>
                </c:pt>
                <c:pt idx="150">
                  <c:v>37636</c:v>
                </c:pt>
                <c:pt idx="151">
                  <c:v>22996</c:v>
                </c:pt>
                <c:pt idx="152">
                  <c:v>49772</c:v>
                </c:pt>
                <c:pt idx="153">
                  <c:v>22713</c:v>
                </c:pt>
                <c:pt idx="154">
                  <c:v>8718</c:v>
                </c:pt>
                <c:pt idx="155">
                  <c:v>39031</c:v>
                </c:pt>
                <c:pt idx="156">
                  <c:v>33799</c:v>
                </c:pt>
                <c:pt idx="157">
                  <c:v>20553</c:v>
                </c:pt>
                <c:pt idx="158">
                  <c:v>10002</c:v>
                </c:pt>
                <c:pt idx="159">
                  <c:v>30987</c:v>
                </c:pt>
                <c:pt idx="160">
                  <c:v>6296</c:v>
                </c:pt>
                <c:pt idx="161">
                  <c:v>21539</c:v>
                </c:pt>
                <c:pt idx="162">
                  <c:v>14722</c:v>
                </c:pt>
                <c:pt idx="163">
                  <c:v>11383</c:v>
                </c:pt>
                <c:pt idx="164">
                  <c:v>9480</c:v>
                </c:pt>
                <c:pt idx="165">
                  <c:v>29116</c:v>
                </c:pt>
                <c:pt idx="166">
                  <c:v>14068</c:v>
                </c:pt>
                <c:pt idx="167">
                  <c:v>35801</c:v>
                </c:pt>
                <c:pt idx="168">
                  <c:v>49077</c:v>
                </c:pt>
                <c:pt idx="169">
                  <c:v>21453</c:v>
                </c:pt>
                <c:pt idx="170">
                  <c:v>21061</c:v>
                </c:pt>
                <c:pt idx="171">
                  <c:v>20059</c:v>
                </c:pt>
                <c:pt idx="172">
                  <c:v>23140</c:v>
                </c:pt>
                <c:pt idx="173">
                  <c:v>23461</c:v>
                </c:pt>
                <c:pt idx="174">
                  <c:v>11805</c:v>
                </c:pt>
                <c:pt idx="175">
                  <c:v>15969</c:v>
                </c:pt>
                <c:pt idx="176">
                  <c:v>2436</c:v>
                </c:pt>
                <c:pt idx="177">
                  <c:v>47603</c:v>
                </c:pt>
                <c:pt idx="178">
                  <c:v>42964</c:v>
                </c:pt>
                <c:pt idx="179">
                  <c:v>39923</c:v>
                </c:pt>
                <c:pt idx="180">
                  <c:v>2293</c:v>
                </c:pt>
                <c:pt idx="181">
                  <c:v>25920</c:v>
                </c:pt>
                <c:pt idx="182">
                  <c:v>11035</c:v>
                </c:pt>
                <c:pt idx="183">
                  <c:v>20733</c:v>
                </c:pt>
                <c:pt idx="184">
                  <c:v>18693</c:v>
                </c:pt>
                <c:pt idx="185">
                  <c:v>7875</c:v>
                </c:pt>
                <c:pt idx="186">
                  <c:v>8471</c:v>
                </c:pt>
                <c:pt idx="187">
                  <c:v>14090</c:v>
                </c:pt>
                <c:pt idx="188">
                  <c:v>14216</c:v>
                </c:pt>
                <c:pt idx="189">
                  <c:v>3582</c:v>
                </c:pt>
                <c:pt idx="190">
                  <c:v>32500</c:v>
                </c:pt>
                <c:pt idx="191">
                  <c:v>6832</c:v>
                </c:pt>
                <c:pt idx="192">
                  <c:v>33381</c:v>
                </c:pt>
                <c:pt idx="193">
                  <c:v>48419</c:v>
                </c:pt>
                <c:pt idx="194">
                  <c:v>16149</c:v>
                </c:pt>
                <c:pt idx="195">
                  <c:v>7541</c:v>
                </c:pt>
                <c:pt idx="196">
                  <c:v>20042</c:v>
                </c:pt>
                <c:pt idx="197">
                  <c:v>49400</c:v>
                </c:pt>
                <c:pt idx="198">
                  <c:v>4007</c:v>
                </c:pt>
                <c:pt idx="199">
                  <c:v>12174</c:v>
                </c:pt>
              </c:numCache>
            </c:numRef>
          </c:xVal>
          <c:yVal>
            <c:numRef>
              <c:f>'Task 6'!$I$2:$I$201</c:f>
              <c:numCache>
                <c:formatCode>General</c:formatCode>
                <c:ptCount val="200"/>
                <c:pt idx="0">
                  <c:v>1047</c:v>
                </c:pt>
                <c:pt idx="1">
                  <c:v>1002</c:v>
                </c:pt>
                <c:pt idx="2">
                  <c:v>415</c:v>
                </c:pt>
                <c:pt idx="3">
                  <c:v>1090</c:v>
                </c:pt>
                <c:pt idx="4">
                  <c:v>517</c:v>
                </c:pt>
                <c:pt idx="5">
                  <c:v>1283</c:v>
                </c:pt>
                <c:pt idx="6">
                  <c:v>186</c:v>
                </c:pt>
                <c:pt idx="7">
                  <c:v>994</c:v>
                </c:pt>
                <c:pt idx="8">
                  <c:v>893</c:v>
                </c:pt>
                <c:pt idx="9">
                  <c:v>1382</c:v>
                </c:pt>
                <c:pt idx="10">
                  <c:v>1295</c:v>
                </c:pt>
                <c:pt idx="11">
                  <c:v>337</c:v>
                </c:pt>
                <c:pt idx="12">
                  <c:v>629</c:v>
                </c:pt>
                <c:pt idx="13">
                  <c:v>1670</c:v>
                </c:pt>
                <c:pt idx="14">
                  <c:v>835</c:v>
                </c:pt>
                <c:pt idx="15">
                  <c:v>-123</c:v>
                </c:pt>
                <c:pt idx="16">
                  <c:v>-219</c:v>
                </c:pt>
                <c:pt idx="17">
                  <c:v>64</c:v>
                </c:pt>
                <c:pt idx="18">
                  <c:v>1357</c:v>
                </c:pt>
                <c:pt idx="19">
                  <c:v>91</c:v>
                </c:pt>
                <c:pt idx="20">
                  <c:v>1672</c:v>
                </c:pt>
                <c:pt idx="21">
                  <c:v>309</c:v>
                </c:pt>
                <c:pt idx="22">
                  <c:v>547</c:v>
                </c:pt>
                <c:pt idx="23">
                  <c:v>514</c:v>
                </c:pt>
                <c:pt idx="24">
                  <c:v>1845</c:v>
                </c:pt>
                <c:pt idx="25">
                  <c:v>-164</c:v>
                </c:pt>
                <c:pt idx="26">
                  <c:v>429</c:v>
                </c:pt>
                <c:pt idx="27">
                  <c:v>160</c:v>
                </c:pt>
                <c:pt idx="28">
                  <c:v>159</c:v>
                </c:pt>
                <c:pt idx="29">
                  <c:v>961</c:v>
                </c:pt>
                <c:pt idx="30">
                  <c:v>1316</c:v>
                </c:pt>
                <c:pt idx="31">
                  <c:v>317</c:v>
                </c:pt>
                <c:pt idx="32">
                  <c:v>541</c:v>
                </c:pt>
                <c:pt idx="33">
                  <c:v>-318</c:v>
                </c:pt>
                <c:pt idx="34">
                  <c:v>1495</c:v>
                </c:pt>
                <c:pt idx="35">
                  <c:v>475</c:v>
                </c:pt>
                <c:pt idx="36">
                  <c:v>352</c:v>
                </c:pt>
                <c:pt idx="37">
                  <c:v>-197</c:v>
                </c:pt>
                <c:pt idx="38">
                  <c:v>328</c:v>
                </c:pt>
                <c:pt idx="39">
                  <c:v>319</c:v>
                </c:pt>
                <c:pt idx="40">
                  <c:v>1325</c:v>
                </c:pt>
                <c:pt idx="41">
                  <c:v>1334</c:v>
                </c:pt>
                <c:pt idx="42">
                  <c:v>37</c:v>
                </c:pt>
                <c:pt idx="43">
                  <c:v>1032</c:v>
                </c:pt>
                <c:pt idx="44">
                  <c:v>76</c:v>
                </c:pt>
                <c:pt idx="45">
                  <c:v>1058</c:v>
                </c:pt>
                <c:pt idx="46">
                  <c:v>1665</c:v>
                </c:pt>
                <c:pt idx="47">
                  <c:v>190</c:v>
                </c:pt>
                <c:pt idx="48">
                  <c:v>1609</c:v>
                </c:pt>
                <c:pt idx="49">
                  <c:v>37</c:v>
                </c:pt>
                <c:pt idx="50">
                  <c:v>1229</c:v>
                </c:pt>
                <c:pt idx="51">
                  <c:v>28</c:v>
                </c:pt>
                <c:pt idx="52">
                  <c:v>1247</c:v>
                </c:pt>
                <c:pt idx="53">
                  <c:v>1045</c:v>
                </c:pt>
                <c:pt idx="54">
                  <c:v>197</c:v>
                </c:pt>
                <c:pt idx="55">
                  <c:v>333</c:v>
                </c:pt>
                <c:pt idx="56">
                  <c:v>1572</c:v>
                </c:pt>
                <c:pt idx="57">
                  <c:v>1428</c:v>
                </c:pt>
                <c:pt idx="58">
                  <c:v>260</c:v>
                </c:pt>
                <c:pt idx="59">
                  <c:v>1100</c:v>
                </c:pt>
                <c:pt idx="60">
                  <c:v>377</c:v>
                </c:pt>
                <c:pt idx="61">
                  <c:v>98</c:v>
                </c:pt>
                <c:pt idx="62">
                  <c:v>1125</c:v>
                </c:pt>
                <c:pt idx="63">
                  <c:v>-32</c:v>
                </c:pt>
                <c:pt idx="64">
                  <c:v>666</c:v>
                </c:pt>
                <c:pt idx="65">
                  <c:v>-19</c:v>
                </c:pt>
                <c:pt idx="66">
                  <c:v>1680</c:v>
                </c:pt>
                <c:pt idx="67">
                  <c:v>1006</c:v>
                </c:pt>
                <c:pt idx="68">
                  <c:v>1025</c:v>
                </c:pt>
                <c:pt idx="69">
                  <c:v>-179</c:v>
                </c:pt>
                <c:pt idx="70">
                  <c:v>599</c:v>
                </c:pt>
                <c:pt idx="71">
                  <c:v>1706</c:v>
                </c:pt>
                <c:pt idx="72">
                  <c:v>1872</c:v>
                </c:pt>
                <c:pt idx="73">
                  <c:v>1662</c:v>
                </c:pt>
                <c:pt idx="74">
                  <c:v>107</c:v>
                </c:pt>
                <c:pt idx="75">
                  <c:v>118</c:v>
                </c:pt>
                <c:pt idx="76">
                  <c:v>1224</c:v>
                </c:pt>
                <c:pt idx="77">
                  <c:v>285</c:v>
                </c:pt>
                <c:pt idx="78">
                  <c:v>-20</c:v>
                </c:pt>
                <c:pt idx="79">
                  <c:v>367</c:v>
                </c:pt>
                <c:pt idx="80">
                  <c:v>262</c:v>
                </c:pt>
                <c:pt idx="81">
                  <c:v>439</c:v>
                </c:pt>
                <c:pt idx="82">
                  <c:v>636</c:v>
                </c:pt>
                <c:pt idx="83">
                  <c:v>1484</c:v>
                </c:pt>
                <c:pt idx="84">
                  <c:v>576</c:v>
                </c:pt>
                <c:pt idx="85">
                  <c:v>386</c:v>
                </c:pt>
                <c:pt idx="86">
                  <c:v>37</c:v>
                </c:pt>
                <c:pt idx="87">
                  <c:v>1657</c:v>
                </c:pt>
                <c:pt idx="88">
                  <c:v>1397</c:v>
                </c:pt>
                <c:pt idx="89">
                  <c:v>540</c:v>
                </c:pt>
                <c:pt idx="90">
                  <c:v>1603</c:v>
                </c:pt>
                <c:pt idx="91">
                  <c:v>1044</c:v>
                </c:pt>
                <c:pt idx="92">
                  <c:v>902</c:v>
                </c:pt>
                <c:pt idx="93">
                  <c:v>-106</c:v>
                </c:pt>
                <c:pt idx="94">
                  <c:v>1150</c:v>
                </c:pt>
                <c:pt idx="95">
                  <c:v>349</c:v>
                </c:pt>
                <c:pt idx="96">
                  <c:v>-49</c:v>
                </c:pt>
                <c:pt idx="97">
                  <c:v>72</c:v>
                </c:pt>
                <c:pt idx="98">
                  <c:v>445</c:v>
                </c:pt>
                <c:pt idx="99">
                  <c:v>60</c:v>
                </c:pt>
                <c:pt idx="100">
                  <c:v>1693</c:v>
                </c:pt>
                <c:pt idx="101">
                  <c:v>1332</c:v>
                </c:pt>
                <c:pt idx="102">
                  <c:v>98</c:v>
                </c:pt>
                <c:pt idx="103">
                  <c:v>885</c:v>
                </c:pt>
                <c:pt idx="104">
                  <c:v>1625</c:v>
                </c:pt>
                <c:pt idx="105">
                  <c:v>1706</c:v>
                </c:pt>
                <c:pt idx="106">
                  <c:v>1173</c:v>
                </c:pt>
                <c:pt idx="107">
                  <c:v>291</c:v>
                </c:pt>
                <c:pt idx="108">
                  <c:v>1119</c:v>
                </c:pt>
                <c:pt idx="109">
                  <c:v>1373</c:v>
                </c:pt>
                <c:pt idx="110">
                  <c:v>1727</c:v>
                </c:pt>
                <c:pt idx="111">
                  <c:v>573</c:v>
                </c:pt>
                <c:pt idx="112">
                  <c:v>1432</c:v>
                </c:pt>
                <c:pt idx="113">
                  <c:v>1377</c:v>
                </c:pt>
                <c:pt idx="114">
                  <c:v>1359</c:v>
                </c:pt>
                <c:pt idx="115">
                  <c:v>876</c:v>
                </c:pt>
                <c:pt idx="116">
                  <c:v>684</c:v>
                </c:pt>
                <c:pt idx="117">
                  <c:v>730</c:v>
                </c:pt>
                <c:pt idx="118">
                  <c:v>911</c:v>
                </c:pt>
                <c:pt idx="119">
                  <c:v>1589</c:v>
                </c:pt>
                <c:pt idx="120">
                  <c:v>1765</c:v>
                </c:pt>
                <c:pt idx="121">
                  <c:v>1776</c:v>
                </c:pt>
                <c:pt idx="122">
                  <c:v>1529</c:v>
                </c:pt>
                <c:pt idx="123">
                  <c:v>1460</c:v>
                </c:pt>
                <c:pt idx="124">
                  <c:v>903</c:v>
                </c:pt>
                <c:pt idx="125">
                  <c:v>620</c:v>
                </c:pt>
                <c:pt idx="126">
                  <c:v>1188</c:v>
                </c:pt>
                <c:pt idx="127">
                  <c:v>846</c:v>
                </c:pt>
                <c:pt idx="128">
                  <c:v>1722</c:v>
                </c:pt>
                <c:pt idx="129">
                  <c:v>298</c:v>
                </c:pt>
                <c:pt idx="130">
                  <c:v>-144</c:v>
                </c:pt>
                <c:pt idx="131">
                  <c:v>901</c:v>
                </c:pt>
                <c:pt idx="132">
                  <c:v>1572</c:v>
                </c:pt>
                <c:pt idx="133">
                  <c:v>427</c:v>
                </c:pt>
                <c:pt idx="134">
                  <c:v>891</c:v>
                </c:pt>
                <c:pt idx="135">
                  <c:v>724</c:v>
                </c:pt>
                <c:pt idx="136">
                  <c:v>-166</c:v>
                </c:pt>
                <c:pt idx="137">
                  <c:v>898</c:v>
                </c:pt>
                <c:pt idx="138">
                  <c:v>1426</c:v>
                </c:pt>
                <c:pt idx="139">
                  <c:v>1225</c:v>
                </c:pt>
                <c:pt idx="140">
                  <c:v>1080</c:v>
                </c:pt>
                <c:pt idx="141">
                  <c:v>748</c:v>
                </c:pt>
                <c:pt idx="142">
                  <c:v>569</c:v>
                </c:pt>
                <c:pt idx="143">
                  <c:v>-203</c:v>
                </c:pt>
                <c:pt idx="144">
                  <c:v>1723</c:v>
                </c:pt>
                <c:pt idx="145">
                  <c:v>912</c:v>
                </c:pt>
                <c:pt idx="146">
                  <c:v>1202</c:v>
                </c:pt>
                <c:pt idx="147">
                  <c:v>1444</c:v>
                </c:pt>
                <c:pt idx="148">
                  <c:v>965</c:v>
                </c:pt>
                <c:pt idx="149">
                  <c:v>1590</c:v>
                </c:pt>
                <c:pt idx="150">
                  <c:v>-37</c:v>
                </c:pt>
                <c:pt idx="151">
                  <c:v>1175</c:v>
                </c:pt>
                <c:pt idx="152">
                  <c:v>1375</c:v>
                </c:pt>
                <c:pt idx="153">
                  <c:v>1707</c:v>
                </c:pt>
                <c:pt idx="154">
                  <c:v>708</c:v>
                </c:pt>
                <c:pt idx="155">
                  <c:v>1016</c:v>
                </c:pt>
                <c:pt idx="156">
                  <c:v>1315</c:v>
                </c:pt>
                <c:pt idx="157">
                  <c:v>-119</c:v>
                </c:pt>
                <c:pt idx="158">
                  <c:v>899</c:v>
                </c:pt>
                <c:pt idx="159">
                  <c:v>315</c:v>
                </c:pt>
                <c:pt idx="160">
                  <c:v>212</c:v>
                </c:pt>
                <c:pt idx="161">
                  <c:v>908</c:v>
                </c:pt>
                <c:pt idx="162">
                  <c:v>1350</c:v>
                </c:pt>
                <c:pt idx="163">
                  <c:v>1242</c:v>
                </c:pt>
                <c:pt idx="164">
                  <c:v>680</c:v>
                </c:pt>
                <c:pt idx="165">
                  <c:v>1116</c:v>
                </c:pt>
                <c:pt idx="166">
                  <c:v>861</c:v>
                </c:pt>
                <c:pt idx="167">
                  <c:v>1385</c:v>
                </c:pt>
                <c:pt idx="168">
                  <c:v>461</c:v>
                </c:pt>
                <c:pt idx="169">
                  <c:v>474</c:v>
                </c:pt>
                <c:pt idx="170">
                  <c:v>292</c:v>
                </c:pt>
                <c:pt idx="171">
                  <c:v>389</c:v>
                </c:pt>
                <c:pt idx="172">
                  <c:v>641</c:v>
                </c:pt>
                <c:pt idx="173">
                  <c:v>514</c:v>
                </c:pt>
                <c:pt idx="174">
                  <c:v>1676</c:v>
                </c:pt>
                <c:pt idx="175">
                  <c:v>1467</c:v>
                </c:pt>
                <c:pt idx="176">
                  <c:v>167</c:v>
                </c:pt>
                <c:pt idx="177">
                  <c:v>1029</c:v>
                </c:pt>
                <c:pt idx="178">
                  <c:v>1007</c:v>
                </c:pt>
                <c:pt idx="179">
                  <c:v>209</c:v>
                </c:pt>
                <c:pt idx="180">
                  <c:v>-160</c:v>
                </c:pt>
                <c:pt idx="181">
                  <c:v>-175</c:v>
                </c:pt>
                <c:pt idx="182">
                  <c:v>53</c:v>
                </c:pt>
                <c:pt idx="183">
                  <c:v>145</c:v>
                </c:pt>
                <c:pt idx="184">
                  <c:v>603</c:v>
                </c:pt>
                <c:pt idx="185">
                  <c:v>1045</c:v>
                </c:pt>
                <c:pt idx="186">
                  <c:v>759</c:v>
                </c:pt>
                <c:pt idx="187">
                  <c:v>1633</c:v>
                </c:pt>
                <c:pt idx="188">
                  <c:v>1539</c:v>
                </c:pt>
                <c:pt idx="189">
                  <c:v>453</c:v>
                </c:pt>
                <c:pt idx="190">
                  <c:v>948</c:v>
                </c:pt>
                <c:pt idx="191">
                  <c:v>637</c:v>
                </c:pt>
                <c:pt idx="192">
                  <c:v>1881</c:v>
                </c:pt>
                <c:pt idx="193">
                  <c:v>339</c:v>
                </c:pt>
                <c:pt idx="194">
                  <c:v>1510</c:v>
                </c:pt>
                <c:pt idx="195">
                  <c:v>864</c:v>
                </c:pt>
                <c:pt idx="196">
                  <c:v>1656</c:v>
                </c:pt>
                <c:pt idx="197">
                  <c:v>407</c:v>
                </c:pt>
                <c:pt idx="198">
                  <c:v>269</c:v>
                </c:pt>
                <c:pt idx="199">
                  <c:v>-337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66-41CA-AC94-F66B6A3E492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24646271"/>
        <c:axId val="1724640511"/>
      </c:scatterChart>
      <c:valAx>
        <c:axId val="172464627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Ad_Spend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0511"/>
        <c:crosses val="autoZero"/>
        <c:crossBetween val="midCat"/>
      </c:valAx>
      <c:valAx>
        <c:axId val="1724640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65000"/>
                  <a:lumOff val="35000"/>
                  <a:alpha val="7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1" i="0" u="none" strike="noStrike" kern="1200" baseline="0">
                    <a:solidFill>
                      <a:schemeClr val="lt1">
                        <a:lumMod val="7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IN"/>
                  <a:t> Net_Follwers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1" i="0" u="none" strike="noStrike" kern="1200" baseline="0">
                  <a:solidFill>
                    <a:schemeClr val="lt1">
                      <a:lumMod val="7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5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7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24646271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dk1">
        <a:lumMod val="75000"/>
        <a:lumOff val="25000"/>
      </a:schemeClr>
    </a:soli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[Tesla_Social_Media_Analytics2.xlsx]Task 3!PivotTable4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'Task 3'!$H$3</c:f>
              <c:strCache>
                <c:ptCount val="1"/>
                <c:pt idx="0">
                  <c:v>Average of Engagement_Rate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'Task 3'!$G$4:$G$8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3'!$H$4:$H$8</c:f>
              <c:numCache>
                <c:formatCode>General</c:formatCode>
                <c:ptCount val="4"/>
                <c:pt idx="0">
                  <c:v>5.6486000000000001</c:v>
                </c:pt>
                <c:pt idx="1">
                  <c:v>5.7156000000000002</c:v>
                </c:pt>
                <c:pt idx="2">
                  <c:v>5.6558000000000002</c:v>
                </c:pt>
                <c:pt idx="3">
                  <c:v>5.5587999999999997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948-40BC-87F7-09BC72B3E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160981823"/>
        <c:axId val="1160980863"/>
      </c:barChart>
      <c:lineChart>
        <c:grouping val="standard"/>
        <c:varyColors val="0"/>
        <c:ser>
          <c:idx val="1"/>
          <c:order val="1"/>
          <c:tx>
            <c:strRef>
              <c:f>'Task 3'!$I$3</c:f>
              <c:strCache>
                <c:ptCount val="1"/>
                <c:pt idx="0">
                  <c:v>Sum of Ad_Spend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'Task 3'!$G$4:$G$8</c:f>
              <c:strCache>
                <c:ptCount val="4"/>
                <c:pt idx="0">
                  <c:v>Facebook</c:v>
                </c:pt>
                <c:pt idx="1">
                  <c:v>Instagram</c:v>
                </c:pt>
                <c:pt idx="2">
                  <c:v>Twitter</c:v>
                </c:pt>
                <c:pt idx="3">
                  <c:v>YouTube</c:v>
                </c:pt>
              </c:strCache>
            </c:strRef>
          </c:cat>
          <c:val>
            <c:numRef>
              <c:f>'Task 3'!$I$4:$I$8</c:f>
              <c:numCache>
                <c:formatCode>General</c:formatCode>
                <c:ptCount val="4"/>
                <c:pt idx="0">
                  <c:v>1379539</c:v>
                </c:pt>
                <c:pt idx="1">
                  <c:v>1164373</c:v>
                </c:pt>
                <c:pt idx="2">
                  <c:v>1060357</c:v>
                </c:pt>
                <c:pt idx="3">
                  <c:v>1228647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48-40BC-87F7-09BC72B3EB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32289455"/>
        <c:axId val="1161043599"/>
      </c:lineChart>
      <c:catAx>
        <c:axId val="1160981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80863"/>
        <c:crosses val="autoZero"/>
        <c:auto val="1"/>
        <c:lblAlgn val="ctr"/>
        <c:lblOffset val="100"/>
        <c:noMultiLvlLbl val="0"/>
      </c:catAx>
      <c:valAx>
        <c:axId val="11609808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60981823"/>
        <c:crosses val="autoZero"/>
        <c:crossBetween val="between"/>
      </c:valAx>
      <c:valAx>
        <c:axId val="116104359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32289455"/>
        <c:crosses val="max"/>
        <c:crossBetween val="between"/>
      </c:valAx>
      <c:catAx>
        <c:axId val="1132289455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161043599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5">
  <cs:axisTitle>
    <cs:lnRef idx="0"/>
    <cs:fillRef idx="0"/>
    <cs:effectRef idx="0"/>
    <cs:fontRef idx="minor">
      <a:schemeClr val="lt1">
        <a:lumMod val="75000"/>
      </a:schemeClr>
    </cs:fontRef>
    <cs:defRPr sz="900" b="1" kern="1200"/>
  </cs:axisTitle>
  <cs:categoryAxis>
    <cs:lnRef idx="0"/>
    <cs:fillRef idx="0"/>
    <cs:effectRef idx="0"/>
    <cs:fontRef idx="minor">
      <a:schemeClr val="lt1">
        <a:lumMod val="7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>
        <a:lumMod val="75000"/>
      </a:schemeClr>
    </cs:fontRef>
    <cs:defRPr sz="900" kern="1200"/>
  </cs:dataLabel>
  <cs:dataLabelCallout>
    <cs:lnRef idx="0"/>
    <cs:fillRef idx="0"/>
    <cs:effectRef idx="0"/>
    <cs:fontRef idx="minor">
      <a:schemeClr val="lt1">
        <a:lumMod val="15000"/>
        <a:lumOff val="85000"/>
      </a:schemeClr>
    </cs:fontRef>
    <cs:spPr>
      <a:solidFill>
        <a:schemeClr val="dk1">
          <a:lumMod val="65000"/>
          <a:lumOff val="3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/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9525" cap="flat" cmpd="sng" algn="ctr">
        <a:solidFill>
          <a:schemeClr val="phClr"/>
        </a:solidFill>
        <a:miter lim="800000"/>
      </a:ln>
      <a:effectLst>
        <a:glow rad="63500">
          <a:schemeClr val="phClr">
            <a:satMod val="175000"/>
            <a:alpha val="25000"/>
          </a:schemeClr>
        </a:glow>
      </a:effectLst>
    </cs:spPr>
  </cs:dataPoint3D>
  <cs:dataPointLine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ln w="22225" cap="rnd">
        <a:solidFill>
          <a:schemeClr val="phClr"/>
        </a:solidFill>
      </a:ln>
      <a:effectLst>
        <a:glow rad="139700">
          <a:schemeClr val="phClr">
            <a:satMod val="175000"/>
            <a:alpha val="14000"/>
          </a:schemeClr>
        </a:glow>
      </a:effectLst>
    </cs:spPr>
  </cs:dataPointLine>
  <cs:dataPointMarker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lumMod val="60000"/>
          <a:lumOff val="40000"/>
        </a:schemeClr>
      </a:solidFill>
      <a:effectLst>
        <a:glow rad="63500">
          <a:schemeClr val="phClr">
            <a:satMod val="175000"/>
            <a:alpha val="25000"/>
          </a:schemeClr>
        </a:glow>
      </a:effectLst>
    </cs:spPr>
  </cs:dataPointMarker>
  <cs:dataPointMarkerLayout symbol="circle" size="3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75000"/>
      </a:schemeClr>
    </cs:fontRef>
    <cs:spPr>
      <a:ln w="9525">
        <a:solidFill>
          <a:schemeClr val="dk1">
            <a:lumMod val="50000"/>
            <a:lumOff val="50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7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7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65000"/>
            <a:lumOff val="35000"/>
            <a:alpha val="2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leaderLine>
  <cs:legend>
    <cs:lnRef idx="0"/>
    <cs:fillRef idx="0"/>
    <cs:effectRef idx="0"/>
    <cs:fontRef idx="minor">
      <a:schemeClr val="lt1">
        <a:lumMod val="7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lt1">
        <a:lumMod val="7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lt1">
            <a:lumMod val="50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85000"/>
      </a:schemeClr>
    </cs:fontRef>
    <cs:defRPr sz="1400" b="1" kern="1200" cap="none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25400" cap="rnd">
        <a:solidFill>
          <a:schemeClr val="phClr">
            <a:alpha val="50000"/>
          </a:schemeClr>
        </a:solidFill>
      </a:ln>
    </cs:spPr>
  </cs:trendline>
  <cs:trendlineLabel>
    <cs:lnRef idx="0"/>
    <cs:fillRef idx="0"/>
    <cs:effectRef idx="0"/>
    <cs:fontRef idx="minor">
      <a:schemeClr val="lt1">
        <a:lumMod val="7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85000"/>
        </a:schemeClr>
      </a:solidFill>
      <a:ln w="9525">
        <a:solidFill>
          <a:schemeClr val="dk1">
            <a:lumMod val="50000"/>
          </a:schemeClr>
        </a:solidFill>
        <a:round/>
      </a:ln>
    </cs:spPr>
  </cs:upBar>
  <cs:valueAxis>
    <cs:lnRef idx="0"/>
    <cs:fillRef idx="0"/>
    <cs:effectRef idx="0"/>
    <cs:fontRef idx="minor">
      <a:schemeClr val="lt1">
        <a:lumMod val="75000"/>
      </a:schemeClr>
    </cs:fontRef>
    <cs:spPr>
      <a:ln w="9525" cap="flat" cmpd="sng" algn="ctr">
        <a:solidFill>
          <a:schemeClr val="lt1">
            <a:lumMod val="50000"/>
          </a:schemeClr>
        </a:solidFill>
        <a:round/>
      </a:ln>
    </cs:spPr>
    <cs:defRPr sz="900" kern="1200"/>
    <cs:bodyPr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158115</xdr:colOff>
      <xdr:row>4</xdr:row>
      <xdr:rowOff>125730</xdr:rowOff>
    </xdr:from>
    <xdr:to>
      <xdr:col>30</xdr:col>
      <xdr:colOff>66675</xdr:colOff>
      <xdr:row>25</xdr:row>
      <xdr:rowOff>129540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2477F4-F379-A95D-2593-01BFD1B64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828454</xdr:colOff>
      <xdr:row>28</xdr:row>
      <xdr:rowOff>81515</xdr:rowOff>
    </xdr:from>
    <xdr:to>
      <xdr:col>30</xdr:col>
      <xdr:colOff>310117</xdr:colOff>
      <xdr:row>50</xdr:row>
      <xdr:rowOff>8861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2B6FB2C-1FAF-8DC4-E5D8-BE0AC93513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9</xdr:row>
      <xdr:rowOff>171450</xdr:rowOff>
    </xdr:from>
    <xdr:to>
      <xdr:col>11</xdr:col>
      <xdr:colOff>7620</xdr:colOff>
      <xdr:row>25</xdr:row>
      <xdr:rowOff>22860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75F8DE9-52FB-7F30-15D9-C9E7D9492F1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_rels/pivotCacheDefinition7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7.xml"/></Relationships>
</file>

<file path=xl/pivotCache/_rels/pivotCacheDefinition8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8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34163194448" createdVersion="8" refreshedVersion="8" minRefreshableVersion="3" recordCount="300" xr:uid="{F429E2F4-4B3F-4074-AD4F-9D6333D9782A}">
  <cacheSource type="worksheet">
    <worksheetSource name="Table1_2"/>
  </cacheSource>
  <cacheFields count="16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22">
      <sharedItems containsSemiMixedTypes="0" containsNonDate="0" containsDate="1" containsString="0" minDate="2024-06-01T00:00:00" maxDate="2025-05-15T00:00:00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/>
    </cacheField>
    <cacheField name="Hashtags Used.2" numFmtId="0">
      <sharedItems containsBlank="1"/>
    </cacheField>
    <cacheField name="Hashtags Used.3" numFmtId="0">
      <sharedItems containsBlank="1"/>
    </cacheField>
    <cacheField name="Campaign_Name_Filled" numFmtId="0">
      <sharedItems count="4">
        <s v="CybertruckLaunch"/>
        <s v="ModelYCampaign"/>
        <s v="FSDUpdate"/>
        <s v="SustainabilityDrive"/>
      </sharedItems>
    </cacheField>
    <cacheField name="Engagement Rate" numFmtId="164">
      <sharedItems containsSemiMixedTypes="0" containsString="0" containsNumber="1" minValue="5.2551586421122697E-2" maxValue="1.812925170068027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34165046296" createdVersion="8" refreshedVersion="8" minRefreshableVersion="3" recordCount="339" xr:uid="{074D5DE3-90CA-4C46-91C6-74A60256FBE9}">
  <cacheSource type="worksheet">
    <worksheetSource name="Table1_2__2_1"/>
  </cacheSource>
  <cacheFields count="14">
    <cacheField name="Post ID" numFmtId="0">
      <sharedItems/>
    </cacheField>
    <cacheField name="Platform" numFmtId="0">
      <sharedItems count="4">
        <s v="Twitter"/>
        <s v="YouTube"/>
        <s v="Instagram"/>
        <s v="Facebook"/>
      </sharedItems>
    </cacheField>
    <cacheField name="Date" numFmtId="0">
      <sharedItems containsSemiMixedTypes="0" containsString="0" containsNumber="1" containsInteger="1" minValue="45444" maxValue="45791"/>
    </cacheField>
    <cacheField name="Content Type" numFmtId="0">
      <sharedItems count="6">
        <s v="Reel"/>
        <s v="Text"/>
        <s v="Story"/>
        <s v="Carousel"/>
        <s v="Image"/>
        <s v="Video"/>
      </sharedItems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_Filled" numFmtId="0">
      <sharedItems/>
    </cacheField>
    <cacheField name="Engagement Rate" numFmtId="0">
      <sharedItems containsSemiMixedTypes="0" containsString="0" containsNumber="1" minValue="5.2551586421122697E-2" maxValue="1.8129251700680271"/>
    </cacheField>
    <cacheField name="Hastag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34165972219" createdVersion="8" refreshedVersion="8" minRefreshableVersion="3" recordCount="815" xr:uid="{2ED1C067-F4D8-46F5-A895-1C1C49C6E0D2}">
  <cacheSource type="worksheet">
    <worksheetSource ref="A1:A914" sheet="Task 4"/>
  </cacheSource>
  <cacheFields count="1">
    <cacheField name="Hashtags Used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34166203704" createdVersion="8" refreshedVersion="8" minRefreshableVersion="3" recordCount="200" xr:uid="{62FB29BA-571A-4119-A303-0316C4073744}">
  <cacheSource type="worksheet">
    <worksheetSource ref="A1:H201" sheet="Engagement Summary"/>
  </cacheSource>
  <cacheFields count="8">
    <cacheField name="Week_Start_Date" numFmtId="0">
      <sharedItems/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Follower Growth Rate" numFmtId="10">
      <sharedItems containsSemiMixedTypes="0" containsString="0" containsNumber="1" minValue="-4.0819787301048958E-3" maxValue="0.1082511426509502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34167013889" createdVersion="8" refreshedVersion="8" minRefreshableVersion="3" recordCount="339" xr:uid="{427723BE-F5B5-4E9B-9A70-AFD3FFE97A51}">
  <cacheSource type="worksheet">
    <worksheetSource name="Table1_3"/>
  </cacheSource>
  <cacheFields count="14">
    <cacheField name="Post 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Campaign_Name_Filled" numFmtId="0">
      <sharedItems/>
    </cacheField>
    <cacheField name="Engagement Rate" numFmtId="0">
      <sharedItems containsSemiMixedTypes="0" containsString="0" containsNumber="1" minValue="5.2551586421122697E-2" maxValue="1.8129251700680271"/>
    </cacheField>
    <cacheField name="Hastag" numFmtId="0">
      <sharedItems count="6">
        <s v="#FutureOfDriving"/>
        <s v="#AnytimeIsTeslaTime"/>
        <s v="#TeslaCoInnovation"/>
        <s v="#BetterWithTesla"/>
        <s v="#EVRevolution"/>
        <s v="#SmoothLikeNitroTesla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35669328705" createdVersion="8" refreshedVersion="8" minRefreshableVersion="3" recordCount="300" xr:uid="{E4DC867F-A1D5-4EDE-9D02-540992589C65}">
  <cacheSource type="worksheet">
    <worksheetSource name="Table1_217"/>
  </cacheSource>
  <cacheFields count="18">
    <cacheField name="Post 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/>
    </cacheField>
    <cacheField name="Hashtags Used.2" numFmtId="0">
      <sharedItems containsBlank="1"/>
    </cacheField>
    <cacheField name="Hashtags Used.3" numFmtId="0">
      <sharedItems containsBlank="1"/>
    </cacheField>
    <cacheField name="Campaign_Name" numFmtId="0">
      <sharedItems containsBlank="1"/>
    </cacheField>
    <cacheField name="Campaign_Name_Filled" numFmtId="0">
      <sharedItems count="4">
        <s v="CybertruckLaunch"/>
        <s v="ModelYCampaign"/>
        <s v="FSDUpdate"/>
        <s v="SustainabilityDrive"/>
      </sharedItems>
    </cacheField>
    <cacheField name="Engagement Rate" numFmtId="164">
      <sharedItems containsNonDate="0" containsString="0" containsBlank="1" count="1">
        <m/>
      </sharedItems>
    </cacheField>
    <cacheField name="Total Engagement" numFmtId="0">
      <sharedItems containsSemiMixedTypes="0" containsString="0" containsNumber="1" containsInteger="1" minValue="585" maxValue="6343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7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3.951088310183" createdVersion="8" refreshedVersion="8" minRefreshableVersion="3" recordCount="300" xr:uid="{37391428-0B36-4C3B-B9F8-F7E6D1A39351}">
  <cacheSource type="worksheet">
    <worksheetSource name="Table1_21718"/>
  </cacheSource>
  <cacheFields count="18">
    <cacheField name="Post ID" numFmtId="0">
      <sharedItems/>
    </cacheField>
    <cacheField name="Platform" numFmtId="0">
      <sharedItems/>
    </cacheField>
    <cacheField name="Date" numFmtId="22">
      <sharedItems containsSemiMixedTypes="0" containsNonDate="0" containsDate="1" containsString="0" minDate="2024-06-01T00:00:00" maxDate="2025-05-15T00:00:00"/>
    </cacheField>
    <cacheField name="Content Type" numFmtId="0">
      <sharedItems/>
    </cacheField>
    <cacheField name="Post Text" numFmtId="0">
      <sharedItems/>
    </cacheField>
    <cacheField name="Likes" numFmtId="0">
      <sharedItems containsSemiMixedTypes="0" containsString="0" containsNumber="1" containsInteger="1" minValue="53" maxValue="4941"/>
    </cacheField>
    <cacheField name="Shares" numFmtId="0">
      <sharedItems containsSemiMixedTypes="0" containsString="0" containsNumber="1" containsInteger="1" minValue="10" maxValue="983"/>
    </cacheField>
    <cacheField name="Comments" numFmtId="0">
      <sharedItems containsSemiMixedTypes="0" containsString="0" containsNumber="1" containsInteger="1" minValue="7" maxValue="500"/>
    </cacheField>
    <cacheField name="Impressions" numFmtId="0">
      <sharedItems containsSemiMixedTypes="0" containsString="0" containsNumber="1" containsInteger="1" minValue="588" maxValue="98100"/>
    </cacheField>
    <cacheField name="Reach" numFmtId="0">
      <sharedItems containsSemiMixedTypes="0" containsString="0" containsNumber="1" containsInteger="1" minValue="7" maxValue="97772"/>
    </cacheField>
    <cacheField name="Clicks" numFmtId="0">
      <sharedItems containsSemiMixedTypes="0" containsString="0" containsNumber="1" containsInteger="1" minValue="10" maxValue="300"/>
    </cacheField>
    <cacheField name="Hashtags Used.1" numFmtId="0">
      <sharedItems/>
    </cacheField>
    <cacheField name="Hashtags Used.2" numFmtId="0">
      <sharedItems containsBlank="1"/>
    </cacheField>
    <cacheField name="Hashtags Used.3" numFmtId="0">
      <sharedItems containsBlank="1"/>
    </cacheField>
    <cacheField name="Campaign_Name" numFmtId="0">
      <sharedItems containsBlank="1"/>
    </cacheField>
    <cacheField name="Campaign_Name_Filled" numFmtId="0">
      <sharedItems count="4">
        <s v="CybertruckLaunch"/>
        <s v="ModelYCampaign"/>
        <s v="FSDUpdate"/>
        <s v="SustainabilityDrive"/>
      </sharedItems>
    </cacheField>
    <cacheField name="Engagement Rate" numFmtId="164">
      <sharedItems containsSemiMixedTypes="0" containsString="0" containsNumber="1" minValue="5.2551586421122697E-2" maxValue="1.8129251700680271"/>
    </cacheField>
    <cacheField name="Total Engagement" numFmtId="2">
      <sharedItems containsSemiMixedTypes="0" containsString="0" containsNumber="1" containsInteger="1" minValue="315" maxValue="627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8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OURIN DHUA" refreshedDate="45964.318344560183" createdVersion="8" refreshedVersion="8" minRefreshableVersion="3" recordCount="200" xr:uid="{7F3E97DB-A544-4DEA-AC2D-3365F4E79209}">
  <cacheSource type="worksheet">
    <worksheetSource name="Table9"/>
  </cacheSource>
  <cacheFields count="9">
    <cacheField name="Week_Start_Date" numFmtId="0">
      <sharedItems count="50">
        <s v="2024-06-03"/>
        <s v="2024-06-10"/>
        <s v="2024-06-17"/>
        <s v="2024-06-24"/>
        <s v="2024-07-01"/>
        <s v="2024-07-08"/>
        <s v="2024-07-15"/>
        <s v="2024-07-22"/>
        <s v="2024-07-29"/>
        <s v="2024-08-05"/>
        <s v="2024-08-12"/>
        <s v="2024-08-19"/>
        <s v="2024-08-26"/>
        <s v="2024-09-02"/>
        <s v="2024-09-09"/>
        <s v="2024-09-16"/>
        <s v="2024-09-23"/>
        <s v="2024-09-30"/>
        <s v="2024-10-07"/>
        <s v="2024-10-14"/>
        <s v="2024-10-21"/>
        <s v="2024-10-28"/>
        <s v="2024-11-04"/>
        <s v="2024-11-11"/>
        <s v="2024-11-18"/>
        <s v="2024-11-25"/>
        <s v="2024-12-02"/>
        <s v="2024-12-09"/>
        <s v="2024-12-16"/>
        <s v="2024-12-23"/>
        <s v="2024-12-30"/>
        <s v="2025-01-06"/>
        <s v="2025-01-13"/>
        <s v="2025-01-20"/>
        <s v="2025-01-27"/>
        <s v="2025-02-03"/>
        <s v="2025-02-10"/>
        <s v="2025-02-17"/>
        <s v="2025-02-24"/>
        <s v="2025-03-03"/>
        <s v="2025-03-10"/>
        <s v="2025-03-17"/>
        <s v="2025-03-24"/>
        <s v="2025-03-31"/>
        <s v="2025-04-07"/>
        <s v="2025-04-14"/>
        <s v="2025-04-21"/>
        <s v="2025-04-28"/>
        <s v="2025-05-05"/>
        <s v="2025-05-12"/>
      </sharedItems>
    </cacheField>
    <cacheField name="Platform" numFmtId="0">
      <sharedItems count="4">
        <s v="Instagram"/>
        <s v="Facebook"/>
        <s v="Twitter"/>
        <s v="YouTube"/>
      </sharedItems>
    </cacheField>
    <cacheField name="New_Followers" numFmtId="0">
      <sharedItems containsSemiMixedTypes="0" containsString="0" containsNumber="1" containsInteger="1" minValue="115" maxValue="1980"/>
    </cacheField>
    <cacheField name="Unfollows" numFmtId="0">
      <sharedItems containsSemiMixedTypes="0" containsString="0" containsNumber="1" containsInteger="1" minValue="20" maxValue="498"/>
    </cacheField>
    <cacheField name="Total_Followers" numFmtId="0">
      <sharedItems containsSemiMixedTypes="0" containsString="0" containsNumber="1" containsInteger="1" minValue="11435" maxValue="496982"/>
    </cacheField>
    <cacheField name="Engagement_Rate" numFmtId="0">
      <sharedItems containsSemiMixedTypes="0" containsString="0" containsNumber="1" minValue="1.53" maxValue="9.48"/>
    </cacheField>
    <cacheField name="Ad_Spend" numFmtId="0">
      <sharedItems containsSemiMixedTypes="0" containsString="0" containsNumber="1" containsInteger="1" minValue="1083" maxValue="49772"/>
    </cacheField>
    <cacheField name="Follower Growth Rate" numFmtId="10">
      <sharedItems containsSemiMixedTypes="0" containsString="0" containsNumber="1" minValue="-4.0819787301048958E-3" maxValue="0.10825114265095021"/>
    </cacheField>
    <cacheField name="Net_Followers" numFmtId="0">
      <sharedItems containsSemiMixedTypes="0" containsString="0" containsNumber="1" containsInteger="1" minValue="-337" maxValue="188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x v="0"/>
    <d v="2024-12-23T00:00:00"/>
    <x v="0"/>
    <s v="Check out our latest reel on twitter!"/>
    <n v="1461"/>
    <n v="184"/>
    <n v="344"/>
    <n v="21915"/>
    <n v="21675"/>
    <n v="15"/>
    <s v="#FutureOfDriving"/>
    <s v="#AnytimeIsTeslaTime"/>
    <m/>
    <x v="0"/>
    <n v="9.0759753593429152E-2"/>
  </r>
  <r>
    <s v="P002"/>
    <x v="0"/>
    <d v="2025-04-03T00:00:00"/>
    <x v="1"/>
    <s v="Check out our latest text on twitter!"/>
    <n v="4054"/>
    <n v="389"/>
    <n v="493"/>
    <n v="64864"/>
    <n v="64383"/>
    <n v="117"/>
    <s v="#TeslaCoInnovation"/>
    <s v="#BetterWithTesla"/>
    <m/>
    <x v="1"/>
    <n v="7.6097681302417369E-2"/>
  </r>
  <r>
    <s v="P003"/>
    <x v="1"/>
    <d v="2025-05-12T00:00:00"/>
    <x v="0"/>
    <s v="Check out our latest reel on youtube!"/>
    <n v="2795"/>
    <n v="105"/>
    <n v="49"/>
    <n v="53105"/>
    <n v="52307"/>
    <n v="204"/>
    <s v="#TeslaCoInnovation"/>
    <m/>
    <m/>
    <x v="2"/>
    <n v="5.5531494209584788E-2"/>
  </r>
  <r>
    <s v="P004"/>
    <x v="2"/>
    <d v="2024-08-12T00:00:00"/>
    <x v="2"/>
    <s v="Check out our latest story on instagram!"/>
    <n v="2404"/>
    <n v="363"/>
    <n v="138"/>
    <n v="19232"/>
    <n v="18636"/>
    <n v="128"/>
    <s v="#EVRevolution"/>
    <m/>
    <m/>
    <x v="3"/>
    <n v="0.15105033277870217"/>
  </r>
  <r>
    <s v="P005"/>
    <x v="1"/>
    <d v="2024-06-26T00:00:00"/>
    <x v="0"/>
    <s v="Check out our latest reel on youtube!"/>
    <n v="3557"/>
    <n v="687"/>
    <n v="424"/>
    <n v="71140"/>
    <n v="70701"/>
    <n v="224"/>
    <s v="#EVRevolution"/>
    <s v="#TeslaCoInnovation"/>
    <m/>
    <x v="0"/>
    <n v="6.5617093055946027E-2"/>
  </r>
  <r>
    <s v="P006"/>
    <x v="3"/>
    <d v="2024-10-31T00:00:00"/>
    <x v="3"/>
    <s v="Check out our latest carousel on facebook!"/>
    <n v="2945"/>
    <n v="930"/>
    <n v="355"/>
    <n v="23560"/>
    <n v="23275"/>
    <n v="256"/>
    <s v="#TeslaCoInnovation"/>
    <m/>
    <m/>
    <x v="1"/>
    <n v="0.17954159592529711"/>
  </r>
  <r>
    <s v="P007"/>
    <x v="0"/>
    <d v="2024-06-24T00:00:00"/>
    <x v="3"/>
    <s v="Check out our latest carousel on twitter!"/>
    <n v="3860"/>
    <n v="201"/>
    <n v="279"/>
    <n v="61760"/>
    <n v="61660"/>
    <n v="235"/>
    <s v="#TeslaCoInnovation"/>
    <m/>
    <m/>
    <x v="1"/>
    <n v="7.0272020725388601E-2"/>
  </r>
  <r>
    <s v="P008"/>
    <x v="1"/>
    <d v="2024-07-13T00:00:00"/>
    <x v="4"/>
    <s v="Check out our latest image on youtube!"/>
    <n v="3929"/>
    <n v="262"/>
    <n v="278"/>
    <n v="43219"/>
    <n v="42841"/>
    <n v="39"/>
    <s v="#EVRevolution"/>
    <m/>
    <m/>
    <x v="3"/>
    <n v="0.10340359564080613"/>
  </r>
  <r>
    <s v="P009"/>
    <x v="3"/>
    <d v="2024-08-30T00:00:00"/>
    <x v="1"/>
    <s v="Check out our latest text on facebook!"/>
    <n v="3784"/>
    <n v="808"/>
    <n v="404"/>
    <n v="56760"/>
    <n v="56343"/>
    <n v="131"/>
    <s v="#TeslaCoInnovation"/>
    <m/>
    <m/>
    <x v="1"/>
    <n v="8.8019732205778717E-2"/>
  </r>
  <r>
    <s v="P010"/>
    <x v="3"/>
    <d v="2025-03-11T00:00:00"/>
    <x v="4"/>
    <s v="Check out our latest image on facebook!"/>
    <n v="4241"/>
    <n v="902"/>
    <n v="47"/>
    <n v="72097"/>
    <n v="71598"/>
    <n v="167"/>
    <s v="#TeslaCoInnovation"/>
    <m/>
    <m/>
    <x v="1"/>
    <n v="7.198635172059864E-2"/>
  </r>
  <r>
    <s v="P011"/>
    <x v="2"/>
    <d v="2025-02-02T00:00:00"/>
    <x v="2"/>
    <s v="Check out our latest story on instagram!"/>
    <n v="1792"/>
    <n v="614"/>
    <n v="497"/>
    <n v="25088"/>
    <n v="24675"/>
    <n v="65"/>
    <s v="#FutureOfDriving"/>
    <m/>
    <m/>
    <x v="3"/>
    <n v="0.11571269132653061"/>
  </r>
  <r>
    <s v="P012"/>
    <x v="3"/>
    <d v="2024-07-21T00:00:00"/>
    <x v="0"/>
    <s v="Check out our latest reel on facebook!"/>
    <n v="1946"/>
    <n v="686"/>
    <n v="377"/>
    <n v="23352"/>
    <n v="22982"/>
    <n v="213"/>
    <s v="#FutureOfDriving"/>
    <m/>
    <m/>
    <x v="2"/>
    <n v="0.12885405960945528"/>
  </r>
  <r>
    <s v="P013"/>
    <x v="1"/>
    <d v="2024-11-18T00:00:00"/>
    <x v="3"/>
    <s v="Check out our latest carousel on youtube!"/>
    <n v="1171"/>
    <n v="286"/>
    <n v="231"/>
    <n v="22249"/>
    <n v="21282"/>
    <n v="114"/>
    <s v="#EVRevolution"/>
    <m/>
    <m/>
    <x v="0"/>
    <n v="7.5868578363072495E-2"/>
  </r>
  <r>
    <s v="P014"/>
    <x v="3"/>
    <d v="2025-02-16T00:00:00"/>
    <x v="2"/>
    <s v="Check out our latest story on facebook!"/>
    <n v="4242"/>
    <n v="555"/>
    <n v="131"/>
    <n v="33936"/>
    <n v="33802"/>
    <n v="265"/>
    <s v="#FutureOfDriving"/>
    <m/>
    <m/>
    <x v="3"/>
    <n v="0.14521452145214522"/>
  </r>
  <r>
    <s v="P015"/>
    <x v="3"/>
    <d v="2024-10-24T00:00:00"/>
    <x v="5"/>
    <s v="Check out our latest video on facebook!"/>
    <n v="3888"/>
    <n v="604"/>
    <n v="128"/>
    <n v="77760"/>
    <n v="77167"/>
    <n v="20"/>
    <s v="#FutureOfDriving"/>
    <m/>
    <m/>
    <x v="0"/>
    <n v="5.941358024691358E-2"/>
  </r>
  <r>
    <s v="P016"/>
    <x v="3"/>
    <d v="2024-08-26T00:00:00"/>
    <x v="1"/>
    <s v="Check out our latest text on facebook!"/>
    <n v="3452"/>
    <n v="377"/>
    <n v="360"/>
    <n v="55232"/>
    <n v="55075"/>
    <n v="87"/>
    <s v="#FutureOfDriving"/>
    <m/>
    <m/>
    <x v="2"/>
    <n v="7.5843713789107758E-2"/>
  </r>
  <r>
    <s v="P017"/>
    <x v="3"/>
    <d v="2025-05-05T00:00:00"/>
    <x v="1"/>
    <s v="Check out our latest text on facebook!"/>
    <n v="4441"/>
    <n v="511"/>
    <n v="70"/>
    <n v="53292"/>
    <n v="53082"/>
    <n v="159"/>
    <s v="#EVRevolution"/>
    <m/>
    <m/>
    <x v="3"/>
    <n v="9.4235532537716729E-2"/>
  </r>
  <r>
    <s v="P018"/>
    <x v="2"/>
    <d v="2024-08-19T00:00:00"/>
    <x v="0"/>
    <s v="Check out our latest reel on instagram!"/>
    <n v="3000"/>
    <n v="382"/>
    <n v="325"/>
    <n v="36000"/>
    <n v="35819"/>
    <n v="19"/>
    <s v="#FutureOfDriving"/>
    <m/>
    <m/>
    <x v="0"/>
    <n v="0.10297222222222223"/>
  </r>
  <r>
    <s v="P019"/>
    <x v="2"/>
    <d v="2024-06-23T00:00:00"/>
    <x v="5"/>
    <s v="Check out our latest video on instagram!"/>
    <n v="1071"/>
    <n v="519"/>
    <n v="22"/>
    <n v="16065"/>
    <n v="15865"/>
    <n v="103"/>
    <s v="#TeslaCoInnovation"/>
    <m/>
    <m/>
    <x v="3"/>
    <n v="0.10034235916588857"/>
  </r>
  <r>
    <s v="P020"/>
    <x v="2"/>
    <d v="2024-09-09T00:00:00"/>
    <x v="3"/>
    <s v="Check out our latest carousel on instagram!"/>
    <n v="4054"/>
    <n v="488"/>
    <n v="373"/>
    <n v="77026"/>
    <n v="76881"/>
    <n v="25"/>
    <s v="#TeslaCoInnovation"/>
    <m/>
    <m/>
    <x v="0"/>
    <n v="6.3809622724794221E-2"/>
  </r>
  <r>
    <s v="P021"/>
    <x v="2"/>
    <d v="2025-01-04T00:00:00"/>
    <x v="0"/>
    <s v="Check out our latest reel on instagram!"/>
    <n v="4838"/>
    <n v="640"/>
    <n v="128"/>
    <n v="72570"/>
    <n v="72396"/>
    <n v="83"/>
    <s v="#FutureOfDriving"/>
    <m/>
    <m/>
    <x v="3"/>
    <n v="7.7249552156538517E-2"/>
  </r>
  <r>
    <s v="P022"/>
    <x v="3"/>
    <d v="2025-02-27T00:00:00"/>
    <x v="1"/>
    <s v="Check out our latest text on facebook!"/>
    <n v="1570"/>
    <n v="187"/>
    <n v="260"/>
    <n v="25120"/>
    <n v="24613"/>
    <n v="133"/>
    <s v="#TeslaCoInnovation"/>
    <m/>
    <m/>
    <x v="3"/>
    <n v="8.0294585987261149E-2"/>
  </r>
  <r>
    <s v="P023"/>
    <x v="3"/>
    <d v="2024-11-06T00:00:00"/>
    <x v="5"/>
    <s v="Check out our latest video on facebook!"/>
    <n v="1606"/>
    <n v="547"/>
    <n v="316"/>
    <n v="32120"/>
    <n v="31736"/>
    <n v="225"/>
    <s v="#TeslaCoInnovation"/>
    <s v="#AnytimeIsTeslaTime"/>
    <m/>
    <x v="1"/>
    <n v="7.6867995018679955E-2"/>
  </r>
  <r>
    <s v="P024"/>
    <x v="3"/>
    <d v="2025-01-23T00:00:00"/>
    <x v="5"/>
    <s v="Check out our latest video on facebook!"/>
    <n v="3961"/>
    <n v="761"/>
    <n v="131"/>
    <n v="67337"/>
    <n v="66615"/>
    <n v="161"/>
    <s v="#FutureOfDriving"/>
    <m/>
    <m/>
    <x v="2"/>
    <n v="7.2070332803659209E-2"/>
  </r>
  <r>
    <s v="P025"/>
    <x v="0"/>
    <d v="2025-04-10T00:00:00"/>
    <x v="3"/>
    <s v="Check out our latest carousel on twitter!"/>
    <n v="3128"/>
    <n v="211"/>
    <n v="197"/>
    <n v="59432"/>
    <n v="59182"/>
    <n v="238"/>
    <s v="#EVRevolution"/>
    <m/>
    <m/>
    <x v="0"/>
    <n v="5.9496567505720827E-2"/>
  </r>
  <r>
    <s v="P026"/>
    <x v="1"/>
    <d v="2025-04-05T00:00:00"/>
    <x v="0"/>
    <s v="Check out our latest reel on youtube!"/>
    <n v="3009"/>
    <n v="413"/>
    <n v="358"/>
    <n v="42126"/>
    <n v="41309"/>
    <n v="211"/>
    <s v="#FutureOfDriving"/>
    <m/>
    <m/>
    <x v="1"/>
    <n v="8.9730807577268201E-2"/>
  </r>
  <r>
    <s v="P027"/>
    <x v="1"/>
    <d v="2024-09-17T00:00:00"/>
    <x v="1"/>
    <s v="Check out our latest text on youtube!"/>
    <n v="2076"/>
    <n v="195"/>
    <n v="104"/>
    <n v="33216"/>
    <n v="32244"/>
    <n v="51"/>
    <s v="#FutureOfDriving"/>
    <m/>
    <m/>
    <x v="3"/>
    <n v="7.1501685934489398E-2"/>
  </r>
  <r>
    <s v="P028"/>
    <x v="2"/>
    <d v="2025-03-04T00:00:00"/>
    <x v="5"/>
    <s v="Check out our latest video on instagram!"/>
    <n v="432"/>
    <n v="624"/>
    <n v="123"/>
    <n v="6912"/>
    <n v="6259"/>
    <n v="79"/>
    <s v="#FutureOfDriving"/>
    <m/>
    <m/>
    <x v="3"/>
    <n v="0.17057291666666666"/>
  </r>
  <r>
    <s v="P029"/>
    <x v="2"/>
    <d v="2025-01-31T00:00:00"/>
    <x v="3"/>
    <s v="Check out our latest carousel on instagram!"/>
    <n v="2566"/>
    <n v="118"/>
    <n v="37"/>
    <n v="12830"/>
    <n v="12264"/>
    <n v="221"/>
    <s v="#FutureOfDriving"/>
    <m/>
    <m/>
    <x v="2"/>
    <n v="0.21208106001558846"/>
  </r>
  <r>
    <s v="P030"/>
    <x v="2"/>
    <d v="2025-02-25T00:00:00"/>
    <x v="5"/>
    <s v="Check out our latest video on instagram!"/>
    <n v="3095"/>
    <n v="39"/>
    <n v="78"/>
    <n v="55710"/>
    <n v="54808"/>
    <n v="93"/>
    <s v="#EVRevolution"/>
    <m/>
    <m/>
    <x v="0"/>
    <n v="5.7655717106444085E-2"/>
  </r>
  <r>
    <s v="P031"/>
    <x v="2"/>
    <d v="2024-12-16T00:00:00"/>
    <x v="1"/>
    <s v="Check out our latest text on instagram!"/>
    <n v="438"/>
    <n v="153"/>
    <n v="275"/>
    <n v="3066"/>
    <n v="2701"/>
    <n v="282"/>
    <s v="#TeslaCoInnovation"/>
    <m/>
    <m/>
    <x v="1"/>
    <n v="0.28245270711024134"/>
  </r>
  <r>
    <s v="P032"/>
    <x v="0"/>
    <d v="2024-07-31T00:00:00"/>
    <x v="3"/>
    <s v="Check out our latest carousel on twitter!"/>
    <n v="2278"/>
    <n v="10"/>
    <n v="321"/>
    <n v="13668"/>
    <n v="12676"/>
    <n v="275"/>
    <s v="#EVRevolution"/>
    <m/>
    <m/>
    <x v="0"/>
    <n v="0.19088381621305239"/>
  </r>
  <r>
    <s v="P033"/>
    <x v="3"/>
    <d v="2024-08-21T00:00:00"/>
    <x v="4"/>
    <s v="Check out our latest image on facebook!"/>
    <n v="1407"/>
    <n v="400"/>
    <n v="351"/>
    <n v="16884"/>
    <n v="15954"/>
    <n v="113"/>
    <s v="#TeslaCoInnovation"/>
    <m/>
    <m/>
    <x v="0"/>
    <n v="0.12781331438047855"/>
  </r>
  <r>
    <s v="P034"/>
    <x v="3"/>
    <d v="2025-03-26T00:00:00"/>
    <x v="1"/>
    <s v="Check out our latest text on facebook!"/>
    <n v="1652"/>
    <n v="89"/>
    <n v="357"/>
    <n v="29736"/>
    <n v="28771"/>
    <n v="215"/>
    <s v="#TeslaCoInnovation"/>
    <m/>
    <m/>
    <x v="2"/>
    <n v="7.055421038471886E-2"/>
  </r>
  <r>
    <s v="P035"/>
    <x v="2"/>
    <d v="2024-11-30T00:00:00"/>
    <x v="5"/>
    <s v="Check out our latest video on instagram!"/>
    <n v="3775"/>
    <n v="16"/>
    <n v="239"/>
    <n v="33975"/>
    <n v="33310"/>
    <n v="271"/>
    <s v="#FutureOfDriving"/>
    <m/>
    <m/>
    <x v="1"/>
    <n v="0.11861662987490802"/>
  </r>
  <r>
    <s v="P036"/>
    <x v="2"/>
    <d v="2025-04-19T00:00:00"/>
    <x v="2"/>
    <s v="Check out our latest story on instagram!"/>
    <n v="4518"/>
    <n v="285"/>
    <n v="383"/>
    <n v="67770"/>
    <n v="67621"/>
    <n v="31"/>
    <s v="#EVRevolution"/>
    <m/>
    <m/>
    <x v="1"/>
    <n v="7.6523535487678915E-2"/>
  </r>
  <r>
    <s v="P037"/>
    <x v="3"/>
    <d v="2025-01-06T00:00:00"/>
    <x v="3"/>
    <s v="Check out our latest carousel on facebook!"/>
    <n v="3024"/>
    <n v="925"/>
    <n v="350"/>
    <n v="24192"/>
    <n v="23518"/>
    <n v="36"/>
    <s v="#EVRevolution"/>
    <m/>
    <m/>
    <x v="1"/>
    <n v="0.17770337301587302"/>
  </r>
  <r>
    <s v="P038"/>
    <x v="1"/>
    <d v="2025-02-17T00:00:00"/>
    <x v="0"/>
    <s v="Check out our latest reel on youtube!"/>
    <n v="3138"/>
    <n v="123"/>
    <n v="291"/>
    <n v="28242"/>
    <n v="27550"/>
    <n v="87"/>
    <s v="#TeslaCoInnovation"/>
    <m/>
    <m/>
    <x v="3"/>
    <n v="0.12577012959422137"/>
  </r>
  <r>
    <s v="P039"/>
    <x v="3"/>
    <d v="2024-11-25T00:00:00"/>
    <x v="4"/>
    <s v="Check out our latest image on facebook!"/>
    <n v="3564"/>
    <n v="629"/>
    <n v="177"/>
    <n v="60588"/>
    <n v="59627"/>
    <n v="92"/>
    <s v="#TeslaCoInnovation"/>
    <m/>
    <m/>
    <x v="1"/>
    <n v="7.2126493695121141E-2"/>
  </r>
  <r>
    <s v="P040"/>
    <x v="0"/>
    <d v="2025-03-07T00:00:00"/>
    <x v="4"/>
    <s v="Check out our latest image on twitter!"/>
    <n v="4750"/>
    <n v="151"/>
    <n v="415"/>
    <n v="38000"/>
    <n v="37792"/>
    <n v="299"/>
    <s v="#EVRevolution"/>
    <m/>
    <m/>
    <x v="3"/>
    <n v="0.13989473684210527"/>
  </r>
  <r>
    <s v="P041"/>
    <x v="2"/>
    <d v="2025-03-08T00:00:00"/>
    <x v="0"/>
    <s v="Check out our latest reel on instagram!"/>
    <n v="456"/>
    <n v="629"/>
    <n v="428"/>
    <n v="8208"/>
    <n v="7377"/>
    <n v="205"/>
    <s v="#FutureOfDriving"/>
    <m/>
    <m/>
    <x v="3"/>
    <n v="0.18433235867446393"/>
  </r>
  <r>
    <s v="P042"/>
    <x v="1"/>
    <d v="2025-03-05T00:00:00"/>
    <x v="0"/>
    <s v="Check out our latest reel on youtube!"/>
    <n v="1543"/>
    <n v="820"/>
    <n v="333"/>
    <n v="12344"/>
    <n v="11496"/>
    <n v="241"/>
    <s v="#EVRevolution"/>
    <m/>
    <m/>
    <x v="0"/>
    <n v="0.21840570317563188"/>
  </r>
  <r>
    <s v="P043"/>
    <x v="2"/>
    <d v="2024-12-14T00:00:00"/>
    <x v="3"/>
    <s v="Check out our latest carousel on instagram!"/>
    <n v="2174"/>
    <n v="658"/>
    <n v="15"/>
    <n v="13044"/>
    <n v="12206"/>
    <n v="137"/>
    <s v="#TeslaCoInnovation"/>
    <m/>
    <m/>
    <x v="2"/>
    <n v="0.21826126954921804"/>
  </r>
  <r>
    <s v="P044"/>
    <x v="0"/>
    <d v="2025-03-02T00:00:00"/>
    <x v="4"/>
    <s v="Check out our latest image on twitter!"/>
    <n v="2358"/>
    <n v="784"/>
    <n v="344"/>
    <n v="35370"/>
    <n v="34475"/>
    <n v="216"/>
    <s v="#TeslaCoInnovation"/>
    <m/>
    <m/>
    <x v="1"/>
    <n v="9.8558100084817649E-2"/>
  </r>
  <r>
    <s v="P045"/>
    <x v="3"/>
    <d v="2024-11-01T00:00:00"/>
    <x v="5"/>
    <s v="Check out our latest video on facebook!"/>
    <n v="3371"/>
    <n v="106"/>
    <n v="327"/>
    <n v="50565"/>
    <n v="49816"/>
    <n v="176"/>
    <s v="#FutureOfDriving"/>
    <m/>
    <m/>
    <x v="0"/>
    <n v="7.5229902106199939E-2"/>
  </r>
  <r>
    <s v="P046"/>
    <x v="0"/>
    <d v="2025-05-02T00:00:00"/>
    <x v="5"/>
    <s v="Check out our latest video on twitter!"/>
    <n v="1108"/>
    <n v="177"/>
    <n v="212"/>
    <n v="8864"/>
    <n v="8710"/>
    <n v="97"/>
    <s v="#TeslaCoInnovation"/>
    <m/>
    <m/>
    <x v="3"/>
    <n v="0.16888537906137185"/>
  </r>
  <r>
    <s v="P047"/>
    <x v="0"/>
    <d v="2025-02-24T00:00:00"/>
    <x v="3"/>
    <s v="Check out our latest carousel on twitter!"/>
    <n v="2704"/>
    <n v="752"/>
    <n v="153"/>
    <n v="21632"/>
    <n v="20792"/>
    <n v="127"/>
    <s v="#FutureOfDriving"/>
    <m/>
    <m/>
    <x v="3"/>
    <n v="0.16683616863905326"/>
  </r>
  <r>
    <s v="P048"/>
    <x v="0"/>
    <d v="2025-03-11T00:00:00"/>
    <x v="2"/>
    <s v="Check out our latest story on twitter!"/>
    <n v="1950"/>
    <n v="295"/>
    <n v="478"/>
    <n v="37050"/>
    <n v="36272"/>
    <n v="119"/>
    <s v="#TeslaCoInnovation"/>
    <m/>
    <m/>
    <x v="1"/>
    <n v="7.349527665317139E-2"/>
  </r>
  <r>
    <s v="P049"/>
    <x v="0"/>
    <d v="2024-06-10T00:00:00"/>
    <x v="2"/>
    <s v="Check out our latest story on twitter!"/>
    <n v="2164"/>
    <n v="549"/>
    <n v="274"/>
    <n v="28132"/>
    <n v="27361"/>
    <n v="177"/>
    <s v="#TeslaCoInnovation"/>
    <m/>
    <m/>
    <x v="3"/>
    <n v="0.10617801791554102"/>
  </r>
  <r>
    <s v="P050"/>
    <x v="1"/>
    <d v="2024-07-03T00:00:00"/>
    <x v="2"/>
    <s v="Check out our latest story on youtube!"/>
    <n v="2754"/>
    <n v="130"/>
    <n v="90"/>
    <n v="22032"/>
    <n v="21288"/>
    <n v="112"/>
    <s v="#TeslaCoInnovation"/>
    <m/>
    <m/>
    <x v="2"/>
    <n v="0.13498547567175018"/>
  </r>
  <r>
    <s v="P051"/>
    <x v="3"/>
    <d v="2024-06-13T00:00:00"/>
    <x v="3"/>
    <s v="Check out our latest carousel on facebook!"/>
    <n v="2200"/>
    <n v="504"/>
    <n v="239"/>
    <n v="37400"/>
    <n v="36938"/>
    <n v="225"/>
    <s v="#FutureOfDriving"/>
    <m/>
    <m/>
    <x v="1"/>
    <n v="7.8689839572192513E-2"/>
  </r>
  <r>
    <s v="P052"/>
    <x v="3"/>
    <d v="2025-01-03T00:00:00"/>
    <x v="4"/>
    <s v="Check out our latest image on facebook!"/>
    <n v="947"/>
    <n v="338"/>
    <n v="350"/>
    <n v="10417"/>
    <n v="9730"/>
    <n v="34"/>
    <s v="#TeslaCoInnovation"/>
    <m/>
    <m/>
    <x v="3"/>
    <n v="0.1569549774407219"/>
  </r>
  <r>
    <s v="P053"/>
    <x v="1"/>
    <d v="2025-02-24T00:00:00"/>
    <x v="3"/>
    <s v="Check out our latest carousel on youtube!"/>
    <n v="804"/>
    <n v="639"/>
    <n v="43"/>
    <n v="4020"/>
    <n v="3144"/>
    <n v="11"/>
    <s v="#EVRevolution"/>
    <s v="#BetterWithTesla"/>
    <m/>
    <x v="0"/>
    <n v="0.36965174129353234"/>
  </r>
  <r>
    <s v="P054"/>
    <x v="1"/>
    <d v="2025-03-13T00:00:00"/>
    <x v="3"/>
    <s v="Check out our latest carousel on youtube!"/>
    <n v="1686"/>
    <n v="904"/>
    <n v="472"/>
    <n v="18546"/>
    <n v="18171"/>
    <n v="52"/>
    <s v="#FutureOfDriving"/>
    <m/>
    <m/>
    <x v="1"/>
    <n v="0.16510298716704411"/>
  </r>
  <r>
    <s v="P055"/>
    <x v="3"/>
    <d v="2024-06-17T00:00:00"/>
    <x v="4"/>
    <s v="Check out our latest image on facebook!"/>
    <n v="1226"/>
    <n v="119"/>
    <n v="7"/>
    <n v="14712"/>
    <n v="14049"/>
    <n v="123"/>
    <s v="#EVRevolution"/>
    <m/>
    <m/>
    <x v="3"/>
    <n v="9.1897770527460579E-2"/>
  </r>
  <r>
    <s v="P056"/>
    <x v="3"/>
    <d v="2024-12-18T00:00:00"/>
    <x v="3"/>
    <s v="Check out our latest carousel on facebook!"/>
    <n v="2946"/>
    <n v="498"/>
    <n v="367"/>
    <n v="29460"/>
    <n v="28527"/>
    <n v="60"/>
    <s v="#FutureOfDriving"/>
    <m/>
    <m/>
    <x v="2"/>
    <n v="0.12936184657162253"/>
  </r>
  <r>
    <s v="P057"/>
    <x v="0"/>
    <d v="2024-10-21T00:00:00"/>
    <x v="5"/>
    <s v="Check out our latest video on twitter!"/>
    <n v="2825"/>
    <n v="535"/>
    <n v="295"/>
    <n v="45200"/>
    <n v="44739"/>
    <n v="169"/>
    <s v="#TeslaCoInnovation"/>
    <m/>
    <m/>
    <x v="0"/>
    <n v="8.0862831858407078E-2"/>
  </r>
  <r>
    <s v="P058"/>
    <x v="2"/>
    <d v="2025-04-15T00:00:00"/>
    <x v="0"/>
    <s v="Check out our latest reel on instagram!"/>
    <n v="103"/>
    <n v="770"/>
    <n v="19"/>
    <n v="1030"/>
    <n v="410"/>
    <n v="262"/>
    <s v="#TeslaCoInnovation"/>
    <m/>
    <m/>
    <x v="3"/>
    <n v="0.86601941747572819"/>
  </r>
  <r>
    <s v="P059"/>
    <x v="2"/>
    <d v="2024-06-22T00:00:00"/>
    <x v="1"/>
    <s v="Check out our latest text on instagram!"/>
    <n v="2180"/>
    <n v="263"/>
    <n v="387"/>
    <n v="30520"/>
    <n v="30059"/>
    <n v="174"/>
    <s v="#EVRevolution"/>
    <m/>
    <m/>
    <x v="0"/>
    <n v="9.2726081258191345E-2"/>
  </r>
  <r>
    <s v="P060"/>
    <x v="2"/>
    <d v="2025-01-28T00:00:00"/>
    <x v="5"/>
    <s v="Check out our latest video on instagram!"/>
    <n v="904"/>
    <n v="973"/>
    <n v="63"/>
    <n v="11752"/>
    <n v="11580"/>
    <n v="84"/>
    <s v="#EVRevolution"/>
    <s v="#TeslaCoInnovation"/>
    <s v="#AnytimeIsTeslaTime"/>
    <x v="2"/>
    <n v="0.1650782845473111"/>
  </r>
  <r>
    <s v="P061"/>
    <x v="0"/>
    <d v="2024-09-05T00:00:00"/>
    <x v="5"/>
    <s v="Check out our latest video on twitter!"/>
    <n v="4886"/>
    <n v="983"/>
    <n v="409"/>
    <n v="43974"/>
    <n v="43239"/>
    <n v="65"/>
    <s v="#TeslaCoInnovation"/>
    <m/>
    <m/>
    <x v="0"/>
    <n v="0.14276618001546368"/>
  </r>
  <r>
    <s v="P062"/>
    <x v="0"/>
    <d v="2024-11-22T00:00:00"/>
    <x v="3"/>
    <s v="Check out our latest carousel on twitter!"/>
    <n v="53"/>
    <n v="81"/>
    <n v="379"/>
    <n v="954"/>
    <n v="7"/>
    <n v="148"/>
    <s v="#TeslaCoInnovation"/>
    <m/>
    <m/>
    <x v="2"/>
    <n v="0.53773584905660377"/>
  </r>
  <r>
    <s v="P063"/>
    <x v="0"/>
    <d v="2024-07-31T00:00:00"/>
    <x v="3"/>
    <s v="Check out our latest carousel on twitter!"/>
    <n v="4507"/>
    <n v="217"/>
    <n v="13"/>
    <n v="90140"/>
    <n v="89591"/>
    <n v="125"/>
    <s v="#FutureOfDriving"/>
    <m/>
    <m/>
    <x v="2"/>
    <n v="5.2551586421122697E-2"/>
  </r>
  <r>
    <s v="P064"/>
    <x v="3"/>
    <d v="2024-08-17T00:00:00"/>
    <x v="4"/>
    <s v="Check out our latest image on facebook!"/>
    <n v="2878"/>
    <n v="248"/>
    <n v="416"/>
    <n v="43170"/>
    <n v="42667"/>
    <n v="75"/>
    <s v="#FutureOfDriving"/>
    <m/>
    <m/>
    <x v="2"/>
    <n v="8.2047718322909427E-2"/>
  </r>
  <r>
    <s v="P065"/>
    <x v="2"/>
    <d v="2025-03-28T00:00:00"/>
    <x v="2"/>
    <s v="Check out our latest story on instagram!"/>
    <n v="1881"/>
    <n v="501"/>
    <n v="99"/>
    <n v="20691"/>
    <n v="19987"/>
    <n v="289"/>
    <s v="#EVRevolution"/>
    <m/>
    <m/>
    <x v="0"/>
    <n v="0.11990720603160794"/>
  </r>
  <r>
    <s v="P066"/>
    <x v="0"/>
    <d v="2024-07-26T00:00:00"/>
    <x v="3"/>
    <s v="Check out our latest carousel on twitter!"/>
    <n v="432"/>
    <n v="171"/>
    <n v="280"/>
    <n v="3024"/>
    <n v="2285"/>
    <n v="184"/>
    <s v="#EVRevolution"/>
    <m/>
    <m/>
    <x v="0"/>
    <n v="0.29199735449735448"/>
  </r>
  <r>
    <s v="P067"/>
    <x v="3"/>
    <d v="2025-03-29T00:00:00"/>
    <x v="3"/>
    <s v="Check out our latest carousel on facebook!"/>
    <n v="4712"/>
    <n v="568"/>
    <n v="127"/>
    <n v="84816"/>
    <n v="84691"/>
    <n v="100"/>
    <s v="#EVRevolution"/>
    <m/>
    <m/>
    <x v="2"/>
    <n v="6.3749764195434822E-2"/>
  </r>
  <r>
    <s v="P068"/>
    <x v="2"/>
    <d v="2024-12-08T00:00:00"/>
    <x v="2"/>
    <s v="Check out our latest story on instagram!"/>
    <n v="2610"/>
    <n v="126"/>
    <n v="288"/>
    <n v="15660"/>
    <n v="15145"/>
    <n v="73"/>
    <s v="#EVRevolution"/>
    <m/>
    <m/>
    <x v="0"/>
    <n v="0.19310344827586207"/>
  </r>
  <r>
    <s v="P069"/>
    <x v="0"/>
    <d v="2025-03-08T00:00:00"/>
    <x v="1"/>
    <s v="Check out our latest text on twitter!"/>
    <n v="1292"/>
    <n v="626"/>
    <n v="496"/>
    <n v="25840"/>
    <n v="24916"/>
    <n v="149"/>
    <s v="#FutureOfDriving"/>
    <m/>
    <m/>
    <x v="2"/>
    <n v="9.3421052631578946E-2"/>
  </r>
  <r>
    <s v="P070"/>
    <x v="3"/>
    <d v="2025-04-02T00:00:00"/>
    <x v="5"/>
    <s v="Check out our latest video on facebook!"/>
    <n v="199"/>
    <n v="772"/>
    <n v="400"/>
    <n v="3582"/>
    <n v="2988"/>
    <n v="43"/>
    <s v="#TeslaCoInnovation"/>
    <m/>
    <m/>
    <x v="1"/>
    <n v="0.38274706867671693"/>
  </r>
  <r>
    <s v="P071"/>
    <x v="1"/>
    <d v="2024-09-02T00:00:00"/>
    <x v="3"/>
    <s v="Check out our latest carousel on youtube!"/>
    <n v="2551"/>
    <n v="915"/>
    <n v="205"/>
    <n v="30612"/>
    <n v="30360"/>
    <n v="227"/>
    <s v="#TeslaCoInnovation"/>
    <m/>
    <m/>
    <x v="1"/>
    <n v="0.1199202926956749"/>
  </r>
  <r>
    <s v="P072"/>
    <x v="1"/>
    <d v="2025-03-03T00:00:00"/>
    <x v="0"/>
    <s v="Check out our latest reel on youtube!"/>
    <n v="296"/>
    <n v="60"/>
    <n v="141"/>
    <n v="5624"/>
    <n v="5239"/>
    <n v="88"/>
    <s v="#EVRevolution"/>
    <m/>
    <m/>
    <x v="1"/>
    <n v="8.837126600284495E-2"/>
  </r>
  <r>
    <s v="P073"/>
    <x v="3"/>
    <d v="2024-10-18T00:00:00"/>
    <x v="2"/>
    <s v="Check out our latest story on facebook!"/>
    <n v="4126"/>
    <n v="426"/>
    <n v="486"/>
    <n v="78394"/>
    <n v="77798"/>
    <n v="88"/>
    <s v="#FutureOfDriving"/>
    <m/>
    <m/>
    <x v="3"/>
    <n v="6.4265122330790625E-2"/>
  </r>
  <r>
    <s v="P074"/>
    <x v="1"/>
    <d v="2024-10-28T00:00:00"/>
    <x v="0"/>
    <s v="Check out our latest reel on youtube!"/>
    <n v="1855"/>
    <n v="200"/>
    <n v="174"/>
    <n v="16695"/>
    <n v="16330"/>
    <n v="123"/>
    <s v="#TeslaCoInnovation"/>
    <m/>
    <m/>
    <x v="2"/>
    <n v="0.13351302785265048"/>
  </r>
  <r>
    <s v="P075"/>
    <x v="2"/>
    <d v="2024-08-01T00:00:00"/>
    <x v="0"/>
    <s v="Check out our latest reel on instagram!"/>
    <n v="1674"/>
    <n v="929"/>
    <n v="37"/>
    <n v="21762"/>
    <n v="20998"/>
    <n v="255"/>
    <s v="#TeslaCoInnovation"/>
    <m/>
    <m/>
    <x v="3"/>
    <n v="0.12131237937689551"/>
  </r>
  <r>
    <s v="P076"/>
    <x v="0"/>
    <d v="2024-11-07T00:00:00"/>
    <x v="2"/>
    <s v="Check out our latest story on twitter!"/>
    <n v="1121"/>
    <n v="135"/>
    <n v="18"/>
    <n v="15694"/>
    <n v="14957"/>
    <n v="99"/>
    <s v="#TeslaCoInnovation"/>
    <m/>
    <m/>
    <x v="3"/>
    <n v="8.1177520071364848E-2"/>
  </r>
  <r>
    <s v="P077"/>
    <x v="3"/>
    <d v="2025-03-04T00:00:00"/>
    <x v="2"/>
    <s v="Check out our latest story on facebook!"/>
    <n v="1249"/>
    <n v="116"/>
    <n v="420"/>
    <n v="8743"/>
    <n v="8538"/>
    <n v="63"/>
    <s v="#TeslaCoInnovation"/>
    <m/>
    <m/>
    <x v="1"/>
    <n v="0.20416333066453163"/>
  </r>
  <r>
    <s v="P078"/>
    <x v="0"/>
    <d v="2024-06-17T00:00:00"/>
    <x v="4"/>
    <s v="Check out our latest image on twitter!"/>
    <n v="954"/>
    <n v="324"/>
    <n v="288"/>
    <n v="19080"/>
    <n v="18859"/>
    <n v="21"/>
    <s v="#FutureOfDriving"/>
    <m/>
    <m/>
    <x v="3"/>
    <n v="8.2075471698113203E-2"/>
  </r>
  <r>
    <s v="P079"/>
    <x v="2"/>
    <d v="2024-10-09T00:00:00"/>
    <x v="3"/>
    <s v="Check out our latest carousel on instagram!"/>
    <n v="3068"/>
    <n v="137"/>
    <n v="329"/>
    <n v="39884"/>
    <n v="39404"/>
    <n v="266"/>
    <s v="#EVRevolution"/>
    <m/>
    <m/>
    <x v="1"/>
    <n v="8.860696018453515E-2"/>
  </r>
  <r>
    <s v="P080"/>
    <x v="2"/>
    <d v="2024-06-13T00:00:00"/>
    <x v="2"/>
    <s v="Check out our latest story on instagram!"/>
    <n v="2103"/>
    <n v="892"/>
    <n v="103"/>
    <n v="39957"/>
    <n v="39466"/>
    <n v="28"/>
    <s v="#FutureOfDriving"/>
    <m/>
    <m/>
    <x v="3"/>
    <n v="7.7533348349475686E-2"/>
  </r>
  <r>
    <s v="P081"/>
    <x v="2"/>
    <d v="2024-10-19T00:00:00"/>
    <x v="2"/>
    <s v="Check out our latest story on instagram!"/>
    <n v="1816"/>
    <n v="29"/>
    <n v="41"/>
    <n v="19976"/>
    <n v="19262"/>
    <n v="283"/>
    <s v="#TeslaCoInnovation"/>
    <m/>
    <m/>
    <x v="2"/>
    <n v="9.4413295955146179E-2"/>
  </r>
  <r>
    <s v="P082"/>
    <x v="2"/>
    <d v="2024-07-24T00:00:00"/>
    <x v="4"/>
    <s v="Check out our latest image on instagram!"/>
    <n v="725"/>
    <n v="88"/>
    <n v="428"/>
    <n v="14500"/>
    <n v="13637"/>
    <n v="200"/>
    <s v="#FutureOfDriving"/>
    <s v="#TeslaCoInnovation"/>
    <s v="#AnytimeIsTeslaTime"/>
    <x v="2"/>
    <n v="8.558620689655172E-2"/>
  </r>
  <r>
    <s v="P083"/>
    <x v="1"/>
    <d v="2024-10-15T00:00:00"/>
    <x v="5"/>
    <s v="Check out our latest video on youtube!"/>
    <n v="1094"/>
    <n v="472"/>
    <n v="21"/>
    <n v="9846"/>
    <n v="9609"/>
    <n v="112"/>
    <s v="#EVRevolution"/>
    <m/>
    <m/>
    <x v="0"/>
    <n v="0.16118220597196831"/>
  </r>
  <r>
    <s v="P084"/>
    <x v="3"/>
    <d v="2024-12-09T00:00:00"/>
    <x v="4"/>
    <s v="Check out our latest image on facebook!"/>
    <n v="1841"/>
    <n v="851"/>
    <n v="342"/>
    <n v="34979"/>
    <n v="34154"/>
    <n v="255"/>
    <s v="#FutureOfDriving"/>
    <m/>
    <m/>
    <x v="3"/>
    <n v="8.6737756939878216E-2"/>
  </r>
  <r>
    <s v="P085"/>
    <x v="2"/>
    <d v="2025-04-19T00:00:00"/>
    <x v="4"/>
    <s v="Check out our latest image on instagram!"/>
    <n v="4177"/>
    <n v="569"/>
    <n v="55"/>
    <n v="25062"/>
    <n v="24847"/>
    <n v="230"/>
    <s v="#FutureOfDriving"/>
    <m/>
    <m/>
    <x v="0"/>
    <n v="0.19156491900087783"/>
  </r>
  <r>
    <s v="P086"/>
    <x v="1"/>
    <d v="2025-01-27T00:00:00"/>
    <x v="1"/>
    <s v="Check out our latest text on youtube!"/>
    <n v="3428"/>
    <n v="305"/>
    <n v="85"/>
    <n v="58276"/>
    <n v="58052"/>
    <n v="242"/>
    <s v="#EVRevolution"/>
    <s v="#BetterWithTesla"/>
    <m/>
    <x v="3"/>
    <n v="6.5515821264328367E-2"/>
  </r>
  <r>
    <s v="P087"/>
    <x v="0"/>
    <d v="2024-06-06T00:00:00"/>
    <x v="5"/>
    <s v="Check out our latest video on twitter!"/>
    <n v="1436"/>
    <n v="765"/>
    <n v="496"/>
    <n v="12924"/>
    <n v="12701"/>
    <n v="197"/>
    <s v="#FutureOfDriving"/>
    <m/>
    <m/>
    <x v="2"/>
    <n v="0.20868152274837512"/>
  </r>
  <r>
    <s v="P088"/>
    <x v="3"/>
    <d v="2024-07-07T00:00:00"/>
    <x v="2"/>
    <s v="Check out our latest story on facebook!"/>
    <n v="302"/>
    <n v="47"/>
    <n v="430"/>
    <n v="5738"/>
    <n v="4890"/>
    <n v="25"/>
    <s v="#TeslaCoInnovation"/>
    <m/>
    <m/>
    <x v="3"/>
    <n v="0.13576158940397351"/>
  </r>
  <r>
    <s v="P089"/>
    <x v="0"/>
    <d v="2025-01-10T00:00:00"/>
    <x v="4"/>
    <s v="Check out our latest image on twitter!"/>
    <n v="2214"/>
    <n v="249"/>
    <n v="152"/>
    <n v="15498"/>
    <n v="14800"/>
    <n v="180"/>
    <s v="#EVRevolution"/>
    <m/>
    <m/>
    <x v="0"/>
    <n v="0.16873144921925409"/>
  </r>
  <r>
    <s v="P090"/>
    <x v="2"/>
    <d v="2024-06-03T00:00:00"/>
    <x v="4"/>
    <s v="Check out our latest image on instagram!"/>
    <n v="3861"/>
    <n v="960"/>
    <n v="101"/>
    <n v="69498"/>
    <n v="68817"/>
    <n v="297"/>
    <s v="#TeslaCoInnovation"/>
    <m/>
    <m/>
    <x v="3"/>
    <n v="7.0822181933293038E-2"/>
  </r>
  <r>
    <s v="P091"/>
    <x v="3"/>
    <d v="2025-03-24T00:00:00"/>
    <x v="4"/>
    <s v="Check out our latest image on facebook!"/>
    <n v="1263"/>
    <n v="397"/>
    <n v="357"/>
    <n v="25260"/>
    <n v="24615"/>
    <n v="137"/>
    <s v="#EVRevolution"/>
    <m/>
    <m/>
    <x v="3"/>
    <n v="7.984956452889945E-2"/>
  </r>
  <r>
    <s v="P092"/>
    <x v="0"/>
    <d v="2024-10-21T00:00:00"/>
    <x v="2"/>
    <s v="Check out our latest story on twitter!"/>
    <n v="3801"/>
    <n v="967"/>
    <n v="401"/>
    <n v="38010"/>
    <n v="37625"/>
    <n v="236"/>
    <s v="#FutureOfDriving"/>
    <m/>
    <m/>
    <x v="2"/>
    <n v="0.13599052880820836"/>
  </r>
  <r>
    <s v="P093"/>
    <x v="2"/>
    <d v="2024-12-11T00:00:00"/>
    <x v="5"/>
    <s v="Check out our latest video on instagram!"/>
    <n v="1431"/>
    <n v="951"/>
    <n v="26"/>
    <n v="8586"/>
    <n v="8396"/>
    <n v="150"/>
    <s v="#EVRevolution"/>
    <m/>
    <m/>
    <x v="2"/>
    <n v="0.28045655718611695"/>
  </r>
  <r>
    <s v="P094"/>
    <x v="2"/>
    <d v="2024-11-07T00:00:00"/>
    <x v="4"/>
    <s v="Check out our latest image on instagram!"/>
    <n v="2647"/>
    <n v="304"/>
    <n v="170"/>
    <n v="18529"/>
    <n v="17841"/>
    <n v="46"/>
    <s v="#FutureOfDriving"/>
    <m/>
    <m/>
    <x v="2"/>
    <n v="0.16843866371633656"/>
  </r>
  <r>
    <s v="P095"/>
    <x v="2"/>
    <d v="2024-11-08T00:00:00"/>
    <x v="1"/>
    <s v="Check out our latest text on instagram!"/>
    <n v="3182"/>
    <n v="559"/>
    <n v="160"/>
    <n v="57276"/>
    <n v="56890"/>
    <n v="163"/>
    <s v="#FutureOfDriving"/>
    <m/>
    <m/>
    <x v="3"/>
    <n v="6.8108806480899509E-2"/>
  </r>
  <r>
    <s v="P096"/>
    <x v="0"/>
    <d v="2024-09-10T00:00:00"/>
    <x v="4"/>
    <s v="Check out our latest image on twitter!"/>
    <n v="1238"/>
    <n v="366"/>
    <n v="444"/>
    <n v="19808"/>
    <n v="19334"/>
    <n v="123"/>
    <s v="#FutureOfDriving"/>
    <m/>
    <m/>
    <x v="3"/>
    <n v="0.10339256865912763"/>
  </r>
  <r>
    <s v="P097"/>
    <x v="2"/>
    <d v="2024-08-13T00:00:00"/>
    <x v="4"/>
    <s v="Check out our latest image on instagram!"/>
    <n v="4739"/>
    <n v="527"/>
    <n v="135"/>
    <n v="61607"/>
    <n v="61333"/>
    <n v="36"/>
    <s v="#TeslaCoInnovation"/>
    <s v="#AnytimeIsTeslaTime"/>
    <m/>
    <x v="1"/>
    <n v="8.7668609086629767E-2"/>
  </r>
  <r>
    <s v="P098"/>
    <x v="0"/>
    <d v="2024-06-10T00:00:00"/>
    <x v="2"/>
    <s v="Check out our latest story on twitter!"/>
    <n v="1575"/>
    <n v="771"/>
    <n v="486"/>
    <n v="25200"/>
    <n v="24826"/>
    <n v="17"/>
    <s v="#FutureOfDriving"/>
    <m/>
    <m/>
    <x v="3"/>
    <n v="0.11238095238095239"/>
  </r>
  <r>
    <s v="P099"/>
    <x v="1"/>
    <d v="2024-07-02T00:00:00"/>
    <x v="3"/>
    <s v="Check out our latest carousel on youtube!"/>
    <n v="4171"/>
    <n v="548"/>
    <n v="86"/>
    <n v="66736"/>
    <n v="66634"/>
    <n v="173"/>
    <s v="#FutureOfDriving"/>
    <m/>
    <m/>
    <x v="2"/>
    <n v="7.2000119875329657E-2"/>
  </r>
  <r>
    <s v="P100"/>
    <x v="1"/>
    <d v="2025-02-10T00:00:00"/>
    <x v="5"/>
    <s v="Check out our latest video on youtube!"/>
    <n v="1766"/>
    <n v="92"/>
    <n v="424"/>
    <n v="24724"/>
    <n v="24333"/>
    <n v="52"/>
    <s v="#EVRevolution"/>
    <m/>
    <m/>
    <x v="0"/>
    <n v="9.2298980747451867E-2"/>
  </r>
  <r>
    <s v="P101"/>
    <x v="1"/>
    <d v="2024-10-18T00:00:00"/>
    <x v="5"/>
    <s v="Check out our latest video on youtube!"/>
    <n v="4450"/>
    <n v="983"/>
    <n v="143"/>
    <n v="75650"/>
    <n v="75008"/>
    <n v="12"/>
    <s v="#FutureOfDriving"/>
    <m/>
    <m/>
    <x v="2"/>
    <n v="7.3707865168539333E-2"/>
  </r>
  <r>
    <s v="P102"/>
    <x v="0"/>
    <d v="2024-09-18T00:00:00"/>
    <x v="0"/>
    <s v="Check out our latest reel on twitter!"/>
    <n v="1000"/>
    <n v="978"/>
    <n v="162"/>
    <n v="6000"/>
    <n v="5221"/>
    <n v="223"/>
    <s v="#EVRevolution"/>
    <m/>
    <m/>
    <x v="1"/>
    <n v="0.35666666666666669"/>
  </r>
  <r>
    <s v="P103"/>
    <x v="3"/>
    <d v="2024-06-11T00:00:00"/>
    <x v="4"/>
    <s v="Check out our latest image on facebook!"/>
    <n v="3689"/>
    <n v="48"/>
    <n v="306"/>
    <n v="40579"/>
    <n v="39588"/>
    <n v="212"/>
    <s v="#EVRevolution"/>
    <m/>
    <m/>
    <x v="1"/>
    <n v="9.9632815002833983E-2"/>
  </r>
  <r>
    <s v="P104"/>
    <x v="1"/>
    <d v="2025-03-23T00:00:00"/>
    <x v="2"/>
    <s v="Check out our latest story on youtube!"/>
    <n v="3655"/>
    <n v="568"/>
    <n v="286"/>
    <n v="32895"/>
    <n v="32015"/>
    <n v="199"/>
    <s v="#TeslaCoInnovation"/>
    <m/>
    <m/>
    <x v="2"/>
    <n v="0.13707250341997265"/>
  </r>
  <r>
    <s v="P105"/>
    <x v="2"/>
    <d v="2024-06-14T00:00:00"/>
    <x v="3"/>
    <s v="Check out our latest carousel on instagram!"/>
    <n v="498"/>
    <n v="38"/>
    <n v="42"/>
    <n v="4482"/>
    <n v="3647"/>
    <n v="32"/>
    <s v="#FutureOfDriving"/>
    <m/>
    <m/>
    <x v="0"/>
    <n v="0.12896028558679162"/>
  </r>
  <r>
    <s v="P106"/>
    <x v="2"/>
    <d v="2025-02-04T00:00:00"/>
    <x v="4"/>
    <s v="Check out our latest image on instagram!"/>
    <n v="4619"/>
    <n v="821"/>
    <n v="499"/>
    <n v="69285"/>
    <n v="69141"/>
    <n v="298"/>
    <s v="#TeslaCoInnovation"/>
    <m/>
    <m/>
    <x v="3"/>
    <n v="8.5718409468138843E-2"/>
  </r>
  <r>
    <s v="P107"/>
    <x v="1"/>
    <d v="2024-06-21T00:00:00"/>
    <x v="4"/>
    <s v="Check out our latest image on youtube!"/>
    <n v="4832"/>
    <n v="893"/>
    <n v="10"/>
    <n v="91808"/>
    <n v="91296"/>
    <n v="182"/>
    <s v="#TeslaCoInnovation"/>
    <m/>
    <m/>
    <x v="1"/>
    <n v="6.2467323109097243E-2"/>
  </r>
  <r>
    <s v="P108"/>
    <x v="0"/>
    <d v="2025-03-25T00:00:00"/>
    <x v="5"/>
    <s v="Check out our latest video on twitter!"/>
    <n v="4050"/>
    <n v="871"/>
    <n v="347"/>
    <n v="52650"/>
    <n v="51755"/>
    <n v="209"/>
    <s v="#TeslaCoInnovation"/>
    <m/>
    <m/>
    <x v="1"/>
    <n v="0.10005698005698006"/>
  </r>
  <r>
    <s v="P109"/>
    <x v="0"/>
    <d v="2024-08-08T00:00:00"/>
    <x v="2"/>
    <s v="Check out our latest story on twitter!"/>
    <n v="3649"/>
    <n v="215"/>
    <n v="413"/>
    <n v="25543"/>
    <n v="24963"/>
    <n v="167"/>
    <s v="#FutureOfDriving"/>
    <m/>
    <m/>
    <x v="2"/>
    <n v="0.16744313510550835"/>
  </r>
  <r>
    <s v="P110"/>
    <x v="2"/>
    <d v="2024-07-29T00:00:00"/>
    <x v="0"/>
    <s v="Check out our latest reel on instagram!"/>
    <n v="3523"/>
    <n v="753"/>
    <n v="482"/>
    <n v="38753"/>
    <n v="38579"/>
    <n v="270"/>
    <s v="#EVRevolution"/>
    <m/>
    <m/>
    <x v="1"/>
    <n v="0.12277759141227776"/>
  </r>
  <r>
    <s v="P111"/>
    <x v="1"/>
    <d v="2024-11-23T00:00:00"/>
    <x v="4"/>
    <s v="Check out our latest image on youtube!"/>
    <n v="2719"/>
    <n v="17"/>
    <n v="285"/>
    <n v="40785"/>
    <n v="40281"/>
    <n v="40"/>
    <s v="#TeslaCoInnovation"/>
    <m/>
    <m/>
    <x v="1"/>
    <n v="7.4071349760941527E-2"/>
  </r>
  <r>
    <s v="P112"/>
    <x v="0"/>
    <d v="2024-10-05T00:00:00"/>
    <x v="2"/>
    <s v="Check out our latest story on twitter!"/>
    <n v="1957"/>
    <n v="877"/>
    <n v="238"/>
    <n v="17613"/>
    <n v="16865"/>
    <n v="297"/>
    <s v="#FutureOfDriving"/>
    <m/>
    <m/>
    <x v="2"/>
    <n v="0.17441662408448305"/>
  </r>
  <r>
    <s v="P113"/>
    <x v="0"/>
    <d v="2024-10-02T00:00:00"/>
    <x v="3"/>
    <s v="Check out our latest carousel on twitter!"/>
    <n v="4419"/>
    <n v="236"/>
    <n v="369"/>
    <n v="44190"/>
    <n v="43582"/>
    <n v="10"/>
    <s v="#EVRevolution"/>
    <m/>
    <m/>
    <x v="0"/>
    <n v="0.11369088028965829"/>
  </r>
  <r>
    <s v="P114"/>
    <x v="0"/>
    <d v="2024-11-14T00:00:00"/>
    <x v="2"/>
    <s v="Check out our latest story on twitter!"/>
    <n v="4000"/>
    <n v="689"/>
    <n v="488"/>
    <n v="40000"/>
    <n v="39569"/>
    <n v="44"/>
    <s v="#FutureOfDriving"/>
    <m/>
    <m/>
    <x v="0"/>
    <n v="0.12942500000000001"/>
  </r>
  <r>
    <s v="P115"/>
    <x v="0"/>
    <d v="2025-05-11T00:00:00"/>
    <x v="4"/>
    <s v="Check out our latest image on twitter!"/>
    <n v="2493"/>
    <n v="97"/>
    <n v="44"/>
    <n v="42381"/>
    <n v="41991"/>
    <n v="242"/>
    <s v="#TeslaCoInnovation"/>
    <s v="#AnytimeIsTeslaTime"/>
    <m/>
    <x v="3"/>
    <n v="6.2150491965739366E-2"/>
  </r>
  <r>
    <s v="P116"/>
    <x v="1"/>
    <d v="2025-03-18T00:00:00"/>
    <x v="0"/>
    <s v="Check out our latest reel on youtube!"/>
    <n v="3704"/>
    <n v="186"/>
    <n v="458"/>
    <n v="25928"/>
    <n v="25081"/>
    <n v="131"/>
    <s v="#TeslaCoInnovation"/>
    <m/>
    <m/>
    <x v="1"/>
    <n v="0.16769515581610614"/>
  </r>
  <r>
    <s v="P117"/>
    <x v="0"/>
    <d v="2024-11-04T00:00:00"/>
    <x v="4"/>
    <s v="Check out our latest image on twitter!"/>
    <n v="1606"/>
    <n v="451"/>
    <n v="405"/>
    <n v="20878"/>
    <n v="20190"/>
    <n v="219"/>
    <s v="#EVRevolution"/>
    <m/>
    <m/>
    <x v="3"/>
    <n v="0.11792317271769326"/>
  </r>
  <r>
    <s v="P118"/>
    <x v="3"/>
    <d v="2024-11-04T00:00:00"/>
    <x v="4"/>
    <s v="Check out our latest image on facebook!"/>
    <n v="4551"/>
    <n v="714"/>
    <n v="207"/>
    <n v="68265"/>
    <n v="67754"/>
    <n v="57"/>
    <s v="#FutureOfDriving"/>
    <m/>
    <m/>
    <x v="2"/>
    <n v="8.0158206987475278E-2"/>
  </r>
  <r>
    <s v="P119"/>
    <x v="2"/>
    <d v="2025-02-07T00:00:00"/>
    <x v="0"/>
    <s v="Check out our latest reel on instagram!"/>
    <n v="1970"/>
    <n v="675"/>
    <n v="478"/>
    <n v="9850"/>
    <n v="8924"/>
    <n v="117"/>
    <s v="#FutureOfDriving"/>
    <m/>
    <m/>
    <x v="3"/>
    <n v="0.31705583756345179"/>
  </r>
  <r>
    <s v="P120"/>
    <x v="3"/>
    <d v="2024-10-21T00:00:00"/>
    <x v="2"/>
    <s v="Check out our latest story on facebook!"/>
    <n v="780"/>
    <n v="928"/>
    <n v="301"/>
    <n v="8580"/>
    <n v="8081"/>
    <n v="91"/>
    <s v="#EVRevolution"/>
    <m/>
    <m/>
    <x v="2"/>
    <n v="0.23414918414918415"/>
  </r>
  <r>
    <s v="P121"/>
    <x v="2"/>
    <d v="2024-07-29T00:00:00"/>
    <x v="2"/>
    <s v="Check out our latest story on instagram!"/>
    <n v="498"/>
    <n v="701"/>
    <n v="412"/>
    <n v="4980"/>
    <n v="4185"/>
    <n v="185"/>
    <s v="#FutureOfDriving"/>
    <m/>
    <m/>
    <x v="3"/>
    <n v="0.32349397590361445"/>
  </r>
  <r>
    <s v="P122"/>
    <x v="2"/>
    <d v="2024-10-02T00:00:00"/>
    <x v="1"/>
    <s v="Check out our latest text on instagram!"/>
    <n v="3432"/>
    <n v="869"/>
    <n v="123"/>
    <n v="54912"/>
    <n v="53916"/>
    <n v="264"/>
    <s v="#EVRevolution"/>
    <m/>
    <m/>
    <x v="1"/>
    <n v="8.0565268065268064E-2"/>
  </r>
  <r>
    <s v="P123"/>
    <x v="2"/>
    <d v="2024-06-14T00:00:00"/>
    <x v="2"/>
    <s v="Check out our latest story on instagram!"/>
    <n v="4363"/>
    <n v="649"/>
    <n v="140"/>
    <n v="21815"/>
    <n v="21481"/>
    <n v="157"/>
    <s v="#EVRevolution"/>
    <m/>
    <m/>
    <x v="0"/>
    <n v="0.23616777446710979"/>
  </r>
  <r>
    <s v="P124"/>
    <x v="1"/>
    <d v="2025-04-06T00:00:00"/>
    <x v="3"/>
    <s v="Check out our latest carousel on youtube!"/>
    <n v="736"/>
    <n v="771"/>
    <n v="225"/>
    <n v="5152"/>
    <n v="4706"/>
    <n v="19"/>
    <s v="#EVRevolution"/>
    <m/>
    <m/>
    <x v="0"/>
    <n v="0.33618012422360249"/>
  </r>
  <r>
    <s v="P125"/>
    <x v="0"/>
    <d v="2024-09-08T00:00:00"/>
    <x v="3"/>
    <s v="Check out our latest carousel on twitter!"/>
    <n v="3811"/>
    <n v="866"/>
    <n v="216"/>
    <n v="34299"/>
    <n v="34088"/>
    <n v="233"/>
    <s v="#TeslaCoInnovation"/>
    <m/>
    <m/>
    <x v="3"/>
    <n v="0.14265722032712325"/>
  </r>
  <r>
    <s v="P126"/>
    <x v="2"/>
    <d v="2025-03-28T00:00:00"/>
    <x v="3"/>
    <s v="Check out our latest carousel on instagram!"/>
    <n v="4158"/>
    <n v="167"/>
    <n v="241"/>
    <n v="45738"/>
    <n v="45183"/>
    <n v="142"/>
    <s v="#FutureOfDriving"/>
    <m/>
    <m/>
    <x v="3"/>
    <n v="9.9829463465827106E-2"/>
  </r>
  <r>
    <s v="P127"/>
    <x v="3"/>
    <d v="2025-01-27T00:00:00"/>
    <x v="0"/>
    <s v="Check out our latest reel on facebook!"/>
    <n v="3452"/>
    <n v="652"/>
    <n v="442"/>
    <n v="65588"/>
    <n v="65049"/>
    <n v="158"/>
    <s v="#FutureOfDriving"/>
    <m/>
    <m/>
    <x v="2"/>
    <n v="6.9311459413307311E-2"/>
  </r>
  <r>
    <s v="P128"/>
    <x v="0"/>
    <d v="2025-01-10T00:00:00"/>
    <x v="4"/>
    <s v="Check out our latest image on twitter!"/>
    <n v="3092"/>
    <n v="106"/>
    <n v="291"/>
    <n v="27828"/>
    <n v="27217"/>
    <n v="102"/>
    <s v="#FutureOfDriving"/>
    <m/>
    <m/>
    <x v="3"/>
    <n v="0.12537731780940059"/>
  </r>
  <r>
    <s v="P129"/>
    <x v="0"/>
    <d v="2024-07-21T00:00:00"/>
    <x v="1"/>
    <s v="Check out our latest text on twitter!"/>
    <n v="2147"/>
    <n v="430"/>
    <n v="393"/>
    <n v="17176"/>
    <n v="16483"/>
    <n v="170"/>
    <s v="#TeslaCoInnovation"/>
    <m/>
    <m/>
    <x v="1"/>
    <n v="0.17291569632044715"/>
  </r>
  <r>
    <s v="P130"/>
    <x v="1"/>
    <d v="2024-09-29T00:00:00"/>
    <x v="0"/>
    <s v="Check out our latest reel on youtube!"/>
    <n v="2936"/>
    <n v="439"/>
    <n v="44"/>
    <n v="38168"/>
    <n v="37571"/>
    <n v="22"/>
    <s v="#EVRevolution"/>
    <m/>
    <m/>
    <x v="3"/>
    <n v="8.9577656675749323E-2"/>
  </r>
  <r>
    <s v="P131"/>
    <x v="2"/>
    <d v="2024-10-21T00:00:00"/>
    <x v="0"/>
    <s v="Check out our latest reel on instagram!"/>
    <n v="4840"/>
    <n v="658"/>
    <n v="211"/>
    <n v="43560"/>
    <n v="43225"/>
    <n v="57"/>
    <s v="#FutureOfDriving"/>
    <m/>
    <m/>
    <x v="2"/>
    <n v="0.13106060606060607"/>
  </r>
  <r>
    <s v="P132"/>
    <x v="2"/>
    <d v="2025-03-04T00:00:00"/>
    <x v="2"/>
    <s v="Check out our latest story on instagram!"/>
    <n v="1947"/>
    <n v="842"/>
    <n v="101"/>
    <n v="21417"/>
    <n v="20967"/>
    <n v="186"/>
    <s v="#FutureOfDriving"/>
    <m/>
    <m/>
    <x v="1"/>
    <n v="0.13493953401503478"/>
  </r>
  <r>
    <s v="P133"/>
    <x v="3"/>
    <d v="2025-02-06T00:00:00"/>
    <x v="4"/>
    <s v="Check out our latest image on facebook!"/>
    <n v="2072"/>
    <n v="532"/>
    <n v="71"/>
    <n v="37296"/>
    <n v="36467"/>
    <n v="25"/>
    <s v="#TeslaCoInnovation"/>
    <m/>
    <m/>
    <x v="3"/>
    <n v="7.172350922350923E-2"/>
  </r>
  <r>
    <s v="P134"/>
    <x v="0"/>
    <d v="2025-04-24T00:00:00"/>
    <x v="0"/>
    <s v="Check out our latest reel on twitter!"/>
    <n v="3731"/>
    <n v="115"/>
    <n v="135"/>
    <n v="55965"/>
    <n v="55436"/>
    <n v="103"/>
    <s v="#TeslaCoInnovation"/>
    <m/>
    <m/>
    <x v="0"/>
    <n v="7.1133744304476013E-2"/>
  </r>
  <r>
    <s v="P135"/>
    <x v="3"/>
    <d v="2024-11-28T00:00:00"/>
    <x v="1"/>
    <s v="Check out our latest text on facebook!"/>
    <n v="4213"/>
    <n v="253"/>
    <n v="434"/>
    <n v="75834"/>
    <n v="75437"/>
    <n v="272"/>
    <s v="#FutureOfDriving"/>
    <m/>
    <m/>
    <x v="3"/>
    <n v="6.461481657304112E-2"/>
  </r>
  <r>
    <s v="P136"/>
    <x v="2"/>
    <d v="2024-07-11T00:00:00"/>
    <x v="1"/>
    <s v="Check out our latest text on instagram!"/>
    <n v="3134"/>
    <n v="888"/>
    <n v="444"/>
    <n v="21938"/>
    <n v="21337"/>
    <n v="130"/>
    <s v="#EVRevolution"/>
    <m/>
    <m/>
    <x v="3"/>
    <n v="0.20357370772176134"/>
  </r>
  <r>
    <s v="P137"/>
    <x v="3"/>
    <d v="2024-07-31T00:00:00"/>
    <x v="5"/>
    <s v="Check out our latest video on facebook!"/>
    <n v="3008"/>
    <n v="94"/>
    <n v="37"/>
    <n v="15040"/>
    <n v="14639"/>
    <n v="277"/>
    <s v="#FutureOfDriving"/>
    <m/>
    <m/>
    <x v="3"/>
    <n v="0.20871010638297871"/>
  </r>
  <r>
    <s v="P138"/>
    <x v="0"/>
    <d v="2025-03-29T00:00:00"/>
    <x v="4"/>
    <s v="Check out our latest image on twitter!"/>
    <n v="305"/>
    <n v="187"/>
    <n v="243"/>
    <n v="4575"/>
    <n v="3704"/>
    <n v="234"/>
    <s v="#FutureOfDriving"/>
    <m/>
    <m/>
    <x v="2"/>
    <n v="0.16065573770491803"/>
  </r>
  <r>
    <s v="P139"/>
    <x v="1"/>
    <d v="2024-10-29T00:00:00"/>
    <x v="1"/>
    <s v="Check out our latest text on youtube!"/>
    <n v="2746"/>
    <n v="156"/>
    <n v="203"/>
    <n v="32952"/>
    <n v="32147"/>
    <n v="147"/>
    <s v="#EVRevolution"/>
    <m/>
    <m/>
    <x v="0"/>
    <n v="9.422796795338674E-2"/>
  </r>
  <r>
    <s v="P140"/>
    <x v="3"/>
    <d v="2024-07-15T00:00:00"/>
    <x v="4"/>
    <s v="Check out our latest image on facebook!"/>
    <n v="2291"/>
    <n v="78"/>
    <n v="485"/>
    <n v="18328"/>
    <n v="18101"/>
    <n v="10"/>
    <s v="#EVRevolution"/>
    <s v="#SmoothLikeNitroTesla"/>
    <m/>
    <x v="1"/>
    <n v="0.15571802706241816"/>
  </r>
  <r>
    <s v="P141"/>
    <x v="0"/>
    <d v="2024-08-31T00:00:00"/>
    <x v="4"/>
    <s v="Check out our latest image on twitter!"/>
    <n v="3170"/>
    <n v="857"/>
    <n v="379"/>
    <n v="19020"/>
    <n v="18559"/>
    <n v="240"/>
    <s v="#FutureOfDriving"/>
    <m/>
    <m/>
    <x v="3"/>
    <n v="0.2316508937960042"/>
  </r>
  <r>
    <s v="P142"/>
    <x v="1"/>
    <d v="2025-03-25T00:00:00"/>
    <x v="2"/>
    <s v="Check out our latest story on youtube!"/>
    <n v="2070"/>
    <n v="275"/>
    <n v="386"/>
    <n v="39330"/>
    <n v="38627"/>
    <n v="114"/>
    <s v="#FutureOfDriving"/>
    <m/>
    <m/>
    <x v="3"/>
    <n v="6.9438087973557078E-2"/>
  </r>
  <r>
    <s v="P143"/>
    <x v="1"/>
    <d v="2024-10-02T00:00:00"/>
    <x v="3"/>
    <s v="Check out our latest carousel on youtube!"/>
    <n v="80"/>
    <n v="362"/>
    <n v="80"/>
    <n v="1040"/>
    <n v="349"/>
    <n v="117"/>
    <s v="#TeslaCoInnovation"/>
    <m/>
    <m/>
    <x v="2"/>
    <n v="0.50192307692307692"/>
  </r>
  <r>
    <s v="P144"/>
    <x v="1"/>
    <d v="2024-10-28T00:00:00"/>
    <x v="2"/>
    <s v="Check out our latest story on youtube!"/>
    <n v="4929"/>
    <n v="749"/>
    <n v="452"/>
    <n v="93651"/>
    <n v="92810"/>
    <n v="66"/>
    <s v="#EVRevolution"/>
    <m/>
    <m/>
    <x v="3"/>
    <n v="6.5455787978772245E-2"/>
  </r>
  <r>
    <s v="P145"/>
    <x v="2"/>
    <d v="2024-08-12T00:00:00"/>
    <x v="3"/>
    <s v="Check out our latest carousel on instagram!"/>
    <n v="1878"/>
    <n v="62"/>
    <n v="179"/>
    <n v="37560"/>
    <n v="36874"/>
    <n v="142"/>
    <s v="#TeslaCoInnovation"/>
    <m/>
    <m/>
    <x v="3"/>
    <n v="5.6416400425985093E-2"/>
  </r>
  <r>
    <s v="P146"/>
    <x v="1"/>
    <d v="2024-06-05T00:00:00"/>
    <x v="0"/>
    <s v="Check out our latest reel on youtube!"/>
    <n v="3065"/>
    <n v="772"/>
    <n v="142"/>
    <n v="18390"/>
    <n v="17875"/>
    <n v="200"/>
    <s v="#EVRevolution"/>
    <s v="#AnytimeIsTeslaTime"/>
    <m/>
    <x v="0"/>
    <n v="0.21636759108210984"/>
  </r>
  <r>
    <s v="P147"/>
    <x v="2"/>
    <d v="2024-10-21T00:00:00"/>
    <x v="0"/>
    <s v="Check out our latest reel on instagram!"/>
    <n v="3256"/>
    <n v="459"/>
    <n v="266"/>
    <n v="26048"/>
    <n v="25529"/>
    <n v="143"/>
    <s v="#TeslaCoInnovation"/>
    <m/>
    <m/>
    <x v="1"/>
    <n v="0.15283323095823095"/>
  </r>
  <r>
    <s v="P148"/>
    <x v="2"/>
    <d v="2025-04-15T00:00:00"/>
    <x v="5"/>
    <s v="Check out our latest video on instagram!"/>
    <n v="4133"/>
    <n v="466"/>
    <n v="327"/>
    <n v="24798"/>
    <n v="24620"/>
    <n v="176"/>
    <s v="#EVRevolution"/>
    <m/>
    <m/>
    <x v="3"/>
    <n v="0.19864505202032423"/>
  </r>
  <r>
    <s v="P149"/>
    <x v="0"/>
    <d v="2024-06-16T00:00:00"/>
    <x v="5"/>
    <s v="Check out our latest video on twitter!"/>
    <n v="1702"/>
    <n v="750"/>
    <n v="179"/>
    <n v="34040"/>
    <n v="33174"/>
    <n v="76"/>
    <s v="#EVRevolution"/>
    <m/>
    <m/>
    <x v="0"/>
    <n v="7.7291421856639245E-2"/>
  </r>
  <r>
    <s v="P150"/>
    <x v="1"/>
    <d v="2024-08-22T00:00:00"/>
    <x v="3"/>
    <s v="Check out our latest carousel on youtube!"/>
    <n v="4295"/>
    <n v="853"/>
    <n v="325"/>
    <n v="85900"/>
    <n v="85788"/>
    <n v="290"/>
    <s v="#TeslaCoInnovation"/>
    <m/>
    <m/>
    <x v="3"/>
    <n v="6.3713620488940623E-2"/>
  </r>
  <r>
    <s v="P151"/>
    <x v="2"/>
    <d v="2024-07-26T00:00:00"/>
    <x v="4"/>
    <s v="Check out our latest image on instagram!"/>
    <n v="3559"/>
    <n v="59"/>
    <n v="289"/>
    <n v="35590"/>
    <n v="35105"/>
    <n v="122"/>
    <s v="#EVRevolution"/>
    <m/>
    <m/>
    <x v="0"/>
    <n v="0.10977802753582468"/>
  </r>
  <r>
    <s v="P152"/>
    <x v="3"/>
    <d v="2025-04-22T00:00:00"/>
    <x v="4"/>
    <s v="Check out our latest image on facebook!"/>
    <n v="4804"/>
    <n v="550"/>
    <n v="270"/>
    <n v="28824"/>
    <n v="28370"/>
    <n v="47"/>
    <s v="#EVRevolution"/>
    <m/>
    <m/>
    <x v="3"/>
    <n v="0.19511518179295032"/>
  </r>
  <r>
    <s v="P153"/>
    <x v="0"/>
    <d v="2025-01-01T00:00:00"/>
    <x v="5"/>
    <s v="Check out our latest video on twitter!"/>
    <n v="754"/>
    <n v="197"/>
    <n v="257"/>
    <n v="6786"/>
    <n v="6221"/>
    <n v="212"/>
    <s v="#TeslaCoInnovation"/>
    <m/>
    <m/>
    <x v="2"/>
    <n v="0.17801355732390214"/>
  </r>
  <r>
    <s v="P154"/>
    <x v="2"/>
    <d v="2024-10-09T00:00:00"/>
    <x v="3"/>
    <s v="Check out our latest carousel on instagram!"/>
    <n v="985"/>
    <n v="932"/>
    <n v="287"/>
    <n v="6895"/>
    <n v="6757"/>
    <n v="64"/>
    <s v="#FutureOfDriving"/>
    <m/>
    <m/>
    <x v="3"/>
    <n v="0.31965192168237855"/>
  </r>
  <r>
    <s v="P155"/>
    <x v="1"/>
    <d v="2024-12-21T00:00:00"/>
    <x v="4"/>
    <s v="Check out our latest image on youtube!"/>
    <n v="2283"/>
    <n v="210"/>
    <n v="130"/>
    <n v="22830"/>
    <n v="22617"/>
    <n v="143"/>
    <s v="#FutureOfDriving"/>
    <m/>
    <m/>
    <x v="1"/>
    <n v="0.11489268506351293"/>
  </r>
  <r>
    <s v="P156"/>
    <x v="3"/>
    <d v="2024-10-22T00:00:00"/>
    <x v="3"/>
    <s v="Check out our latest carousel on facebook!"/>
    <n v="3352"/>
    <n v="941"/>
    <n v="482"/>
    <n v="43576"/>
    <n v="43338"/>
    <n v="240"/>
    <s v="#FutureOfDriving"/>
    <m/>
    <m/>
    <x v="1"/>
    <n v="0.1095786671562328"/>
  </r>
  <r>
    <s v="P157"/>
    <x v="1"/>
    <d v="2024-07-23T00:00:00"/>
    <x v="2"/>
    <s v="Check out our latest story on youtube!"/>
    <n v="4775"/>
    <n v="173"/>
    <n v="206"/>
    <n v="47750"/>
    <n v="47544"/>
    <n v="187"/>
    <s v="#FutureOfDriving"/>
    <m/>
    <m/>
    <x v="1"/>
    <n v="0.10793717277486911"/>
  </r>
  <r>
    <s v="P158"/>
    <x v="2"/>
    <d v="2024-08-11T00:00:00"/>
    <x v="2"/>
    <s v="Check out our latest story on instagram!"/>
    <n v="1762"/>
    <n v="405"/>
    <n v="423"/>
    <n v="22906"/>
    <n v="21925"/>
    <n v="25"/>
    <s v="#TeslaCoInnovation"/>
    <m/>
    <m/>
    <x v="0"/>
    <n v="0.11307081114118571"/>
  </r>
  <r>
    <s v="P159"/>
    <x v="3"/>
    <d v="2024-11-25T00:00:00"/>
    <x v="2"/>
    <s v="Check out our latest story on facebook!"/>
    <n v="2120"/>
    <n v="158"/>
    <n v="488"/>
    <n v="12720"/>
    <n v="12085"/>
    <n v="17"/>
    <s v="#FutureOfDriving"/>
    <m/>
    <m/>
    <x v="1"/>
    <n v="0.21745283018867925"/>
  </r>
  <r>
    <s v="P160"/>
    <x v="0"/>
    <d v="2024-08-24T00:00:00"/>
    <x v="5"/>
    <s v="Check out our latest video on twitter!"/>
    <n v="1082"/>
    <n v="209"/>
    <n v="484"/>
    <n v="19476"/>
    <n v="18654"/>
    <n v="20"/>
    <s v="#TeslaCoInnovation"/>
    <m/>
    <m/>
    <x v="1"/>
    <n v="9.1137810638734856E-2"/>
  </r>
  <r>
    <s v="P161"/>
    <x v="0"/>
    <d v="2025-02-19T00:00:00"/>
    <x v="1"/>
    <s v="Check out our latest text on twitter!"/>
    <n v="4671"/>
    <n v="876"/>
    <n v="366"/>
    <n v="51381"/>
    <n v="50565"/>
    <n v="245"/>
    <s v="#TeslaCoInnovation"/>
    <m/>
    <m/>
    <x v="3"/>
    <n v="0.11508145034156594"/>
  </r>
  <r>
    <s v="P162"/>
    <x v="3"/>
    <d v="2025-04-01T00:00:00"/>
    <x v="2"/>
    <s v="Check out our latest story on facebook!"/>
    <n v="3430"/>
    <n v="566"/>
    <n v="164"/>
    <n v="48020"/>
    <n v="47305"/>
    <n v="120"/>
    <s v="#FutureOfDriving"/>
    <m/>
    <m/>
    <x v="3"/>
    <n v="8.6630570595585168E-2"/>
  </r>
  <r>
    <s v="P163"/>
    <x v="2"/>
    <d v="2025-04-08T00:00:00"/>
    <x v="4"/>
    <s v="Check out our latest image on instagram!"/>
    <n v="4501"/>
    <n v="375"/>
    <n v="323"/>
    <n v="22505"/>
    <n v="21836"/>
    <n v="132"/>
    <s v="#TeslaCoInnovation"/>
    <m/>
    <m/>
    <x v="1"/>
    <n v="0.23101532992668297"/>
  </r>
  <r>
    <s v="P164"/>
    <x v="1"/>
    <d v="2025-02-27T00:00:00"/>
    <x v="1"/>
    <s v="Check out our latest text on youtube!"/>
    <n v="4934"/>
    <n v="971"/>
    <n v="156"/>
    <n v="39472"/>
    <n v="39025"/>
    <n v="169"/>
    <s v="#TeslaCoInnovation"/>
    <s v="#AnytimeIsTeslaTime"/>
    <m/>
    <x v="3"/>
    <n v="0.15355188488042157"/>
  </r>
  <r>
    <s v="P165"/>
    <x v="0"/>
    <d v="2024-12-11T00:00:00"/>
    <x v="1"/>
    <s v="Check out our latest text on twitter!"/>
    <n v="3239"/>
    <n v="43"/>
    <n v="211"/>
    <n v="22673"/>
    <n v="22171"/>
    <n v="230"/>
    <s v="#TeslaCoInnovation"/>
    <m/>
    <m/>
    <x v="1"/>
    <n v="0.15405989502933004"/>
  </r>
  <r>
    <s v="P166"/>
    <x v="0"/>
    <d v="2025-02-16T00:00:00"/>
    <x v="0"/>
    <s v="Check out our latest reel on twitter!"/>
    <n v="1076"/>
    <n v="313"/>
    <n v="306"/>
    <n v="11836"/>
    <n v="11596"/>
    <n v="104"/>
    <s v="#FutureOfDriving"/>
    <m/>
    <m/>
    <x v="0"/>
    <n v="0.14320716458262928"/>
  </r>
  <r>
    <s v="P167"/>
    <x v="2"/>
    <d v="2024-11-28T00:00:00"/>
    <x v="1"/>
    <s v="Check out our latest text on instagram!"/>
    <n v="4771"/>
    <n v="818"/>
    <n v="56"/>
    <n v="57252"/>
    <n v="56378"/>
    <n v="150"/>
    <s v="#FutureOfDriving"/>
    <m/>
    <m/>
    <x v="3"/>
    <n v="9.859917557465242E-2"/>
  </r>
  <r>
    <s v="P168"/>
    <x v="3"/>
    <d v="2024-11-12T00:00:00"/>
    <x v="1"/>
    <s v="Check out our latest text on facebook!"/>
    <n v="2418"/>
    <n v="754"/>
    <n v="54"/>
    <n v="43524"/>
    <n v="42743"/>
    <n v="182"/>
    <s v="#EVRevolution"/>
    <m/>
    <m/>
    <x v="0"/>
    <n v="7.412002573292896E-2"/>
  </r>
  <r>
    <s v="P169"/>
    <x v="1"/>
    <d v="2024-12-03T00:00:00"/>
    <x v="5"/>
    <s v="Check out our latest video on youtube!"/>
    <n v="3809"/>
    <n v="273"/>
    <n v="200"/>
    <n v="34281"/>
    <n v="33534"/>
    <n v="83"/>
    <s v="#EVRevolution"/>
    <m/>
    <m/>
    <x v="0"/>
    <n v="0.12490884163239112"/>
  </r>
  <r>
    <s v="P170"/>
    <x v="0"/>
    <d v="2025-04-28T00:00:00"/>
    <x v="1"/>
    <s v="Check out our latest text on twitter!"/>
    <n v="3577"/>
    <n v="596"/>
    <n v="493"/>
    <n v="67963"/>
    <n v="67839"/>
    <n v="53"/>
    <s v="#TeslaCoInnovation"/>
    <m/>
    <m/>
    <x v="2"/>
    <n v="6.8655003457763777E-2"/>
  </r>
  <r>
    <s v="P171"/>
    <x v="1"/>
    <d v="2024-12-31T00:00:00"/>
    <x v="5"/>
    <s v="Check out our latest video on youtube!"/>
    <n v="1018"/>
    <n v="447"/>
    <n v="332"/>
    <n v="18324"/>
    <n v="18164"/>
    <n v="38"/>
    <s v="#FutureOfDriving"/>
    <m/>
    <m/>
    <x v="1"/>
    <n v="9.8068107400130972E-2"/>
  </r>
  <r>
    <s v="P172"/>
    <x v="3"/>
    <d v="2024-08-14T00:00:00"/>
    <x v="3"/>
    <s v="Check out our latest carousel on facebook!"/>
    <n v="3073"/>
    <n v="553"/>
    <n v="174"/>
    <n v="52241"/>
    <n v="51605"/>
    <n v="246"/>
    <s v="#EVRevolution"/>
    <m/>
    <m/>
    <x v="2"/>
    <n v="7.2739802071170159E-2"/>
  </r>
  <r>
    <s v="P173"/>
    <x v="0"/>
    <d v="2024-12-05T00:00:00"/>
    <x v="5"/>
    <s v="Check out our latest video on twitter!"/>
    <n v="1330"/>
    <n v="925"/>
    <n v="35"/>
    <n v="15960"/>
    <n v="15379"/>
    <n v="229"/>
    <s v="#FutureOfDriving"/>
    <m/>
    <m/>
    <x v="2"/>
    <n v="0.14348370927318296"/>
  </r>
  <r>
    <s v="P174"/>
    <x v="3"/>
    <d v="2024-06-22T00:00:00"/>
    <x v="1"/>
    <s v="Check out our latest text on facebook!"/>
    <n v="3828"/>
    <n v="148"/>
    <n v="253"/>
    <n v="30624"/>
    <n v="30229"/>
    <n v="235"/>
    <s v="#EVRevolution"/>
    <m/>
    <m/>
    <x v="0"/>
    <n v="0.13809430512016718"/>
  </r>
  <r>
    <s v="P175"/>
    <x v="2"/>
    <d v="2025-01-17T00:00:00"/>
    <x v="0"/>
    <s v="Check out our latest reel on instagram!"/>
    <n v="142"/>
    <n v="784"/>
    <n v="183"/>
    <n v="1704"/>
    <n v="995"/>
    <n v="154"/>
    <s v="#FutureOfDriving"/>
    <m/>
    <m/>
    <x v="3"/>
    <n v="0.6508215962441315"/>
  </r>
  <r>
    <s v="P176"/>
    <x v="3"/>
    <d v="2024-06-20T00:00:00"/>
    <x v="5"/>
    <s v="Check out our latest video on facebook!"/>
    <n v="3798"/>
    <n v="31"/>
    <n v="279"/>
    <n v="75960"/>
    <n v="75813"/>
    <n v="266"/>
    <s v="#TeslaCoInnovation"/>
    <m/>
    <m/>
    <x v="0"/>
    <n v="5.4081095313322801E-2"/>
  </r>
  <r>
    <s v="P177"/>
    <x v="2"/>
    <d v="2024-07-10T00:00:00"/>
    <x v="3"/>
    <s v="Check out our latest carousel on instagram!"/>
    <n v="3099"/>
    <n v="694"/>
    <n v="171"/>
    <n v="43386"/>
    <n v="42921"/>
    <n v="52"/>
    <s v="#TeslaCoInnovation"/>
    <m/>
    <m/>
    <x v="2"/>
    <n v="9.1365878393951966E-2"/>
  </r>
  <r>
    <s v="P178"/>
    <x v="2"/>
    <d v="2024-11-07T00:00:00"/>
    <x v="5"/>
    <s v="Check out our latest video on instagram!"/>
    <n v="129"/>
    <n v="643"/>
    <n v="136"/>
    <n v="1290"/>
    <n v="839"/>
    <n v="238"/>
    <s v="#TeslaCoInnovation"/>
    <m/>
    <m/>
    <x v="3"/>
    <n v="0.70387596899224802"/>
  </r>
  <r>
    <s v="P179"/>
    <x v="3"/>
    <d v="2024-07-15T00:00:00"/>
    <x v="3"/>
    <s v="Check out our latest carousel on facebook!"/>
    <n v="3796"/>
    <n v="667"/>
    <n v="395"/>
    <n v="64532"/>
    <n v="63550"/>
    <n v="292"/>
    <s v="#TeslaCoInnovation"/>
    <m/>
    <m/>
    <x v="1"/>
    <n v="7.5280481001673588E-2"/>
  </r>
  <r>
    <s v="P180"/>
    <x v="1"/>
    <d v="2024-12-03T00:00:00"/>
    <x v="1"/>
    <s v="Check out our latest text on youtube!"/>
    <n v="3711"/>
    <n v="352"/>
    <n v="290"/>
    <n v="48243"/>
    <n v="47579"/>
    <n v="11"/>
    <s v="#TeslaCoInnovation"/>
    <m/>
    <m/>
    <x v="0"/>
    <n v="9.023070704558174E-2"/>
  </r>
  <r>
    <s v="P181"/>
    <x v="1"/>
    <d v="2025-03-21T00:00:00"/>
    <x v="4"/>
    <s v="Check out our latest image on youtube!"/>
    <n v="606"/>
    <n v="789"/>
    <n v="470"/>
    <n v="7878"/>
    <n v="7389"/>
    <n v="239"/>
    <s v="#EVRevolution"/>
    <m/>
    <m/>
    <x v="2"/>
    <n v="0.23673521198273673"/>
  </r>
  <r>
    <s v="P182"/>
    <x v="3"/>
    <d v="2024-07-31T00:00:00"/>
    <x v="4"/>
    <s v="Check out our latest image on facebook!"/>
    <n v="4689"/>
    <n v="134"/>
    <n v="403"/>
    <n v="51579"/>
    <n v="50924"/>
    <n v="173"/>
    <s v="#TeslaCoInnovation"/>
    <m/>
    <m/>
    <x v="3"/>
    <n v="0.10132030477519921"/>
  </r>
  <r>
    <s v="P183"/>
    <x v="2"/>
    <d v="2024-12-17T00:00:00"/>
    <x v="2"/>
    <s v="Check out our latest story on instagram!"/>
    <n v="360"/>
    <n v="590"/>
    <n v="393"/>
    <n v="4680"/>
    <n v="4322"/>
    <n v="208"/>
    <s v="#FutureOfDriving"/>
    <m/>
    <m/>
    <x v="1"/>
    <n v="0.28696581196581195"/>
  </r>
  <r>
    <s v="P184"/>
    <x v="0"/>
    <d v="2024-07-28T00:00:00"/>
    <x v="4"/>
    <s v="Check out our latest image on twitter!"/>
    <n v="3215"/>
    <n v="960"/>
    <n v="202"/>
    <n v="32150"/>
    <n v="31404"/>
    <n v="251"/>
    <s v="#EVRevolution"/>
    <m/>
    <m/>
    <x v="0"/>
    <n v="0.13614307931570763"/>
  </r>
  <r>
    <s v="P185"/>
    <x v="2"/>
    <d v="2025-01-11T00:00:00"/>
    <x v="3"/>
    <s v="Check out our latest carousel on instagram!"/>
    <n v="4523"/>
    <n v="61"/>
    <n v="157"/>
    <n v="49753"/>
    <n v="49329"/>
    <n v="71"/>
    <s v="#EVRevolution"/>
    <m/>
    <m/>
    <x v="0"/>
    <n v="9.5290736237010829E-2"/>
  </r>
  <r>
    <s v="P186"/>
    <x v="3"/>
    <d v="2024-08-24T00:00:00"/>
    <x v="3"/>
    <s v="Check out our latest carousel on facebook!"/>
    <n v="4292"/>
    <n v="51"/>
    <n v="392"/>
    <n v="55796"/>
    <n v="54826"/>
    <n v="264"/>
    <s v="#EVRevolution"/>
    <m/>
    <m/>
    <x v="2"/>
    <n v="8.4862714173059003E-2"/>
  </r>
  <r>
    <s v="P187"/>
    <x v="0"/>
    <d v="2024-12-22T00:00:00"/>
    <x v="0"/>
    <s v="Check out our latest reel on twitter!"/>
    <n v="1644"/>
    <n v="546"/>
    <n v="150"/>
    <n v="27948"/>
    <n v="27184"/>
    <n v="300"/>
    <s v="#EVRevolution"/>
    <m/>
    <m/>
    <x v="2"/>
    <n v="8.3726921425504502E-2"/>
  </r>
  <r>
    <s v="P188"/>
    <x v="1"/>
    <d v="2024-06-06T00:00:00"/>
    <x v="0"/>
    <s v="Check out our latest reel on youtube!"/>
    <n v="2728"/>
    <n v="533"/>
    <n v="215"/>
    <n v="40920"/>
    <n v="40816"/>
    <n v="137"/>
    <s v="#FutureOfDriving"/>
    <m/>
    <m/>
    <x v="1"/>
    <n v="8.4946236559139784E-2"/>
  </r>
  <r>
    <s v="P189"/>
    <x v="3"/>
    <d v="2025-03-24T00:00:00"/>
    <x v="0"/>
    <s v="Check out our latest reel on facebook!"/>
    <n v="3360"/>
    <n v="525"/>
    <n v="500"/>
    <n v="60480"/>
    <n v="59610"/>
    <n v="192"/>
    <s v="#TeslaCoInnovation"/>
    <m/>
    <m/>
    <x v="0"/>
    <n v="7.2503306878306875E-2"/>
  </r>
  <r>
    <s v="P190"/>
    <x v="1"/>
    <d v="2024-10-04T00:00:00"/>
    <x v="1"/>
    <s v="Check out our latest text on youtube!"/>
    <n v="1963"/>
    <n v="213"/>
    <n v="19"/>
    <n v="39260"/>
    <n v="38771"/>
    <n v="145"/>
    <s v="#FutureOfDriving"/>
    <m/>
    <m/>
    <x v="3"/>
    <n v="5.5909322465613857E-2"/>
  </r>
  <r>
    <s v="P191"/>
    <x v="1"/>
    <d v="2024-12-03T00:00:00"/>
    <x v="2"/>
    <s v="Check out our latest story on youtube!"/>
    <n v="4285"/>
    <n v="886"/>
    <n v="376"/>
    <n v="55705"/>
    <n v="55556"/>
    <n v="51"/>
    <s v="#FutureOfDriving"/>
    <m/>
    <m/>
    <x v="2"/>
    <n v="9.9578134817341346E-2"/>
  </r>
  <r>
    <s v="P192"/>
    <x v="2"/>
    <d v="2024-11-29T00:00:00"/>
    <x v="5"/>
    <s v="Check out our latest video on instagram!"/>
    <n v="1176"/>
    <n v="464"/>
    <n v="394"/>
    <n v="14112"/>
    <n v="13588"/>
    <n v="272"/>
    <s v="#EVRevolution"/>
    <m/>
    <m/>
    <x v="0"/>
    <n v="0.1441326530612245"/>
  </r>
  <r>
    <s v="P193"/>
    <x v="0"/>
    <d v="2024-09-11T00:00:00"/>
    <x v="4"/>
    <s v="Check out our latest image on twitter!"/>
    <n v="4858"/>
    <n v="317"/>
    <n v="129"/>
    <n v="53438"/>
    <n v="52687"/>
    <n v="223"/>
    <s v="#EVRevolution"/>
    <m/>
    <m/>
    <x v="2"/>
    <n v="9.9255211647142488E-2"/>
  </r>
  <r>
    <s v="P194"/>
    <x v="1"/>
    <d v="2024-10-02T00:00:00"/>
    <x v="2"/>
    <s v="Check out our latest story on youtube!"/>
    <n v="4350"/>
    <n v="771"/>
    <n v="7"/>
    <n v="60900"/>
    <n v="60592"/>
    <n v="195"/>
    <s v="#EVRevolution"/>
    <m/>
    <m/>
    <x v="0"/>
    <n v="8.4203612479474554E-2"/>
  </r>
  <r>
    <s v="P195"/>
    <x v="2"/>
    <d v="2024-08-15T00:00:00"/>
    <x v="3"/>
    <s v="Check out our latest carousel on instagram!"/>
    <n v="914"/>
    <n v="464"/>
    <n v="246"/>
    <n v="11882"/>
    <n v="11500"/>
    <n v="282"/>
    <s v="#FutureOfDriving"/>
    <s v="#TeslaCoInnovation"/>
    <s v="#AnytimeIsTeslaTime"/>
    <x v="3"/>
    <n v="0.13667732704931829"/>
  </r>
  <r>
    <s v="P196"/>
    <x v="2"/>
    <d v="2024-12-19T00:00:00"/>
    <x v="1"/>
    <s v="Check out our latest text on instagram!"/>
    <n v="1813"/>
    <n v="623"/>
    <n v="72"/>
    <n v="19943"/>
    <n v="18959"/>
    <n v="85"/>
    <s v="#EVRevolution"/>
    <m/>
    <m/>
    <x v="2"/>
    <n v="0.12575841147269717"/>
  </r>
  <r>
    <s v="P197"/>
    <x v="0"/>
    <d v="2024-10-22T00:00:00"/>
    <x v="0"/>
    <s v="Check out our latest reel on twitter!"/>
    <n v="4782"/>
    <n v="721"/>
    <n v="82"/>
    <n v="86076"/>
    <n v="85339"/>
    <n v="19"/>
    <s v="#EVRevolution"/>
    <m/>
    <m/>
    <x v="0"/>
    <n v="6.4884520656164318E-2"/>
  </r>
  <r>
    <s v="P198"/>
    <x v="0"/>
    <d v="2024-09-14T00:00:00"/>
    <x v="4"/>
    <s v="Check out our latest image on twitter!"/>
    <n v="1048"/>
    <n v="374"/>
    <n v="450"/>
    <n v="9432"/>
    <n v="8882"/>
    <n v="158"/>
    <s v="#TeslaCoInnovation"/>
    <m/>
    <m/>
    <x v="2"/>
    <n v="0.19847328244274809"/>
  </r>
  <r>
    <s v="P199"/>
    <x v="1"/>
    <d v="2024-11-30T00:00:00"/>
    <x v="3"/>
    <s v="Check out our latest carousel on youtube!"/>
    <n v="2509"/>
    <n v="324"/>
    <n v="171"/>
    <n v="35126"/>
    <n v="34685"/>
    <n v="277"/>
    <s v="#TeslaCoInnovation"/>
    <m/>
    <m/>
    <x v="1"/>
    <n v="8.5520696919660646E-2"/>
  </r>
  <r>
    <s v="P200"/>
    <x v="3"/>
    <d v="2025-04-07T00:00:00"/>
    <x v="0"/>
    <s v="Check out our latest reel on facebook!"/>
    <n v="3718"/>
    <n v="385"/>
    <n v="310"/>
    <n v="70642"/>
    <n v="69749"/>
    <n v="233"/>
    <s v="#TeslaCoInnovation"/>
    <m/>
    <m/>
    <x v="1"/>
    <n v="6.246991874522239E-2"/>
  </r>
  <r>
    <s v="P201"/>
    <x v="0"/>
    <d v="2025-01-15T00:00:00"/>
    <x v="0"/>
    <s v="Check out our latest reel on twitter!"/>
    <n v="802"/>
    <n v="262"/>
    <n v="244"/>
    <n v="14436"/>
    <n v="14280"/>
    <n v="49"/>
    <s v="#EVRevolution"/>
    <m/>
    <m/>
    <x v="0"/>
    <n v="9.0606816292601824E-2"/>
  </r>
  <r>
    <s v="P202"/>
    <x v="3"/>
    <d v="2024-06-02T00:00:00"/>
    <x v="4"/>
    <s v="Check out our latest image on facebook!"/>
    <n v="1871"/>
    <n v="252"/>
    <n v="335"/>
    <n v="29936"/>
    <n v="29576"/>
    <n v="288"/>
    <s v="#EVRevolution"/>
    <m/>
    <m/>
    <x v="2"/>
    <n v="8.2108498129342594E-2"/>
  </r>
  <r>
    <s v="P203"/>
    <x v="2"/>
    <d v="2024-11-21T00:00:00"/>
    <x v="3"/>
    <s v="Check out our latest carousel on instagram!"/>
    <n v="3773"/>
    <n v="299"/>
    <n v="38"/>
    <n v="71687"/>
    <n v="71447"/>
    <n v="286"/>
    <s v="#FutureOfDriving"/>
    <m/>
    <m/>
    <x v="0"/>
    <n v="5.7332570758993957E-2"/>
  </r>
  <r>
    <s v="P204"/>
    <x v="2"/>
    <d v="2025-01-01T00:00:00"/>
    <x v="3"/>
    <s v="Check out our latest carousel on instagram!"/>
    <n v="2234"/>
    <n v="653"/>
    <n v="432"/>
    <n v="11170"/>
    <n v="10569"/>
    <n v="198"/>
    <s v="#FutureOfDriving"/>
    <m/>
    <m/>
    <x v="2"/>
    <n v="0.29713518352730528"/>
  </r>
  <r>
    <s v="P205"/>
    <x v="0"/>
    <d v="2025-04-24T00:00:00"/>
    <x v="5"/>
    <s v="Check out our latest video on twitter!"/>
    <n v="3820"/>
    <n v="697"/>
    <n v="268"/>
    <n v="45840"/>
    <n v="45631"/>
    <n v="171"/>
    <s v="#TeslaCoInnovation"/>
    <s v="#SmoothLikeNitroTesla"/>
    <m/>
    <x v="3"/>
    <n v="0.1043848167539267"/>
  </r>
  <r>
    <s v="P206"/>
    <x v="0"/>
    <d v="2024-06-24T00:00:00"/>
    <x v="1"/>
    <s v="Check out our latest text on twitter!"/>
    <n v="941"/>
    <n v="121"/>
    <n v="458"/>
    <n v="14115"/>
    <n v="13838"/>
    <n v="87"/>
    <s v="#EVRevolution"/>
    <m/>
    <m/>
    <x v="0"/>
    <n v="0.10768685795253277"/>
  </r>
  <r>
    <s v="P207"/>
    <x v="0"/>
    <d v="2024-12-29T00:00:00"/>
    <x v="3"/>
    <s v="Check out our latest carousel on twitter!"/>
    <n v="4274"/>
    <n v="340"/>
    <n v="281"/>
    <n v="34192"/>
    <n v="33446"/>
    <n v="129"/>
    <s v="#TeslaCoInnovation"/>
    <s v="#SmoothLikeNitroTesla"/>
    <m/>
    <x v="2"/>
    <n v="0.14316214319138981"/>
  </r>
  <r>
    <s v="P208"/>
    <x v="1"/>
    <d v="2024-06-24T00:00:00"/>
    <x v="5"/>
    <s v="Check out our latest video on youtube!"/>
    <n v="2949"/>
    <n v="476"/>
    <n v="403"/>
    <n v="44235"/>
    <n v="43705"/>
    <n v="135"/>
    <s v="#TeslaCoInnovation"/>
    <m/>
    <m/>
    <x v="1"/>
    <n v="8.6537809426924378E-2"/>
  </r>
  <r>
    <s v="P209"/>
    <x v="0"/>
    <d v="2025-03-19T00:00:00"/>
    <x v="5"/>
    <s v="Check out our latest video on twitter!"/>
    <n v="3160"/>
    <n v="204"/>
    <n v="297"/>
    <n v="44240"/>
    <n v="43666"/>
    <n v="49"/>
    <s v="#FutureOfDriving"/>
    <s v="#AnytimeIsTeslaTime"/>
    <m/>
    <x v="3"/>
    <n v="8.2753164556962022E-2"/>
  </r>
  <r>
    <s v="P210"/>
    <x v="1"/>
    <d v="2025-02-19T00:00:00"/>
    <x v="4"/>
    <s v="Check out our latest image on youtube!"/>
    <n v="257"/>
    <n v="966"/>
    <n v="398"/>
    <n v="3341"/>
    <n v="2753"/>
    <n v="287"/>
    <s v="#FutureOfDriving"/>
    <m/>
    <m/>
    <x v="0"/>
    <n v="0.48518407662376534"/>
  </r>
  <r>
    <s v="P211"/>
    <x v="0"/>
    <d v="2024-07-18T00:00:00"/>
    <x v="3"/>
    <s v="Check out our latest carousel on twitter!"/>
    <n v="2120"/>
    <n v="38"/>
    <n v="212"/>
    <n v="12720"/>
    <n v="12564"/>
    <n v="21"/>
    <s v="#FutureOfDriving"/>
    <m/>
    <m/>
    <x v="3"/>
    <n v="0.18632075471698112"/>
  </r>
  <r>
    <s v="P212"/>
    <x v="1"/>
    <d v="2025-03-03T00:00:00"/>
    <x v="5"/>
    <s v="Check out our latest video on youtube!"/>
    <n v="3874"/>
    <n v="884"/>
    <n v="19"/>
    <n v="38740"/>
    <n v="38552"/>
    <n v="219"/>
    <s v="#TeslaCoInnovation"/>
    <m/>
    <m/>
    <x v="1"/>
    <n v="0.123309241094476"/>
  </r>
  <r>
    <s v="P213"/>
    <x v="3"/>
    <d v="2025-05-01T00:00:00"/>
    <x v="3"/>
    <s v="Check out our latest carousel on facebook!"/>
    <n v="2696"/>
    <n v="628"/>
    <n v="443"/>
    <n v="45832"/>
    <n v="45632"/>
    <n v="248"/>
    <s v="#EVRevolution"/>
    <m/>
    <m/>
    <x v="3"/>
    <n v="8.21914819340199E-2"/>
  </r>
  <r>
    <s v="P214"/>
    <x v="2"/>
    <d v="2024-12-23T00:00:00"/>
    <x v="4"/>
    <s v="Check out our latest image on instagram!"/>
    <n v="521"/>
    <n v="746"/>
    <n v="315"/>
    <n v="4168"/>
    <n v="3399"/>
    <n v="282"/>
    <s v="#FutureOfDriving"/>
    <m/>
    <m/>
    <x v="1"/>
    <n v="0.37955854126679461"/>
  </r>
  <r>
    <s v="P215"/>
    <x v="3"/>
    <d v="2025-05-06T00:00:00"/>
    <x v="4"/>
    <s v="Check out our latest image on facebook!"/>
    <n v="4872"/>
    <n v="925"/>
    <n v="176"/>
    <n v="82824"/>
    <n v="82543"/>
    <n v="89"/>
    <s v="#EVRevolution"/>
    <m/>
    <m/>
    <x v="1"/>
    <n v="7.2116777745580993E-2"/>
  </r>
  <r>
    <s v="P216"/>
    <x v="1"/>
    <d v="2024-07-29T00:00:00"/>
    <x v="2"/>
    <s v="Check out our latest story on youtube!"/>
    <n v="1509"/>
    <n v="88"/>
    <n v="163"/>
    <n v="30180"/>
    <n v="29689"/>
    <n v="119"/>
    <s v="#EVRevolution"/>
    <m/>
    <m/>
    <x v="1"/>
    <n v="5.8316766070245198E-2"/>
  </r>
  <r>
    <s v="P217"/>
    <x v="3"/>
    <d v="2024-12-03T00:00:00"/>
    <x v="4"/>
    <s v="Check out our latest image on facebook!"/>
    <n v="4606"/>
    <n v="931"/>
    <n v="230"/>
    <n v="92120"/>
    <n v="91440"/>
    <n v="56"/>
    <s v="#TeslaCoInnovation"/>
    <m/>
    <m/>
    <x v="1"/>
    <n v="6.2603126356925748E-2"/>
  </r>
  <r>
    <s v="P218"/>
    <x v="3"/>
    <d v="2024-06-11T00:00:00"/>
    <x v="3"/>
    <s v="Check out our latest carousel on facebook!"/>
    <n v="1869"/>
    <n v="453"/>
    <n v="490"/>
    <n v="14952"/>
    <n v="14309"/>
    <n v="275"/>
    <s v="#TeslaCoInnovation"/>
    <m/>
    <m/>
    <x v="3"/>
    <n v="0.18806848582129482"/>
  </r>
  <r>
    <s v="P219"/>
    <x v="0"/>
    <d v="2025-01-28T00:00:00"/>
    <x v="0"/>
    <s v="Check out our latest reel on twitter!"/>
    <n v="1188"/>
    <n v="470"/>
    <n v="174"/>
    <n v="7128"/>
    <n v="6145"/>
    <n v="270"/>
    <s v="#TeslaCoInnovation"/>
    <m/>
    <m/>
    <x v="3"/>
    <n v="0.25701459034792368"/>
  </r>
  <r>
    <s v="P220"/>
    <x v="2"/>
    <d v="2024-06-02T00:00:00"/>
    <x v="2"/>
    <s v="Check out our latest story on instagram!"/>
    <n v="84"/>
    <n v="897"/>
    <n v="85"/>
    <n v="588"/>
    <n v="8"/>
    <n v="12"/>
    <s v="#EVRevolution"/>
    <m/>
    <m/>
    <x v="0"/>
    <n v="1.8129251700680271"/>
  </r>
  <r>
    <s v="P221"/>
    <x v="3"/>
    <d v="2025-03-23T00:00:00"/>
    <x v="5"/>
    <s v="Check out our latest video on facebook!"/>
    <n v="4453"/>
    <n v="111"/>
    <n v="420"/>
    <n v="31171"/>
    <n v="30565"/>
    <n v="23"/>
    <s v="#TeslaCoInnovation"/>
    <m/>
    <m/>
    <x v="1"/>
    <n v="0.15989220750056141"/>
  </r>
  <r>
    <s v="P222"/>
    <x v="3"/>
    <d v="2024-10-08T00:00:00"/>
    <x v="0"/>
    <s v="Check out our latest reel on facebook!"/>
    <n v="1814"/>
    <n v="653"/>
    <n v="363"/>
    <n v="25396"/>
    <n v="25286"/>
    <n v="39"/>
    <s v="#FutureOfDriving"/>
    <s v="#SmoothLikeNitroTesla"/>
    <m/>
    <x v="0"/>
    <n v="0.11143487163332809"/>
  </r>
  <r>
    <s v="P223"/>
    <x v="0"/>
    <d v="2024-11-12T00:00:00"/>
    <x v="4"/>
    <s v="Check out our latest image on twitter!"/>
    <n v="3338"/>
    <n v="277"/>
    <n v="118"/>
    <n v="60084"/>
    <n v="59842"/>
    <n v="252"/>
    <s v="#TeslaCoInnovation"/>
    <m/>
    <m/>
    <x v="1"/>
    <n v="6.2129685107516146E-2"/>
  </r>
  <r>
    <s v="P224"/>
    <x v="3"/>
    <d v="2025-05-13T00:00:00"/>
    <x v="4"/>
    <s v="Check out our latest image on facebook!"/>
    <n v="602"/>
    <n v="594"/>
    <n v="156"/>
    <n v="4214"/>
    <n v="3363"/>
    <n v="164"/>
    <s v="#TeslaCoInnovation"/>
    <m/>
    <m/>
    <x v="2"/>
    <n v="0.32083531086853345"/>
  </r>
  <r>
    <s v="P225"/>
    <x v="0"/>
    <d v="2024-06-20T00:00:00"/>
    <x v="3"/>
    <s v="Check out our latest carousel on twitter!"/>
    <n v="4672"/>
    <n v="325"/>
    <n v="32"/>
    <n v="88768"/>
    <n v="87833"/>
    <n v="118"/>
    <s v="#EVRevolution"/>
    <m/>
    <m/>
    <x v="0"/>
    <n v="5.6653298485940883E-2"/>
  </r>
  <r>
    <s v="P226"/>
    <x v="2"/>
    <d v="2024-08-07T00:00:00"/>
    <x v="3"/>
    <s v="Check out our latest carousel on instagram!"/>
    <n v="1741"/>
    <n v="164"/>
    <n v="318"/>
    <n v="8705"/>
    <n v="8272"/>
    <n v="121"/>
    <s v="#TeslaCoInnovation"/>
    <m/>
    <m/>
    <x v="1"/>
    <n v="0.25537047673750718"/>
  </r>
  <r>
    <s v="P227"/>
    <x v="2"/>
    <d v="2024-06-12T00:00:00"/>
    <x v="1"/>
    <s v="Check out our latest text on instagram!"/>
    <n v="246"/>
    <n v="149"/>
    <n v="130"/>
    <n v="4674"/>
    <n v="4390"/>
    <n v="217"/>
    <s v="#FutureOfDriving"/>
    <m/>
    <m/>
    <x v="2"/>
    <n v="0.11232349165596919"/>
  </r>
  <r>
    <s v="P228"/>
    <x v="2"/>
    <d v="2024-07-01T00:00:00"/>
    <x v="2"/>
    <s v="Check out our latest story on instagram!"/>
    <n v="4808"/>
    <n v="772"/>
    <n v="320"/>
    <n v="72120"/>
    <n v="71696"/>
    <n v="195"/>
    <s v="#EVRevolution"/>
    <m/>
    <m/>
    <x v="0"/>
    <n v="8.1808097615085965E-2"/>
  </r>
  <r>
    <s v="P229"/>
    <x v="2"/>
    <d v="2024-07-03T00:00:00"/>
    <x v="3"/>
    <s v="Check out our latest carousel on instagram!"/>
    <n v="4799"/>
    <n v="694"/>
    <n v="289"/>
    <n v="43191"/>
    <n v="42228"/>
    <n v="118"/>
    <s v="#TeslaCoInnovation"/>
    <m/>
    <m/>
    <x v="1"/>
    <n v="0.13387048227640017"/>
  </r>
  <r>
    <s v="P230"/>
    <x v="3"/>
    <d v="2024-07-15T00:00:00"/>
    <x v="0"/>
    <s v="Check out our latest reel on facebook!"/>
    <n v="3663"/>
    <n v="17"/>
    <n v="295"/>
    <n v="51282"/>
    <n v="50567"/>
    <n v="84"/>
    <s v="#EVRevolution"/>
    <m/>
    <m/>
    <x v="2"/>
    <n v="7.7512577512577507E-2"/>
  </r>
  <r>
    <s v="P231"/>
    <x v="2"/>
    <d v="2025-05-01T00:00:00"/>
    <x v="1"/>
    <s v="Check out our latest text on instagram!"/>
    <n v="1430"/>
    <n v="376"/>
    <n v="33"/>
    <n v="21450"/>
    <n v="20509"/>
    <n v="251"/>
    <s v="#FutureOfDriving"/>
    <m/>
    <m/>
    <x v="0"/>
    <n v="8.5734265734265735E-2"/>
  </r>
  <r>
    <s v="P232"/>
    <x v="0"/>
    <d v="2025-04-29T00:00:00"/>
    <x v="2"/>
    <s v="Check out our latest story on twitter!"/>
    <n v="249"/>
    <n v="592"/>
    <n v="230"/>
    <n v="1494"/>
    <n v="1044"/>
    <n v="201"/>
    <s v="#EVRevolution"/>
    <m/>
    <m/>
    <x v="3"/>
    <n v="0.7168674698795181"/>
  </r>
  <r>
    <s v="P233"/>
    <x v="3"/>
    <d v="2025-03-08T00:00:00"/>
    <x v="4"/>
    <s v="Check out our latest image on facebook!"/>
    <n v="2382"/>
    <n v="265"/>
    <n v="134"/>
    <n v="38112"/>
    <n v="37437"/>
    <n v="249"/>
    <s v="#FutureOfDriving"/>
    <m/>
    <m/>
    <x v="3"/>
    <n v="7.2969143576826198E-2"/>
  </r>
  <r>
    <s v="P234"/>
    <x v="3"/>
    <d v="2024-06-01T00:00:00"/>
    <x v="1"/>
    <s v="Check out our latest text on facebook!"/>
    <n v="1272"/>
    <n v="465"/>
    <n v="99"/>
    <n v="24168"/>
    <n v="23719"/>
    <n v="42"/>
    <s v="#TeslaCoInnovation"/>
    <m/>
    <m/>
    <x v="1"/>
    <n v="7.5968222442899705E-2"/>
  </r>
  <r>
    <s v="P235"/>
    <x v="3"/>
    <d v="2024-12-22T00:00:00"/>
    <x v="4"/>
    <s v="Check out our latest image on facebook!"/>
    <n v="3196"/>
    <n v="941"/>
    <n v="376"/>
    <n v="35156"/>
    <n v="34444"/>
    <n v="241"/>
    <s v="#TeslaCoInnovation"/>
    <m/>
    <m/>
    <x v="2"/>
    <n v="0.1283706906360223"/>
  </r>
  <r>
    <s v="P236"/>
    <x v="3"/>
    <d v="2024-08-19T00:00:00"/>
    <x v="1"/>
    <s v="Check out our latest text on facebook!"/>
    <n v="1257"/>
    <n v="19"/>
    <n v="351"/>
    <n v="12570"/>
    <n v="11660"/>
    <n v="194"/>
    <s v="#FutureOfDriving"/>
    <s v="#AnytimeIsTeslaTime"/>
    <s v="#EVRevolution"/>
    <x v="1"/>
    <n v="0.12943516308671441"/>
  </r>
  <r>
    <s v="P237"/>
    <x v="2"/>
    <d v="2024-10-22T00:00:00"/>
    <x v="2"/>
    <s v="Check out our latest story on instagram!"/>
    <n v="3770"/>
    <n v="917"/>
    <n v="129"/>
    <n v="71630"/>
    <n v="71322"/>
    <n v="76"/>
    <s v="#FutureOfDriving"/>
    <m/>
    <m/>
    <x v="0"/>
    <n v="6.7234398994834563E-2"/>
  </r>
  <r>
    <s v="P238"/>
    <x v="0"/>
    <d v="2024-07-16T00:00:00"/>
    <x v="1"/>
    <s v="Check out our latest text on twitter!"/>
    <n v="4725"/>
    <n v="400"/>
    <n v="362"/>
    <n v="75600"/>
    <n v="74927"/>
    <n v="43"/>
    <s v="#FutureOfDriving"/>
    <m/>
    <m/>
    <x v="3"/>
    <n v="7.2579365079365077E-2"/>
  </r>
  <r>
    <s v="P239"/>
    <x v="1"/>
    <d v="2025-02-24T00:00:00"/>
    <x v="1"/>
    <s v="Check out our latest text on youtube!"/>
    <n v="4188"/>
    <n v="942"/>
    <n v="118"/>
    <n v="20940"/>
    <n v="20471"/>
    <n v="102"/>
    <s v="#FutureOfDriving"/>
    <m/>
    <m/>
    <x v="3"/>
    <n v="0.25062082139446035"/>
  </r>
  <r>
    <s v="P240"/>
    <x v="0"/>
    <d v="2024-08-26T00:00:00"/>
    <x v="3"/>
    <s v="Check out our latest carousel on twitter!"/>
    <n v="929"/>
    <n v="192"/>
    <n v="322"/>
    <n v="16722"/>
    <n v="15996"/>
    <n v="145"/>
    <s v="#EVRevolution"/>
    <s v="#TeslaCoInnovation"/>
    <s v="#AnytimeIsTeslaTime"/>
    <x v="2"/>
    <n v="8.6293505561535699E-2"/>
  </r>
  <r>
    <s v="P241"/>
    <x v="3"/>
    <d v="2025-01-18T00:00:00"/>
    <x v="2"/>
    <s v="Check out our latest story on facebook!"/>
    <n v="4321"/>
    <n v="874"/>
    <n v="172"/>
    <n v="30247"/>
    <n v="29254"/>
    <n v="122"/>
    <s v="#TeslaCoInnovation"/>
    <m/>
    <m/>
    <x v="3"/>
    <n v="0.17743908486792079"/>
  </r>
  <r>
    <s v="P242"/>
    <x v="3"/>
    <d v="2024-07-07T00:00:00"/>
    <x v="0"/>
    <s v="Check out our latest reel on facebook!"/>
    <n v="4767"/>
    <n v="190"/>
    <n v="340"/>
    <n v="28602"/>
    <n v="28044"/>
    <n v="210"/>
    <s v="#EVRevolution"/>
    <m/>
    <m/>
    <x v="2"/>
    <n v="0.18519683938186141"/>
  </r>
  <r>
    <s v="P243"/>
    <x v="0"/>
    <d v="2025-03-06T00:00:00"/>
    <x v="4"/>
    <s v="Check out our latest image on twitter!"/>
    <n v="3592"/>
    <n v="911"/>
    <n v="375"/>
    <n v="50288"/>
    <n v="49490"/>
    <n v="32"/>
    <s v="#FutureOfDriving"/>
    <m/>
    <m/>
    <x v="3"/>
    <n v="9.7001272669424113E-2"/>
  </r>
  <r>
    <s v="P244"/>
    <x v="1"/>
    <d v="2024-10-25T00:00:00"/>
    <x v="5"/>
    <s v="Check out our latest video on youtube!"/>
    <n v="4661"/>
    <n v="935"/>
    <n v="433"/>
    <n v="23305"/>
    <n v="22583"/>
    <n v="63"/>
    <s v="#FutureOfDriving"/>
    <m/>
    <m/>
    <x v="2"/>
    <n v="0.25869984981763572"/>
  </r>
  <r>
    <s v="P245"/>
    <x v="3"/>
    <d v="2025-01-12T00:00:00"/>
    <x v="0"/>
    <s v="Check out our latest reel on facebook!"/>
    <n v="4134"/>
    <n v="824"/>
    <n v="99"/>
    <n v="41340"/>
    <n v="41050"/>
    <n v="177"/>
    <s v="#EVRevolution"/>
    <m/>
    <m/>
    <x v="0"/>
    <n v="0.12232704402515723"/>
  </r>
  <r>
    <s v="P246"/>
    <x v="3"/>
    <d v="2024-10-11T00:00:00"/>
    <x v="4"/>
    <s v="Check out our latest image on facebook!"/>
    <n v="400"/>
    <n v="680"/>
    <n v="434"/>
    <n v="6400"/>
    <n v="5472"/>
    <n v="160"/>
    <s v="#FutureOfDriving"/>
    <m/>
    <m/>
    <x v="1"/>
    <n v="0.23656250000000001"/>
  </r>
  <r>
    <s v="P247"/>
    <x v="3"/>
    <d v="2024-08-27T00:00:00"/>
    <x v="0"/>
    <s v="Check out our latest reel on facebook!"/>
    <n v="3960"/>
    <n v="266"/>
    <n v="8"/>
    <n v="35640"/>
    <n v="34850"/>
    <n v="208"/>
    <s v="#FutureOfDriving"/>
    <s v="#EVRevolution"/>
    <s v="#BetterWithTesla"/>
    <x v="0"/>
    <n v="0.11879910213243547"/>
  </r>
  <r>
    <s v="P248"/>
    <x v="3"/>
    <d v="2025-02-02T00:00:00"/>
    <x v="2"/>
    <s v="Check out our latest story on facebook!"/>
    <n v="886"/>
    <n v="126"/>
    <n v="153"/>
    <n v="4430"/>
    <n v="4037"/>
    <n v="212"/>
    <s v="#EVRevolution"/>
    <m/>
    <m/>
    <x v="0"/>
    <n v="0.26297968397291194"/>
  </r>
  <r>
    <s v="P249"/>
    <x v="0"/>
    <d v="2024-07-18T00:00:00"/>
    <x v="4"/>
    <s v="Check out our latest image on twitter!"/>
    <n v="827"/>
    <n v="77"/>
    <n v="402"/>
    <n v="14886"/>
    <n v="14129"/>
    <n v="254"/>
    <s v="#EVRevolution"/>
    <m/>
    <m/>
    <x v="1"/>
    <n v="8.7733440816874911E-2"/>
  </r>
  <r>
    <s v="P250"/>
    <x v="3"/>
    <d v="2024-06-22T00:00:00"/>
    <x v="0"/>
    <s v="Check out our latest reel on facebook!"/>
    <n v="3813"/>
    <n v="935"/>
    <n v="274"/>
    <n v="68634"/>
    <n v="68488"/>
    <n v="251"/>
    <s v="#FutureOfDriving"/>
    <m/>
    <m/>
    <x v="3"/>
    <n v="7.3170731707317069E-2"/>
  </r>
  <r>
    <s v="P251"/>
    <x v="2"/>
    <d v="2025-03-27T00:00:00"/>
    <x v="3"/>
    <s v="Check out our latest carousel on instagram!"/>
    <n v="1377"/>
    <n v="796"/>
    <n v="387"/>
    <n v="22032"/>
    <n v="21869"/>
    <n v="189"/>
    <s v="#FutureOfDriving"/>
    <m/>
    <m/>
    <x v="3"/>
    <n v="0.11619462599854757"/>
  </r>
  <r>
    <s v="P252"/>
    <x v="3"/>
    <d v="2025-04-28T00:00:00"/>
    <x v="3"/>
    <s v="Check out our latest carousel on facebook!"/>
    <n v="2089"/>
    <n v="476"/>
    <n v="69"/>
    <n v="16712"/>
    <n v="16309"/>
    <n v="64"/>
    <s v="#FutureOfDriving"/>
    <m/>
    <m/>
    <x v="2"/>
    <n v="0.15761129727142173"/>
  </r>
  <r>
    <s v="P253"/>
    <x v="0"/>
    <d v="2024-08-03T00:00:00"/>
    <x v="0"/>
    <s v="Check out our latest reel on twitter!"/>
    <n v="3791"/>
    <n v="593"/>
    <n v="228"/>
    <n v="53074"/>
    <n v="52613"/>
    <n v="205"/>
    <s v="#EVRevolution"/>
    <m/>
    <m/>
    <x v="0"/>
    <n v="8.6897539284772202E-2"/>
  </r>
  <r>
    <s v="P254"/>
    <x v="0"/>
    <d v="2025-01-14T00:00:00"/>
    <x v="4"/>
    <s v="Check out our latest image on twitter!"/>
    <n v="2692"/>
    <n v="115"/>
    <n v="64"/>
    <n v="21536"/>
    <n v="21120"/>
    <n v="224"/>
    <s v="#FutureOfDriving"/>
    <m/>
    <m/>
    <x v="1"/>
    <n v="0.13331166419019316"/>
  </r>
  <r>
    <s v="P255"/>
    <x v="3"/>
    <d v="2025-04-03T00:00:00"/>
    <x v="2"/>
    <s v="Check out our latest story on facebook!"/>
    <n v="3767"/>
    <n v="514"/>
    <n v="238"/>
    <n v="37670"/>
    <n v="36807"/>
    <n v="226"/>
    <s v="#FutureOfDriving"/>
    <m/>
    <m/>
    <x v="3"/>
    <n v="0.11996283514733209"/>
  </r>
  <r>
    <s v="P256"/>
    <x v="1"/>
    <d v="2024-09-18T00:00:00"/>
    <x v="3"/>
    <s v="Check out our latest carousel on youtube!"/>
    <n v="2143"/>
    <n v="12"/>
    <n v="204"/>
    <n v="40717"/>
    <n v="40125"/>
    <n v="248"/>
    <s v="#EVRevolution"/>
    <m/>
    <m/>
    <x v="1"/>
    <n v="5.7936488444630008E-2"/>
  </r>
  <r>
    <s v="P257"/>
    <x v="3"/>
    <d v="2025-04-06T00:00:00"/>
    <x v="4"/>
    <s v="Check out our latest image on facebook!"/>
    <n v="3090"/>
    <n v="697"/>
    <n v="164"/>
    <n v="49440"/>
    <n v="48524"/>
    <n v="25"/>
    <s v="#EVRevolution"/>
    <s v="#EVRevolution"/>
    <s v="#BetterWithTesla"/>
    <x v="1"/>
    <n v="7.9915048543689318E-2"/>
  </r>
  <r>
    <s v="P258"/>
    <x v="2"/>
    <d v="2024-08-05T00:00:00"/>
    <x v="2"/>
    <s v="Check out our latest story on instagram!"/>
    <n v="3601"/>
    <n v="695"/>
    <n v="75"/>
    <n v="21606"/>
    <n v="21454"/>
    <n v="172"/>
    <s v="#EVRevolution"/>
    <m/>
    <m/>
    <x v="1"/>
    <n v="0.2023049153013052"/>
  </r>
  <r>
    <s v="P259"/>
    <x v="3"/>
    <d v="2025-02-10T00:00:00"/>
    <x v="1"/>
    <s v="Check out our latest text on facebook!"/>
    <n v="562"/>
    <n v="158"/>
    <n v="149"/>
    <n v="3372"/>
    <n v="2940"/>
    <n v="93"/>
    <s v="#TeslaCoInnovation"/>
    <m/>
    <m/>
    <x v="0"/>
    <n v="0.25771055753262156"/>
  </r>
  <r>
    <s v="P260"/>
    <x v="2"/>
    <d v="2025-02-12T00:00:00"/>
    <x v="2"/>
    <s v="Check out our latest story on instagram!"/>
    <n v="4332"/>
    <n v="771"/>
    <n v="219"/>
    <n v="60648"/>
    <n v="60397"/>
    <n v="10"/>
    <s v="#TeslaCoInnovation"/>
    <s v="#EVRevolution"/>
    <s v="#BetterWithTesla"/>
    <x v="2"/>
    <n v="8.7752275425405618E-2"/>
  </r>
  <r>
    <s v="P261"/>
    <x v="2"/>
    <d v="2024-10-27T00:00:00"/>
    <x v="4"/>
    <s v="Check out our latest image on instagram!"/>
    <n v="4853"/>
    <n v="837"/>
    <n v="340"/>
    <n v="72795"/>
    <n v="72237"/>
    <n v="170"/>
    <s v="#EVRevolution"/>
    <m/>
    <m/>
    <x v="0"/>
    <n v="8.2835359571399134E-2"/>
  </r>
  <r>
    <s v="P262"/>
    <x v="1"/>
    <d v="2025-01-18T00:00:00"/>
    <x v="4"/>
    <s v="Check out our latest image on youtube!"/>
    <n v="1206"/>
    <n v="238"/>
    <n v="36"/>
    <n v="9648"/>
    <n v="9417"/>
    <n v="237"/>
    <s v="#TeslaCoInnovation"/>
    <m/>
    <m/>
    <x v="1"/>
    <n v="0.15339966832504145"/>
  </r>
  <r>
    <s v="P263"/>
    <x v="2"/>
    <d v="2024-08-20T00:00:00"/>
    <x v="0"/>
    <s v="Check out our latest reel on instagram!"/>
    <n v="2603"/>
    <n v="690"/>
    <n v="205"/>
    <n v="13015"/>
    <n v="12130"/>
    <n v="20"/>
    <s v="#FutureOfDriving"/>
    <m/>
    <m/>
    <x v="1"/>
    <n v="0.26876680752977333"/>
  </r>
  <r>
    <s v="P264"/>
    <x v="0"/>
    <d v="2025-01-30T00:00:00"/>
    <x v="4"/>
    <s v="Check out our latest image on twitter!"/>
    <n v="59"/>
    <n v="163"/>
    <n v="93"/>
    <n v="590"/>
    <n v="475"/>
    <n v="293"/>
    <s v="#TeslaCoInnovation"/>
    <m/>
    <m/>
    <x v="1"/>
    <n v="0.53389830508474578"/>
  </r>
  <r>
    <s v="P265"/>
    <x v="0"/>
    <d v="2025-02-20T00:00:00"/>
    <x v="3"/>
    <s v="Check out our latest carousel on twitter!"/>
    <n v="1877"/>
    <n v="745"/>
    <n v="225"/>
    <n v="11262"/>
    <n v="10967"/>
    <n v="41"/>
    <s v="#EVRevolution"/>
    <m/>
    <m/>
    <x v="3"/>
    <n v="0.25279701651571657"/>
  </r>
  <r>
    <s v="P266"/>
    <x v="3"/>
    <d v="2024-11-25T00:00:00"/>
    <x v="2"/>
    <s v="Check out our latest story on facebook!"/>
    <n v="4182"/>
    <n v="640"/>
    <n v="240"/>
    <n v="50184"/>
    <n v="49351"/>
    <n v="10"/>
    <s v="#TeslaCoInnovation"/>
    <m/>
    <m/>
    <x v="2"/>
    <n v="0.10086880280567512"/>
  </r>
  <r>
    <s v="P267"/>
    <x v="0"/>
    <d v="2024-10-04T00:00:00"/>
    <x v="0"/>
    <s v="Check out our latest reel on twitter!"/>
    <n v="4187"/>
    <n v="66"/>
    <n v="31"/>
    <n v="66992"/>
    <n v="66614"/>
    <n v="62"/>
    <s v="#FutureOfDriving"/>
    <m/>
    <m/>
    <x v="3"/>
    <n v="6.3947934081681396E-2"/>
  </r>
  <r>
    <s v="P268"/>
    <x v="2"/>
    <d v="2025-04-13T00:00:00"/>
    <x v="0"/>
    <s v="Check out our latest reel on instagram!"/>
    <n v="4579"/>
    <n v="125"/>
    <n v="300"/>
    <n v="59527"/>
    <n v="59400"/>
    <n v="269"/>
    <s v="#EVRevolution"/>
    <m/>
    <m/>
    <x v="0"/>
    <n v="8.4062694239588759E-2"/>
  </r>
  <r>
    <s v="P269"/>
    <x v="2"/>
    <d v="2024-11-05T00:00:00"/>
    <x v="5"/>
    <s v="Check out our latest video on instagram!"/>
    <n v="4561"/>
    <n v="51"/>
    <n v="441"/>
    <n v="22805"/>
    <n v="21890"/>
    <n v="45"/>
    <s v="#TeslaCoInnovation"/>
    <m/>
    <m/>
    <x v="1"/>
    <n v="0.22157421618066214"/>
  </r>
  <r>
    <s v="P270"/>
    <x v="1"/>
    <d v="2025-01-15T00:00:00"/>
    <x v="0"/>
    <s v="Check out our latest reel on youtube!"/>
    <n v="3774"/>
    <n v="239"/>
    <n v="39"/>
    <n v="60384"/>
    <n v="59490"/>
    <n v="241"/>
    <s v="#TeslaCoInnovation"/>
    <m/>
    <m/>
    <x v="2"/>
    <n v="6.7103868574456813E-2"/>
  </r>
  <r>
    <s v="P271"/>
    <x v="2"/>
    <d v="2024-10-17T00:00:00"/>
    <x v="5"/>
    <s v="Check out our latest video on instagram!"/>
    <n v="3575"/>
    <n v="749"/>
    <n v="111"/>
    <n v="21450"/>
    <n v="20785"/>
    <n v="195"/>
    <s v="#EVRevolution"/>
    <m/>
    <m/>
    <x v="1"/>
    <n v="0.20675990675990677"/>
  </r>
  <r>
    <s v="P272"/>
    <x v="2"/>
    <d v="2025-03-27T00:00:00"/>
    <x v="1"/>
    <s v="Check out our latest text on instagram!"/>
    <n v="4941"/>
    <n v="414"/>
    <n v="266"/>
    <n v="39528"/>
    <n v="39154"/>
    <n v="217"/>
    <s v="#TeslaCoInnovation"/>
    <m/>
    <m/>
    <x v="2"/>
    <n v="0.14220299534507186"/>
  </r>
  <r>
    <s v="P273"/>
    <x v="1"/>
    <d v="2024-10-12T00:00:00"/>
    <x v="2"/>
    <s v="Check out our latest story on youtube!"/>
    <n v="3641"/>
    <n v="226"/>
    <n v="46"/>
    <n v="40051"/>
    <n v="39319"/>
    <n v="296"/>
    <s v="#EVRevolution"/>
    <m/>
    <m/>
    <x v="3"/>
    <n v="9.7700431949264685E-2"/>
  </r>
  <r>
    <s v="P274"/>
    <x v="0"/>
    <d v="2025-01-01T00:00:00"/>
    <x v="3"/>
    <s v="Check out our latest carousel on twitter!"/>
    <n v="3535"/>
    <n v="494"/>
    <n v="152"/>
    <n v="53025"/>
    <n v="52791"/>
    <n v="44"/>
    <s v="#TeslaCoInnovation"/>
    <m/>
    <m/>
    <x v="3"/>
    <n v="7.8849599245638849E-2"/>
  </r>
  <r>
    <s v="P275"/>
    <x v="3"/>
    <d v="2024-08-05T00:00:00"/>
    <x v="0"/>
    <s v="Check out our latest reel on facebook!"/>
    <n v="1741"/>
    <n v="831"/>
    <n v="345"/>
    <n v="17410"/>
    <n v="16844"/>
    <n v="58"/>
    <s v="#EVRevolution"/>
    <m/>
    <m/>
    <x v="2"/>
    <n v="0.16754738655944859"/>
  </r>
  <r>
    <s v="P276"/>
    <x v="0"/>
    <d v="2024-06-07T00:00:00"/>
    <x v="3"/>
    <s v="Check out our latest carousel on twitter!"/>
    <n v="1556"/>
    <n v="195"/>
    <n v="131"/>
    <n v="9336"/>
    <n v="8875"/>
    <n v="137"/>
    <s v="#TeslaCoInnovation"/>
    <m/>
    <m/>
    <x v="1"/>
    <n v="0.2015852613538989"/>
  </r>
  <r>
    <s v="P277"/>
    <x v="3"/>
    <d v="2025-04-06T00:00:00"/>
    <x v="4"/>
    <s v="Check out our latest image on facebook!"/>
    <n v="4236"/>
    <n v="711"/>
    <n v="298"/>
    <n v="21180"/>
    <n v="20516"/>
    <n v="238"/>
    <s v="#FutureOfDriving"/>
    <m/>
    <m/>
    <x v="0"/>
    <n v="0.24763928234183191"/>
  </r>
  <r>
    <s v="P278"/>
    <x v="0"/>
    <d v="2024-11-26T00:00:00"/>
    <x v="1"/>
    <s v="Check out our latest text on twitter!"/>
    <n v="4516"/>
    <n v="836"/>
    <n v="169"/>
    <n v="49676"/>
    <n v="49257"/>
    <n v="282"/>
    <s v="#EVRevolution"/>
    <m/>
    <m/>
    <x v="3"/>
    <n v="0.11114018842096787"/>
  </r>
  <r>
    <s v="P279"/>
    <x v="1"/>
    <d v="2024-09-02T00:00:00"/>
    <x v="4"/>
    <s v="Check out our latest image on youtube!"/>
    <n v="4905"/>
    <n v="845"/>
    <n v="129"/>
    <n v="98100"/>
    <n v="97772"/>
    <n v="279"/>
    <s v="#TeslaCoInnovation"/>
    <m/>
    <m/>
    <x v="1"/>
    <n v="5.9928644240570844E-2"/>
  </r>
  <r>
    <s v="P280"/>
    <x v="1"/>
    <d v="2024-10-21T00:00:00"/>
    <x v="5"/>
    <s v="Check out our latest video on youtube!"/>
    <n v="4275"/>
    <n v="680"/>
    <n v="385"/>
    <n v="64125"/>
    <n v="63650"/>
    <n v="104"/>
    <s v="#EVRevolution"/>
    <s v="#TeslaCoInnovation"/>
    <s v="#AnytimeIsTeslaTime"/>
    <x v="3"/>
    <n v="8.3274853801169585E-2"/>
  </r>
  <r>
    <s v="P281"/>
    <x v="1"/>
    <d v="2025-03-22T00:00:00"/>
    <x v="4"/>
    <s v="Check out our latest image on youtube!"/>
    <n v="3166"/>
    <n v="90"/>
    <n v="341"/>
    <n v="56988"/>
    <n v="56125"/>
    <n v="135"/>
    <s v="#EVRevolution"/>
    <m/>
    <m/>
    <x v="1"/>
    <n v="6.3118551273952411E-2"/>
  </r>
  <r>
    <s v="P282"/>
    <x v="2"/>
    <d v="2024-10-03T00:00:00"/>
    <x v="5"/>
    <s v="Check out our latest video on instagram!"/>
    <n v="1488"/>
    <n v="417"/>
    <n v="168"/>
    <n v="19344"/>
    <n v="18395"/>
    <n v="30"/>
    <s v="#FutureOfDriving"/>
    <m/>
    <m/>
    <x v="2"/>
    <n v="0.1071650124069479"/>
  </r>
  <r>
    <s v="P283"/>
    <x v="0"/>
    <d v="2025-05-09T00:00:00"/>
    <x v="0"/>
    <s v="Check out our latest reel on twitter!"/>
    <n v="3367"/>
    <n v="302"/>
    <n v="57"/>
    <n v="63973"/>
    <n v="63789"/>
    <n v="157"/>
    <s v="#FutureOfDriving"/>
    <m/>
    <m/>
    <x v="1"/>
    <n v="5.8243321401216137E-2"/>
  </r>
  <r>
    <s v="P284"/>
    <x v="0"/>
    <d v="2024-09-17T00:00:00"/>
    <x v="1"/>
    <s v="Check out our latest text on twitter!"/>
    <n v="571"/>
    <n v="190"/>
    <n v="352"/>
    <n v="9707"/>
    <n v="9418"/>
    <n v="231"/>
    <s v="#TeslaCoInnovation"/>
    <m/>
    <m/>
    <x v="3"/>
    <n v="0.11465952405480581"/>
  </r>
  <r>
    <s v="P285"/>
    <x v="1"/>
    <d v="2024-07-18T00:00:00"/>
    <x v="1"/>
    <s v="Check out our latest text on youtube!"/>
    <n v="4021"/>
    <n v="794"/>
    <n v="77"/>
    <n v="36189"/>
    <n v="35505"/>
    <n v="174"/>
    <s v="#EVRevolution"/>
    <m/>
    <m/>
    <x v="0"/>
    <n v="0.13517919809886983"/>
  </r>
  <r>
    <s v="P286"/>
    <x v="1"/>
    <d v="2024-09-25T00:00:00"/>
    <x v="5"/>
    <s v="Check out our latest video on youtube!"/>
    <n v="3389"/>
    <n v="344"/>
    <n v="229"/>
    <n v="20334"/>
    <n v="19443"/>
    <n v="228"/>
    <s v="#FutureOfDriving"/>
    <m/>
    <m/>
    <x v="2"/>
    <n v="0.19484607062063539"/>
  </r>
  <r>
    <s v="P287"/>
    <x v="2"/>
    <d v="2024-08-15T00:00:00"/>
    <x v="0"/>
    <s v="Check out our latest reel on instagram!"/>
    <n v="1164"/>
    <n v="616"/>
    <n v="324"/>
    <n v="6984"/>
    <n v="6636"/>
    <n v="82"/>
    <s v="#EVRevolution"/>
    <m/>
    <m/>
    <x v="0"/>
    <n v="0.30126002290950743"/>
  </r>
  <r>
    <s v="P288"/>
    <x v="1"/>
    <d v="2025-04-17T00:00:00"/>
    <x v="3"/>
    <s v="Check out our latest carousel on youtube!"/>
    <n v="4780"/>
    <n v="691"/>
    <n v="380"/>
    <n v="86040"/>
    <n v="85743"/>
    <n v="262"/>
    <s v="#FutureOfDriving"/>
    <m/>
    <m/>
    <x v="2"/>
    <n v="6.800325430032543E-2"/>
  </r>
  <r>
    <s v="P289"/>
    <x v="3"/>
    <d v="2024-11-28T00:00:00"/>
    <x v="3"/>
    <s v="Check out our latest carousel on facebook!"/>
    <n v="2751"/>
    <n v="33"/>
    <n v="430"/>
    <n v="44016"/>
    <n v="43415"/>
    <n v="129"/>
    <s v="#FutureOfDriving"/>
    <m/>
    <m/>
    <x v="3"/>
    <n v="7.3018902217375503E-2"/>
  </r>
  <r>
    <s v="P290"/>
    <x v="2"/>
    <d v="2024-12-20T00:00:00"/>
    <x v="3"/>
    <s v="Check out our latest carousel on instagram!"/>
    <n v="2107"/>
    <n v="550"/>
    <n v="349"/>
    <n v="35819"/>
    <n v="35340"/>
    <n v="191"/>
    <s v="#EVRevolution"/>
    <m/>
    <m/>
    <x v="3"/>
    <n v="8.3921940869371006E-2"/>
  </r>
  <r>
    <s v="P291"/>
    <x v="3"/>
    <d v="2024-11-06T00:00:00"/>
    <x v="5"/>
    <s v="Check out our latest video on facebook!"/>
    <n v="4663"/>
    <n v="145"/>
    <n v="225"/>
    <n v="69945"/>
    <n v="69596"/>
    <n v="35"/>
    <s v="#EVRevolution"/>
    <m/>
    <m/>
    <x v="3"/>
    <n v="7.1956537279290869E-2"/>
  </r>
  <r>
    <s v="P292"/>
    <x v="3"/>
    <d v="2024-11-17T00:00:00"/>
    <x v="1"/>
    <s v="Check out our latest text on facebook!"/>
    <n v="880"/>
    <n v="297"/>
    <n v="345"/>
    <n v="12320"/>
    <n v="11978"/>
    <n v="238"/>
    <s v="#TeslaCoInnovation"/>
    <s v="#AnytimeIsTeslaTime"/>
    <m/>
    <x v="1"/>
    <n v="0.12353896103896105"/>
  </r>
  <r>
    <s v="P293"/>
    <x v="3"/>
    <d v="2025-05-14T00:00:00"/>
    <x v="1"/>
    <s v="Check out our latest text on facebook!"/>
    <n v="2634"/>
    <n v="726"/>
    <n v="241"/>
    <n v="28974"/>
    <n v="28102"/>
    <n v="277"/>
    <s v="#EVRevolution"/>
    <m/>
    <m/>
    <x v="0"/>
    <n v="0.12428384068475185"/>
  </r>
  <r>
    <s v="P294"/>
    <x v="3"/>
    <d v="2024-06-19T00:00:00"/>
    <x v="3"/>
    <s v="Check out our latest carousel on facebook!"/>
    <n v="4731"/>
    <n v="173"/>
    <n v="276"/>
    <n v="28386"/>
    <n v="28185"/>
    <n v="89"/>
    <s v="#EVRevolution"/>
    <m/>
    <m/>
    <x v="2"/>
    <n v="0.18248432325794406"/>
  </r>
  <r>
    <s v="P295"/>
    <x v="0"/>
    <d v="2025-05-06T00:00:00"/>
    <x v="4"/>
    <s v="Check out our latest image on twitter!"/>
    <n v="1952"/>
    <n v="344"/>
    <n v="287"/>
    <n v="15616"/>
    <n v="15403"/>
    <n v="235"/>
    <s v="#FutureOfDriving"/>
    <s v="#TeslaCoInnovation"/>
    <s v="#AnytimeIsTeslaTime"/>
    <x v="1"/>
    <n v="0.16540727459016394"/>
  </r>
  <r>
    <s v="P296"/>
    <x v="0"/>
    <d v="2025-02-11T00:00:00"/>
    <x v="5"/>
    <s v="Check out our latest video on twitter!"/>
    <n v="3440"/>
    <n v="13"/>
    <n v="20"/>
    <n v="58480"/>
    <n v="58146"/>
    <n v="210"/>
    <s v="#TeslaCoInnovation"/>
    <s v="#SmoothLikeNitroTesla"/>
    <m/>
    <x v="3"/>
    <n v="5.9387824897400819E-2"/>
  </r>
  <r>
    <s v="P297"/>
    <x v="0"/>
    <d v="2024-12-24T00:00:00"/>
    <x v="1"/>
    <s v="Check out our latest text on twitter!"/>
    <n v="2166"/>
    <n v="354"/>
    <n v="117"/>
    <n v="10830"/>
    <n v="10245"/>
    <n v="24"/>
    <s v="#EVRevolution"/>
    <m/>
    <m/>
    <x v="3"/>
    <n v="0.24349030470914126"/>
  </r>
  <r>
    <s v="P298"/>
    <x v="3"/>
    <d v="2024-10-24T00:00:00"/>
    <x v="4"/>
    <s v="Check out our latest image on facebook!"/>
    <n v="4303"/>
    <n v="451"/>
    <n v="286"/>
    <n v="86060"/>
    <n v="85823"/>
    <n v="14"/>
    <s v="#TeslaCoInnovation"/>
    <m/>
    <m/>
    <x v="2"/>
    <n v="5.8563792702765516E-2"/>
  </r>
  <r>
    <s v="P299"/>
    <x v="3"/>
    <d v="2024-08-26T00:00:00"/>
    <x v="4"/>
    <s v="Check out our latest image on facebook!"/>
    <n v="2581"/>
    <n v="517"/>
    <n v="117"/>
    <n v="23229"/>
    <n v="22331"/>
    <n v="70"/>
    <s v="#FutureOfDriving"/>
    <m/>
    <m/>
    <x v="2"/>
    <n v="0.13840458048129492"/>
  </r>
  <r>
    <s v="P300"/>
    <x v="0"/>
    <d v="2024-08-31T00:00:00"/>
    <x v="3"/>
    <s v="Check out our latest carousel on twitter!"/>
    <n v="4494"/>
    <n v="717"/>
    <n v="45"/>
    <n v="62916"/>
    <n v="62688"/>
    <n v="191"/>
    <s v="#TeslaCoInnovation"/>
    <s v="#EVRevolution"/>
    <s v="#BetterWithTesla"/>
    <x v="0"/>
    <n v="8.3539958039290485E-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x v="0"/>
    <n v="45649"/>
    <x v="0"/>
    <s v="Check out our latest reel on twitter!"/>
    <n v="1461"/>
    <n v="184"/>
    <n v="344"/>
    <n v="21915"/>
    <n v="21675"/>
    <n v="15"/>
    <s v="CybertruckLaunch"/>
    <n v="9.0759753593429152E-2"/>
    <x v="0"/>
  </r>
  <r>
    <s v="P001"/>
    <x v="0"/>
    <n v="45649"/>
    <x v="0"/>
    <s v="Check out our latest reel on twitter!"/>
    <n v="1461"/>
    <n v="184"/>
    <n v="344"/>
    <n v="21915"/>
    <n v="21675"/>
    <n v="15"/>
    <s v="CybertruckLaunch"/>
    <n v="9.0759753593429152E-2"/>
    <x v="1"/>
  </r>
  <r>
    <s v="P002"/>
    <x v="0"/>
    <n v="45750"/>
    <x v="1"/>
    <s v="Check out our latest text on twitter!"/>
    <n v="4054"/>
    <n v="389"/>
    <n v="493"/>
    <n v="64864"/>
    <n v="64383"/>
    <n v="117"/>
    <s v="ModelYCampaign"/>
    <n v="7.6097681302417369E-2"/>
    <x v="2"/>
  </r>
  <r>
    <s v="P002"/>
    <x v="0"/>
    <n v="45750"/>
    <x v="1"/>
    <s v="Check out our latest text on twitter!"/>
    <n v="4054"/>
    <n v="389"/>
    <n v="493"/>
    <n v="64864"/>
    <n v="64383"/>
    <n v="117"/>
    <s v="ModelYCampaign"/>
    <n v="7.6097681302417369E-2"/>
    <x v="3"/>
  </r>
  <r>
    <s v="P003"/>
    <x v="1"/>
    <n v="45789"/>
    <x v="0"/>
    <s v="Check out our latest reel on youtube!"/>
    <n v="2795"/>
    <n v="105"/>
    <n v="49"/>
    <n v="53105"/>
    <n v="52307"/>
    <n v="204"/>
    <s v="FSDUpdate"/>
    <n v="5.5531494209584788E-2"/>
    <x v="2"/>
  </r>
  <r>
    <s v="P004"/>
    <x v="2"/>
    <n v="45516"/>
    <x v="2"/>
    <s v="Check out our latest story on instagram!"/>
    <n v="2404"/>
    <n v="363"/>
    <n v="138"/>
    <n v="19232"/>
    <n v="18636"/>
    <n v="128"/>
    <s v="SustainabilityDrive"/>
    <n v="0.15105033277870217"/>
    <x v="4"/>
  </r>
  <r>
    <s v="P005"/>
    <x v="1"/>
    <n v="45469"/>
    <x v="0"/>
    <s v="Check out our latest reel on youtube!"/>
    <n v="3557"/>
    <n v="687"/>
    <n v="424"/>
    <n v="71140"/>
    <n v="70701"/>
    <n v="224"/>
    <s v="CybertruckLaunch"/>
    <n v="6.5617093055946027E-2"/>
    <x v="4"/>
  </r>
  <r>
    <s v="P005"/>
    <x v="1"/>
    <n v="45469"/>
    <x v="0"/>
    <s v="Check out our latest reel on youtube!"/>
    <n v="3557"/>
    <n v="687"/>
    <n v="424"/>
    <n v="71140"/>
    <n v="70701"/>
    <n v="224"/>
    <s v="CybertruckLaunch"/>
    <n v="6.5617093055946027E-2"/>
    <x v="2"/>
  </r>
  <r>
    <s v="P006"/>
    <x v="3"/>
    <n v="45596"/>
    <x v="3"/>
    <s v="Check out our latest carousel on facebook!"/>
    <n v="2945"/>
    <n v="930"/>
    <n v="355"/>
    <n v="23560"/>
    <n v="23275"/>
    <n v="256"/>
    <s v="ModelYCampaign"/>
    <n v="0.17954159592529711"/>
    <x v="2"/>
  </r>
  <r>
    <s v="P007"/>
    <x v="0"/>
    <n v="45467"/>
    <x v="3"/>
    <s v="Check out our latest carousel on twitter!"/>
    <n v="3860"/>
    <n v="201"/>
    <n v="279"/>
    <n v="61760"/>
    <n v="61660"/>
    <n v="235"/>
    <s v="ModelYCampaign"/>
    <n v="7.0272020725388601E-2"/>
    <x v="2"/>
  </r>
  <r>
    <s v="P008"/>
    <x v="1"/>
    <n v="45486"/>
    <x v="4"/>
    <s v="Check out our latest image on youtube!"/>
    <n v="3929"/>
    <n v="262"/>
    <n v="278"/>
    <n v="43219"/>
    <n v="42841"/>
    <n v="39"/>
    <s v="SustainabilityDrive"/>
    <n v="0.10340359564080613"/>
    <x v="4"/>
  </r>
  <r>
    <s v="P009"/>
    <x v="3"/>
    <n v="45534"/>
    <x v="1"/>
    <s v="Check out our latest text on facebook!"/>
    <n v="3784"/>
    <n v="808"/>
    <n v="404"/>
    <n v="56760"/>
    <n v="56343"/>
    <n v="131"/>
    <s v="ModelYCampaign"/>
    <n v="8.8019732205778717E-2"/>
    <x v="2"/>
  </r>
  <r>
    <s v="P010"/>
    <x v="3"/>
    <n v="45727"/>
    <x v="4"/>
    <s v="Check out our latest image on facebook!"/>
    <n v="4241"/>
    <n v="902"/>
    <n v="47"/>
    <n v="72097"/>
    <n v="71598"/>
    <n v="167"/>
    <s v="ModelYCampaign"/>
    <n v="7.198635172059864E-2"/>
    <x v="2"/>
  </r>
  <r>
    <s v="P011"/>
    <x v="2"/>
    <n v="45690"/>
    <x v="2"/>
    <s v="Check out our latest story on instagram!"/>
    <n v="1792"/>
    <n v="614"/>
    <n v="497"/>
    <n v="25088"/>
    <n v="24675"/>
    <n v="65"/>
    <s v="SustainabilityDrive"/>
    <n v="0.11571269132653061"/>
    <x v="0"/>
  </r>
  <r>
    <s v="P012"/>
    <x v="3"/>
    <n v="45494"/>
    <x v="0"/>
    <s v="Check out our latest reel on facebook!"/>
    <n v="1946"/>
    <n v="686"/>
    <n v="377"/>
    <n v="23352"/>
    <n v="22982"/>
    <n v="213"/>
    <s v="FSDUpdate"/>
    <n v="0.12885405960945528"/>
    <x v="0"/>
  </r>
  <r>
    <s v="P013"/>
    <x v="1"/>
    <n v="45614"/>
    <x v="3"/>
    <s v="Check out our latest carousel on youtube!"/>
    <n v="1171"/>
    <n v="286"/>
    <n v="231"/>
    <n v="22249"/>
    <n v="21282"/>
    <n v="114"/>
    <s v="CybertruckLaunch"/>
    <n v="7.5868578363072495E-2"/>
    <x v="4"/>
  </r>
  <r>
    <s v="P014"/>
    <x v="3"/>
    <n v="45704"/>
    <x v="2"/>
    <s v="Check out our latest story on facebook!"/>
    <n v="4242"/>
    <n v="555"/>
    <n v="131"/>
    <n v="33936"/>
    <n v="33802"/>
    <n v="265"/>
    <s v="SustainabilityDrive"/>
    <n v="0.14521452145214522"/>
    <x v="0"/>
  </r>
  <r>
    <s v="P015"/>
    <x v="3"/>
    <n v="45589"/>
    <x v="5"/>
    <s v="Check out our latest video on facebook!"/>
    <n v="3888"/>
    <n v="604"/>
    <n v="128"/>
    <n v="77760"/>
    <n v="77167"/>
    <n v="20"/>
    <s v="CybertruckLaunch"/>
    <n v="5.941358024691358E-2"/>
    <x v="0"/>
  </r>
  <r>
    <s v="P016"/>
    <x v="3"/>
    <n v="45530"/>
    <x v="1"/>
    <s v="Check out our latest text on facebook!"/>
    <n v="3452"/>
    <n v="377"/>
    <n v="360"/>
    <n v="55232"/>
    <n v="55075"/>
    <n v="87"/>
    <s v="FSDUpdate"/>
    <n v="7.5843713789107758E-2"/>
    <x v="0"/>
  </r>
  <r>
    <s v="P017"/>
    <x v="3"/>
    <n v="45782"/>
    <x v="1"/>
    <s v="Check out our latest text on facebook!"/>
    <n v="4441"/>
    <n v="511"/>
    <n v="70"/>
    <n v="53292"/>
    <n v="53082"/>
    <n v="159"/>
    <s v="SustainabilityDrive"/>
    <n v="9.4235532537716729E-2"/>
    <x v="4"/>
  </r>
  <r>
    <s v="P018"/>
    <x v="2"/>
    <n v="45523"/>
    <x v="0"/>
    <s v="Check out our latest reel on instagram!"/>
    <n v="3000"/>
    <n v="382"/>
    <n v="325"/>
    <n v="36000"/>
    <n v="35819"/>
    <n v="19"/>
    <s v="CybertruckLaunch"/>
    <n v="0.10297222222222223"/>
    <x v="0"/>
  </r>
  <r>
    <s v="P019"/>
    <x v="2"/>
    <n v="45466"/>
    <x v="5"/>
    <s v="Check out our latest video on instagram!"/>
    <n v="1071"/>
    <n v="519"/>
    <n v="22"/>
    <n v="16065"/>
    <n v="15865"/>
    <n v="103"/>
    <s v="SustainabilityDrive"/>
    <n v="0.10034235916588857"/>
    <x v="2"/>
  </r>
  <r>
    <s v="P020"/>
    <x v="2"/>
    <n v="45544"/>
    <x v="3"/>
    <s v="Check out our latest carousel on instagram!"/>
    <n v="4054"/>
    <n v="488"/>
    <n v="373"/>
    <n v="77026"/>
    <n v="76881"/>
    <n v="25"/>
    <s v="CybertruckLaunch"/>
    <n v="6.3809622724794221E-2"/>
    <x v="2"/>
  </r>
  <r>
    <s v="P021"/>
    <x v="2"/>
    <n v="45661"/>
    <x v="0"/>
    <s v="Check out our latest reel on instagram!"/>
    <n v="4838"/>
    <n v="640"/>
    <n v="128"/>
    <n v="72570"/>
    <n v="72396"/>
    <n v="83"/>
    <s v="SustainabilityDrive"/>
    <n v="7.7249552156538517E-2"/>
    <x v="0"/>
  </r>
  <r>
    <s v="P022"/>
    <x v="3"/>
    <n v="45715"/>
    <x v="1"/>
    <s v="Check out our latest text on facebook!"/>
    <n v="1570"/>
    <n v="187"/>
    <n v="260"/>
    <n v="25120"/>
    <n v="24613"/>
    <n v="133"/>
    <s v="SustainabilityDrive"/>
    <n v="8.0294585987261149E-2"/>
    <x v="2"/>
  </r>
  <r>
    <s v="P023"/>
    <x v="3"/>
    <n v="45602"/>
    <x v="5"/>
    <s v="Check out our latest video on facebook!"/>
    <n v="1606"/>
    <n v="547"/>
    <n v="316"/>
    <n v="32120"/>
    <n v="31736"/>
    <n v="225"/>
    <s v="ModelYCampaign"/>
    <n v="7.6867995018679955E-2"/>
    <x v="2"/>
  </r>
  <r>
    <s v="P023"/>
    <x v="3"/>
    <n v="45602"/>
    <x v="5"/>
    <s v="Check out our latest video on facebook!"/>
    <n v="1606"/>
    <n v="547"/>
    <n v="316"/>
    <n v="32120"/>
    <n v="31736"/>
    <n v="225"/>
    <s v="ModelYCampaign"/>
    <n v="7.6867995018679955E-2"/>
    <x v="1"/>
  </r>
  <r>
    <s v="P024"/>
    <x v="3"/>
    <n v="45680"/>
    <x v="5"/>
    <s v="Check out our latest video on facebook!"/>
    <n v="3961"/>
    <n v="761"/>
    <n v="131"/>
    <n v="67337"/>
    <n v="66615"/>
    <n v="161"/>
    <s v="FSDUpdate"/>
    <n v="7.2070332803659209E-2"/>
    <x v="0"/>
  </r>
  <r>
    <s v="P025"/>
    <x v="0"/>
    <n v="45757"/>
    <x v="3"/>
    <s v="Check out our latest carousel on twitter!"/>
    <n v="3128"/>
    <n v="211"/>
    <n v="197"/>
    <n v="59432"/>
    <n v="59182"/>
    <n v="238"/>
    <s v="CybertruckLaunch"/>
    <n v="5.9496567505720827E-2"/>
    <x v="4"/>
  </r>
  <r>
    <s v="P026"/>
    <x v="1"/>
    <n v="45752"/>
    <x v="0"/>
    <s v="Check out our latest reel on youtube!"/>
    <n v="3009"/>
    <n v="413"/>
    <n v="358"/>
    <n v="42126"/>
    <n v="41309"/>
    <n v="211"/>
    <s v="ModelYCampaign"/>
    <n v="8.9730807577268201E-2"/>
    <x v="0"/>
  </r>
  <r>
    <s v="P027"/>
    <x v="1"/>
    <n v="45552"/>
    <x v="1"/>
    <s v="Check out our latest text on youtube!"/>
    <n v="2076"/>
    <n v="195"/>
    <n v="104"/>
    <n v="33216"/>
    <n v="32244"/>
    <n v="51"/>
    <s v="SustainabilityDrive"/>
    <n v="7.1501685934489398E-2"/>
    <x v="0"/>
  </r>
  <r>
    <s v="P028"/>
    <x v="2"/>
    <n v="45720"/>
    <x v="5"/>
    <s v="Check out our latest video on instagram!"/>
    <n v="432"/>
    <n v="624"/>
    <n v="123"/>
    <n v="6912"/>
    <n v="6259"/>
    <n v="79"/>
    <s v="SustainabilityDrive"/>
    <n v="0.17057291666666666"/>
    <x v="0"/>
  </r>
  <r>
    <s v="P029"/>
    <x v="2"/>
    <n v="45688"/>
    <x v="3"/>
    <s v="Check out our latest carousel on instagram!"/>
    <n v="2566"/>
    <n v="118"/>
    <n v="37"/>
    <n v="12830"/>
    <n v="12264"/>
    <n v="221"/>
    <s v="FSDUpdate"/>
    <n v="0.21208106001558846"/>
    <x v="0"/>
  </r>
  <r>
    <s v="P030"/>
    <x v="2"/>
    <n v="45713"/>
    <x v="5"/>
    <s v="Check out our latest video on instagram!"/>
    <n v="3095"/>
    <n v="39"/>
    <n v="78"/>
    <n v="55710"/>
    <n v="54808"/>
    <n v="93"/>
    <s v="CybertruckLaunch"/>
    <n v="5.7655717106444085E-2"/>
    <x v="4"/>
  </r>
  <r>
    <s v="P031"/>
    <x v="2"/>
    <n v="45642"/>
    <x v="1"/>
    <s v="Check out our latest text on instagram!"/>
    <n v="438"/>
    <n v="153"/>
    <n v="275"/>
    <n v="3066"/>
    <n v="2701"/>
    <n v="282"/>
    <s v="ModelYCampaign"/>
    <n v="0.28245270711024134"/>
    <x v="2"/>
  </r>
  <r>
    <s v="P032"/>
    <x v="0"/>
    <n v="45504"/>
    <x v="3"/>
    <s v="Check out our latest carousel on twitter!"/>
    <n v="2278"/>
    <n v="10"/>
    <n v="321"/>
    <n v="13668"/>
    <n v="12676"/>
    <n v="275"/>
    <s v="CybertruckLaunch"/>
    <n v="0.19088381621305239"/>
    <x v="4"/>
  </r>
  <r>
    <s v="P033"/>
    <x v="3"/>
    <n v="45525"/>
    <x v="4"/>
    <s v="Check out our latest image on facebook!"/>
    <n v="1407"/>
    <n v="400"/>
    <n v="351"/>
    <n v="16884"/>
    <n v="15954"/>
    <n v="113"/>
    <s v="CybertruckLaunch"/>
    <n v="0.12781331438047855"/>
    <x v="2"/>
  </r>
  <r>
    <s v="P034"/>
    <x v="3"/>
    <n v="45742"/>
    <x v="1"/>
    <s v="Check out our latest text on facebook!"/>
    <n v="1652"/>
    <n v="89"/>
    <n v="357"/>
    <n v="29736"/>
    <n v="28771"/>
    <n v="215"/>
    <s v="FSDUpdate"/>
    <n v="7.055421038471886E-2"/>
    <x v="2"/>
  </r>
  <r>
    <s v="P035"/>
    <x v="2"/>
    <n v="45626"/>
    <x v="5"/>
    <s v="Check out our latest video on instagram!"/>
    <n v="3775"/>
    <n v="16"/>
    <n v="239"/>
    <n v="33975"/>
    <n v="33310"/>
    <n v="271"/>
    <s v="ModelYCampaign"/>
    <n v="0.11861662987490802"/>
    <x v="0"/>
  </r>
  <r>
    <s v="P036"/>
    <x v="2"/>
    <n v="45766"/>
    <x v="2"/>
    <s v="Check out our latest story on instagram!"/>
    <n v="4518"/>
    <n v="285"/>
    <n v="383"/>
    <n v="67770"/>
    <n v="67621"/>
    <n v="31"/>
    <s v="ModelYCampaign"/>
    <n v="7.6523535487678915E-2"/>
    <x v="4"/>
  </r>
  <r>
    <s v="P037"/>
    <x v="3"/>
    <n v="45663"/>
    <x v="3"/>
    <s v="Check out our latest carousel on facebook!"/>
    <n v="3024"/>
    <n v="925"/>
    <n v="350"/>
    <n v="24192"/>
    <n v="23518"/>
    <n v="36"/>
    <s v="ModelYCampaign"/>
    <n v="0.17770337301587302"/>
    <x v="4"/>
  </r>
  <r>
    <s v="P038"/>
    <x v="1"/>
    <n v="45705"/>
    <x v="0"/>
    <s v="Check out our latest reel on youtube!"/>
    <n v="3138"/>
    <n v="123"/>
    <n v="291"/>
    <n v="28242"/>
    <n v="27550"/>
    <n v="87"/>
    <s v="SustainabilityDrive"/>
    <n v="0.12577012959422137"/>
    <x v="2"/>
  </r>
  <r>
    <s v="P039"/>
    <x v="3"/>
    <n v="45621"/>
    <x v="4"/>
    <s v="Check out our latest image on facebook!"/>
    <n v="3564"/>
    <n v="629"/>
    <n v="177"/>
    <n v="60588"/>
    <n v="59627"/>
    <n v="92"/>
    <s v="ModelYCampaign"/>
    <n v="7.2126493695121141E-2"/>
    <x v="2"/>
  </r>
  <r>
    <s v="P040"/>
    <x v="0"/>
    <n v="45723"/>
    <x v="4"/>
    <s v="Check out our latest image on twitter!"/>
    <n v="4750"/>
    <n v="151"/>
    <n v="415"/>
    <n v="38000"/>
    <n v="37792"/>
    <n v="299"/>
    <s v="SustainabilityDrive"/>
    <n v="0.13989473684210527"/>
    <x v="4"/>
  </r>
  <r>
    <s v="P041"/>
    <x v="2"/>
    <n v="45724"/>
    <x v="0"/>
    <s v="Check out our latest reel on instagram!"/>
    <n v="456"/>
    <n v="629"/>
    <n v="428"/>
    <n v="8208"/>
    <n v="7377"/>
    <n v="205"/>
    <s v="SustainabilityDrive"/>
    <n v="0.18433235867446393"/>
    <x v="0"/>
  </r>
  <r>
    <s v="P042"/>
    <x v="1"/>
    <n v="45721"/>
    <x v="0"/>
    <s v="Check out our latest reel on youtube!"/>
    <n v="1543"/>
    <n v="820"/>
    <n v="333"/>
    <n v="12344"/>
    <n v="11496"/>
    <n v="241"/>
    <s v="CybertruckLaunch"/>
    <n v="0.21840570317563188"/>
    <x v="4"/>
  </r>
  <r>
    <s v="P043"/>
    <x v="2"/>
    <n v="45640"/>
    <x v="3"/>
    <s v="Check out our latest carousel on instagram!"/>
    <n v="2174"/>
    <n v="658"/>
    <n v="15"/>
    <n v="13044"/>
    <n v="12206"/>
    <n v="137"/>
    <s v="FSDUpdate"/>
    <n v="0.21826126954921804"/>
    <x v="2"/>
  </r>
  <r>
    <s v="P044"/>
    <x v="0"/>
    <n v="45718"/>
    <x v="4"/>
    <s v="Check out our latest image on twitter!"/>
    <n v="2358"/>
    <n v="784"/>
    <n v="344"/>
    <n v="35370"/>
    <n v="34475"/>
    <n v="216"/>
    <s v="ModelYCampaign"/>
    <n v="9.8558100084817649E-2"/>
    <x v="2"/>
  </r>
  <r>
    <s v="P045"/>
    <x v="3"/>
    <n v="45597"/>
    <x v="5"/>
    <s v="Check out our latest video on facebook!"/>
    <n v="3371"/>
    <n v="106"/>
    <n v="327"/>
    <n v="50565"/>
    <n v="49816"/>
    <n v="176"/>
    <s v="CybertruckLaunch"/>
    <n v="7.5229902106199939E-2"/>
    <x v="0"/>
  </r>
  <r>
    <s v="P046"/>
    <x v="0"/>
    <n v="45779"/>
    <x v="5"/>
    <s v="Check out our latest video on twitter!"/>
    <n v="1108"/>
    <n v="177"/>
    <n v="212"/>
    <n v="8864"/>
    <n v="8710"/>
    <n v="97"/>
    <s v="SustainabilityDrive"/>
    <n v="0.16888537906137185"/>
    <x v="2"/>
  </r>
  <r>
    <s v="P047"/>
    <x v="0"/>
    <n v="45712"/>
    <x v="3"/>
    <s v="Check out our latest carousel on twitter!"/>
    <n v="2704"/>
    <n v="752"/>
    <n v="153"/>
    <n v="21632"/>
    <n v="20792"/>
    <n v="127"/>
    <s v="SustainabilityDrive"/>
    <n v="0.16683616863905326"/>
    <x v="0"/>
  </r>
  <r>
    <s v="P048"/>
    <x v="0"/>
    <n v="45727"/>
    <x v="2"/>
    <s v="Check out our latest story on twitter!"/>
    <n v="1950"/>
    <n v="295"/>
    <n v="478"/>
    <n v="37050"/>
    <n v="36272"/>
    <n v="119"/>
    <s v="ModelYCampaign"/>
    <n v="7.349527665317139E-2"/>
    <x v="2"/>
  </r>
  <r>
    <s v="P049"/>
    <x v="0"/>
    <n v="45453"/>
    <x v="2"/>
    <s v="Check out our latest story on twitter!"/>
    <n v="2164"/>
    <n v="549"/>
    <n v="274"/>
    <n v="28132"/>
    <n v="27361"/>
    <n v="177"/>
    <s v="SustainabilityDrive"/>
    <n v="0.10617801791554102"/>
    <x v="2"/>
  </r>
  <r>
    <s v="P050"/>
    <x v="1"/>
    <n v="45476"/>
    <x v="2"/>
    <s v="Check out our latest story on youtube!"/>
    <n v="2754"/>
    <n v="130"/>
    <n v="90"/>
    <n v="22032"/>
    <n v="21288"/>
    <n v="112"/>
    <s v="FSDUpdate"/>
    <n v="0.13498547567175018"/>
    <x v="2"/>
  </r>
  <r>
    <s v="P051"/>
    <x v="3"/>
    <n v="45456"/>
    <x v="3"/>
    <s v="Check out our latest carousel on facebook!"/>
    <n v="2200"/>
    <n v="504"/>
    <n v="239"/>
    <n v="37400"/>
    <n v="36938"/>
    <n v="225"/>
    <s v="ModelYCampaign"/>
    <n v="7.8689839572192513E-2"/>
    <x v="0"/>
  </r>
  <r>
    <s v="P052"/>
    <x v="3"/>
    <n v="45660"/>
    <x v="4"/>
    <s v="Check out our latest image on facebook!"/>
    <n v="947"/>
    <n v="338"/>
    <n v="350"/>
    <n v="10417"/>
    <n v="9730"/>
    <n v="34"/>
    <s v="SustainabilityDrive"/>
    <n v="0.1569549774407219"/>
    <x v="2"/>
  </r>
  <r>
    <s v="P053"/>
    <x v="1"/>
    <n v="45712"/>
    <x v="3"/>
    <s v="Check out our latest carousel on youtube!"/>
    <n v="804"/>
    <n v="639"/>
    <n v="43"/>
    <n v="4020"/>
    <n v="3144"/>
    <n v="11"/>
    <s v="CybertruckLaunch"/>
    <n v="0.36965174129353234"/>
    <x v="4"/>
  </r>
  <r>
    <s v="P053"/>
    <x v="1"/>
    <n v="45712"/>
    <x v="3"/>
    <s v="Check out our latest carousel on youtube!"/>
    <n v="804"/>
    <n v="639"/>
    <n v="43"/>
    <n v="4020"/>
    <n v="3144"/>
    <n v="11"/>
    <s v="CybertruckLaunch"/>
    <n v="0.36965174129353234"/>
    <x v="3"/>
  </r>
  <r>
    <s v="P054"/>
    <x v="1"/>
    <n v="45729"/>
    <x v="3"/>
    <s v="Check out our latest carousel on youtube!"/>
    <n v="1686"/>
    <n v="904"/>
    <n v="472"/>
    <n v="18546"/>
    <n v="18171"/>
    <n v="52"/>
    <s v="ModelYCampaign"/>
    <n v="0.16510298716704411"/>
    <x v="0"/>
  </r>
  <r>
    <s v="P055"/>
    <x v="3"/>
    <n v="45460"/>
    <x v="4"/>
    <s v="Check out our latest image on facebook!"/>
    <n v="1226"/>
    <n v="119"/>
    <n v="7"/>
    <n v="14712"/>
    <n v="14049"/>
    <n v="123"/>
    <s v="SustainabilityDrive"/>
    <n v="9.1897770527460579E-2"/>
    <x v="4"/>
  </r>
  <r>
    <s v="P056"/>
    <x v="3"/>
    <n v="45644"/>
    <x v="3"/>
    <s v="Check out our latest carousel on facebook!"/>
    <n v="2946"/>
    <n v="498"/>
    <n v="367"/>
    <n v="29460"/>
    <n v="28527"/>
    <n v="60"/>
    <s v="FSDUpdate"/>
    <n v="0.12936184657162253"/>
    <x v="0"/>
  </r>
  <r>
    <s v="P057"/>
    <x v="0"/>
    <n v="45586"/>
    <x v="5"/>
    <s v="Check out our latest video on twitter!"/>
    <n v="2825"/>
    <n v="535"/>
    <n v="295"/>
    <n v="45200"/>
    <n v="44739"/>
    <n v="169"/>
    <s v="CybertruckLaunch"/>
    <n v="8.0862831858407078E-2"/>
    <x v="2"/>
  </r>
  <r>
    <s v="P058"/>
    <x v="2"/>
    <n v="45762"/>
    <x v="0"/>
    <s v="Check out our latest reel on instagram!"/>
    <n v="103"/>
    <n v="770"/>
    <n v="19"/>
    <n v="1030"/>
    <n v="410"/>
    <n v="262"/>
    <s v="SustainabilityDrive"/>
    <n v="0.86601941747572819"/>
    <x v="2"/>
  </r>
  <r>
    <s v="P059"/>
    <x v="2"/>
    <n v="45465"/>
    <x v="1"/>
    <s v="Check out our latest text on instagram!"/>
    <n v="2180"/>
    <n v="263"/>
    <n v="387"/>
    <n v="30520"/>
    <n v="30059"/>
    <n v="174"/>
    <s v="CybertruckLaunch"/>
    <n v="9.2726081258191345E-2"/>
    <x v="4"/>
  </r>
  <r>
    <s v="P060"/>
    <x v="2"/>
    <n v="45685"/>
    <x v="5"/>
    <s v="Check out our latest video on instagram!"/>
    <n v="904"/>
    <n v="973"/>
    <n v="63"/>
    <n v="11752"/>
    <n v="11580"/>
    <n v="84"/>
    <s v="FSDUpdate"/>
    <n v="0.1650782845473111"/>
    <x v="4"/>
  </r>
  <r>
    <s v="P060"/>
    <x v="2"/>
    <n v="45685"/>
    <x v="5"/>
    <s v="Check out our latest video on instagram!"/>
    <n v="904"/>
    <n v="973"/>
    <n v="63"/>
    <n v="11752"/>
    <n v="11580"/>
    <n v="84"/>
    <s v="FSDUpdate"/>
    <n v="0.1650782845473111"/>
    <x v="2"/>
  </r>
  <r>
    <s v="P060"/>
    <x v="2"/>
    <n v="45685"/>
    <x v="5"/>
    <s v="Check out our latest video on instagram!"/>
    <n v="904"/>
    <n v="973"/>
    <n v="63"/>
    <n v="11752"/>
    <n v="11580"/>
    <n v="84"/>
    <s v="FSDUpdate"/>
    <n v="0.1650782845473111"/>
    <x v="1"/>
  </r>
  <r>
    <s v="P061"/>
    <x v="0"/>
    <n v="45540"/>
    <x v="5"/>
    <s v="Check out our latest video on twitter!"/>
    <n v="4886"/>
    <n v="983"/>
    <n v="409"/>
    <n v="43974"/>
    <n v="43239"/>
    <n v="65"/>
    <s v="CybertruckLaunch"/>
    <n v="0.14276618001546368"/>
    <x v="2"/>
  </r>
  <r>
    <s v="P062"/>
    <x v="0"/>
    <n v="45618"/>
    <x v="3"/>
    <s v="Check out our latest carousel on twitter!"/>
    <n v="53"/>
    <n v="81"/>
    <n v="379"/>
    <n v="954"/>
    <n v="7"/>
    <n v="148"/>
    <s v="FSDUpdate"/>
    <n v="0.53773584905660377"/>
    <x v="2"/>
  </r>
  <r>
    <s v="P063"/>
    <x v="0"/>
    <n v="45504"/>
    <x v="3"/>
    <s v="Check out our latest carousel on twitter!"/>
    <n v="4507"/>
    <n v="217"/>
    <n v="13"/>
    <n v="90140"/>
    <n v="89591"/>
    <n v="125"/>
    <s v="FSDUpdate"/>
    <n v="5.2551586421122697E-2"/>
    <x v="0"/>
  </r>
  <r>
    <s v="P064"/>
    <x v="3"/>
    <n v="45521"/>
    <x v="4"/>
    <s v="Check out our latest image on facebook!"/>
    <n v="2878"/>
    <n v="248"/>
    <n v="416"/>
    <n v="43170"/>
    <n v="42667"/>
    <n v="75"/>
    <s v="FSDUpdate"/>
    <n v="8.2047718322909427E-2"/>
    <x v="0"/>
  </r>
  <r>
    <s v="P065"/>
    <x v="2"/>
    <n v="45744"/>
    <x v="2"/>
    <s v="Check out our latest story on instagram!"/>
    <n v="1881"/>
    <n v="501"/>
    <n v="99"/>
    <n v="20691"/>
    <n v="19987"/>
    <n v="289"/>
    <s v="CybertruckLaunch"/>
    <n v="0.11990720603160794"/>
    <x v="4"/>
  </r>
  <r>
    <s v="P066"/>
    <x v="0"/>
    <n v="45499"/>
    <x v="3"/>
    <s v="Check out our latest carousel on twitter!"/>
    <n v="432"/>
    <n v="171"/>
    <n v="280"/>
    <n v="3024"/>
    <n v="2285"/>
    <n v="184"/>
    <s v="CybertruckLaunch"/>
    <n v="0.29199735449735448"/>
    <x v="4"/>
  </r>
  <r>
    <s v="P067"/>
    <x v="3"/>
    <n v="45745"/>
    <x v="3"/>
    <s v="Check out our latest carousel on facebook!"/>
    <n v="4712"/>
    <n v="568"/>
    <n v="127"/>
    <n v="84816"/>
    <n v="84691"/>
    <n v="100"/>
    <s v="FSDUpdate"/>
    <n v="6.3749764195434822E-2"/>
    <x v="4"/>
  </r>
  <r>
    <s v="P068"/>
    <x v="2"/>
    <n v="45634"/>
    <x v="2"/>
    <s v="Check out our latest story on instagram!"/>
    <n v="2610"/>
    <n v="126"/>
    <n v="288"/>
    <n v="15660"/>
    <n v="15145"/>
    <n v="73"/>
    <s v="CybertruckLaunch"/>
    <n v="0.19310344827586207"/>
    <x v="4"/>
  </r>
  <r>
    <s v="P069"/>
    <x v="0"/>
    <n v="45724"/>
    <x v="1"/>
    <s v="Check out our latest text on twitter!"/>
    <n v="1292"/>
    <n v="626"/>
    <n v="496"/>
    <n v="25840"/>
    <n v="24916"/>
    <n v="149"/>
    <s v="FSDUpdate"/>
    <n v="9.3421052631578946E-2"/>
    <x v="0"/>
  </r>
  <r>
    <s v="P070"/>
    <x v="3"/>
    <n v="45749"/>
    <x v="5"/>
    <s v="Check out our latest video on facebook!"/>
    <n v="199"/>
    <n v="772"/>
    <n v="400"/>
    <n v="3582"/>
    <n v="2988"/>
    <n v="43"/>
    <s v="ModelYCampaign"/>
    <n v="0.38274706867671693"/>
    <x v="2"/>
  </r>
  <r>
    <s v="P071"/>
    <x v="1"/>
    <n v="45537"/>
    <x v="3"/>
    <s v="Check out our latest carousel on youtube!"/>
    <n v="2551"/>
    <n v="915"/>
    <n v="205"/>
    <n v="30612"/>
    <n v="30360"/>
    <n v="227"/>
    <s v="ModelYCampaign"/>
    <n v="0.1199202926956749"/>
    <x v="2"/>
  </r>
  <r>
    <s v="P072"/>
    <x v="1"/>
    <n v="45719"/>
    <x v="0"/>
    <s v="Check out our latest reel on youtube!"/>
    <n v="296"/>
    <n v="60"/>
    <n v="141"/>
    <n v="5624"/>
    <n v="5239"/>
    <n v="88"/>
    <s v="ModelYCampaign"/>
    <n v="8.837126600284495E-2"/>
    <x v="4"/>
  </r>
  <r>
    <s v="P073"/>
    <x v="3"/>
    <n v="45583"/>
    <x v="2"/>
    <s v="Check out our latest story on facebook!"/>
    <n v="4126"/>
    <n v="426"/>
    <n v="486"/>
    <n v="78394"/>
    <n v="77798"/>
    <n v="88"/>
    <s v="SustainabilityDrive"/>
    <n v="6.4265122330790625E-2"/>
    <x v="0"/>
  </r>
  <r>
    <s v="P074"/>
    <x v="1"/>
    <n v="45593"/>
    <x v="0"/>
    <s v="Check out our latest reel on youtube!"/>
    <n v="1855"/>
    <n v="200"/>
    <n v="174"/>
    <n v="16695"/>
    <n v="16330"/>
    <n v="123"/>
    <s v="FSDUpdate"/>
    <n v="0.13351302785265048"/>
    <x v="2"/>
  </r>
  <r>
    <s v="P075"/>
    <x v="2"/>
    <n v="45505"/>
    <x v="0"/>
    <s v="Check out our latest reel on instagram!"/>
    <n v="1674"/>
    <n v="929"/>
    <n v="37"/>
    <n v="21762"/>
    <n v="20998"/>
    <n v="255"/>
    <s v="SustainabilityDrive"/>
    <n v="0.12131237937689551"/>
    <x v="2"/>
  </r>
  <r>
    <s v="P076"/>
    <x v="0"/>
    <n v="45603"/>
    <x v="2"/>
    <s v="Check out our latest story on twitter!"/>
    <n v="1121"/>
    <n v="135"/>
    <n v="18"/>
    <n v="15694"/>
    <n v="14957"/>
    <n v="99"/>
    <s v="SustainabilityDrive"/>
    <n v="8.1177520071364848E-2"/>
    <x v="2"/>
  </r>
  <r>
    <s v="P077"/>
    <x v="3"/>
    <n v="45720"/>
    <x v="2"/>
    <s v="Check out our latest story on facebook!"/>
    <n v="1249"/>
    <n v="116"/>
    <n v="420"/>
    <n v="8743"/>
    <n v="8538"/>
    <n v="63"/>
    <s v="ModelYCampaign"/>
    <n v="0.20416333066453163"/>
    <x v="2"/>
  </r>
  <r>
    <s v="P078"/>
    <x v="0"/>
    <n v="45460"/>
    <x v="4"/>
    <s v="Check out our latest image on twitter!"/>
    <n v="954"/>
    <n v="324"/>
    <n v="288"/>
    <n v="19080"/>
    <n v="18859"/>
    <n v="21"/>
    <s v="SustainabilityDrive"/>
    <n v="8.2075471698113203E-2"/>
    <x v="0"/>
  </r>
  <r>
    <s v="P079"/>
    <x v="2"/>
    <n v="45574"/>
    <x v="3"/>
    <s v="Check out our latest carousel on instagram!"/>
    <n v="3068"/>
    <n v="137"/>
    <n v="329"/>
    <n v="39884"/>
    <n v="39404"/>
    <n v="266"/>
    <s v="ModelYCampaign"/>
    <n v="8.860696018453515E-2"/>
    <x v="4"/>
  </r>
  <r>
    <s v="P080"/>
    <x v="2"/>
    <n v="45456"/>
    <x v="2"/>
    <s v="Check out our latest story on instagram!"/>
    <n v="2103"/>
    <n v="892"/>
    <n v="103"/>
    <n v="39957"/>
    <n v="39466"/>
    <n v="28"/>
    <s v="SustainabilityDrive"/>
    <n v="7.7533348349475686E-2"/>
    <x v="0"/>
  </r>
  <r>
    <s v="P081"/>
    <x v="2"/>
    <n v="45584"/>
    <x v="2"/>
    <s v="Check out our latest story on instagram!"/>
    <n v="1816"/>
    <n v="29"/>
    <n v="41"/>
    <n v="19976"/>
    <n v="19262"/>
    <n v="283"/>
    <s v="FSDUpdate"/>
    <n v="9.4413295955146179E-2"/>
    <x v="2"/>
  </r>
  <r>
    <s v="P082"/>
    <x v="2"/>
    <n v="45497"/>
    <x v="4"/>
    <s v="Check out our latest image on instagram!"/>
    <n v="725"/>
    <n v="88"/>
    <n v="428"/>
    <n v="14500"/>
    <n v="13637"/>
    <n v="200"/>
    <s v="FSDUpdate"/>
    <n v="8.558620689655172E-2"/>
    <x v="0"/>
  </r>
  <r>
    <s v="P082"/>
    <x v="2"/>
    <n v="45497"/>
    <x v="4"/>
    <s v="Check out our latest image on instagram!"/>
    <n v="725"/>
    <n v="88"/>
    <n v="428"/>
    <n v="14500"/>
    <n v="13637"/>
    <n v="200"/>
    <s v="FSDUpdate"/>
    <n v="8.558620689655172E-2"/>
    <x v="2"/>
  </r>
  <r>
    <s v="P082"/>
    <x v="2"/>
    <n v="45497"/>
    <x v="4"/>
    <s v="Check out our latest image on instagram!"/>
    <n v="725"/>
    <n v="88"/>
    <n v="428"/>
    <n v="14500"/>
    <n v="13637"/>
    <n v="200"/>
    <s v="FSDUpdate"/>
    <n v="8.558620689655172E-2"/>
    <x v="1"/>
  </r>
  <r>
    <s v="P083"/>
    <x v="1"/>
    <n v="45580"/>
    <x v="5"/>
    <s v="Check out our latest video on youtube!"/>
    <n v="1094"/>
    <n v="472"/>
    <n v="21"/>
    <n v="9846"/>
    <n v="9609"/>
    <n v="112"/>
    <s v="CybertruckLaunch"/>
    <n v="0.16118220597196831"/>
    <x v="4"/>
  </r>
  <r>
    <s v="P084"/>
    <x v="3"/>
    <n v="45635"/>
    <x v="4"/>
    <s v="Check out our latest image on facebook!"/>
    <n v="1841"/>
    <n v="851"/>
    <n v="342"/>
    <n v="34979"/>
    <n v="34154"/>
    <n v="255"/>
    <s v="SustainabilityDrive"/>
    <n v="8.6737756939878216E-2"/>
    <x v="0"/>
  </r>
  <r>
    <s v="P085"/>
    <x v="2"/>
    <n v="45766"/>
    <x v="4"/>
    <s v="Check out our latest image on instagram!"/>
    <n v="4177"/>
    <n v="569"/>
    <n v="55"/>
    <n v="25062"/>
    <n v="24847"/>
    <n v="230"/>
    <s v="CybertruckLaunch"/>
    <n v="0.19156491900087783"/>
    <x v="0"/>
  </r>
  <r>
    <s v="P086"/>
    <x v="1"/>
    <n v="45684"/>
    <x v="1"/>
    <s v="Check out our latest text on youtube!"/>
    <n v="3428"/>
    <n v="305"/>
    <n v="85"/>
    <n v="58276"/>
    <n v="58052"/>
    <n v="242"/>
    <s v="SustainabilityDrive"/>
    <n v="6.5515821264328367E-2"/>
    <x v="4"/>
  </r>
  <r>
    <s v="P086"/>
    <x v="1"/>
    <n v="45684"/>
    <x v="1"/>
    <s v="Check out our latest text on youtube!"/>
    <n v="3428"/>
    <n v="305"/>
    <n v="85"/>
    <n v="58276"/>
    <n v="58052"/>
    <n v="242"/>
    <s v="SustainabilityDrive"/>
    <n v="6.5515821264328367E-2"/>
    <x v="3"/>
  </r>
  <r>
    <s v="P087"/>
    <x v="0"/>
    <n v="45449"/>
    <x v="5"/>
    <s v="Check out our latest video on twitter!"/>
    <n v="1436"/>
    <n v="765"/>
    <n v="496"/>
    <n v="12924"/>
    <n v="12701"/>
    <n v="197"/>
    <s v="FSDUpdate"/>
    <n v="0.20868152274837512"/>
    <x v="0"/>
  </r>
  <r>
    <s v="P088"/>
    <x v="3"/>
    <n v="45480"/>
    <x v="2"/>
    <s v="Check out our latest story on facebook!"/>
    <n v="302"/>
    <n v="47"/>
    <n v="430"/>
    <n v="5738"/>
    <n v="4890"/>
    <n v="25"/>
    <s v="SustainabilityDrive"/>
    <n v="0.13576158940397351"/>
    <x v="2"/>
  </r>
  <r>
    <s v="P089"/>
    <x v="0"/>
    <n v="45667"/>
    <x v="4"/>
    <s v="Check out our latest image on twitter!"/>
    <n v="2214"/>
    <n v="249"/>
    <n v="152"/>
    <n v="15498"/>
    <n v="14800"/>
    <n v="180"/>
    <s v="CybertruckLaunch"/>
    <n v="0.16873144921925409"/>
    <x v="4"/>
  </r>
  <r>
    <s v="P090"/>
    <x v="2"/>
    <n v="45446"/>
    <x v="4"/>
    <s v="Check out our latest image on instagram!"/>
    <n v="3861"/>
    <n v="960"/>
    <n v="101"/>
    <n v="69498"/>
    <n v="68817"/>
    <n v="297"/>
    <s v="SustainabilityDrive"/>
    <n v="7.0822181933293038E-2"/>
    <x v="2"/>
  </r>
  <r>
    <s v="P091"/>
    <x v="3"/>
    <n v="45740"/>
    <x v="4"/>
    <s v="Check out our latest image on facebook!"/>
    <n v="1263"/>
    <n v="397"/>
    <n v="357"/>
    <n v="25260"/>
    <n v="24615"/>
    <n v="137"/>
    <s v="SustainabilityDrive"/>
    <n v="7.984956452889945E-2"/>
    <x v="4"/>
  </r>
  <r>
    <s v="P092"/>
    <x v="0"/>
    <n v="45586"/>
    <x v="2"/>
    <s v="Check out our latest story on twitter!"/>
    <n v="3801"/>
    <n v="967"/>
    <n v="401"/>
    <n v="38010"/>
    <n v="37625"/>
    <n v="236"/>
    <s v="FSDUpdate"/>
    <n v="0.13599052880820836"/>
    <x v="0"/>
  </r>
  <r>
    <s v="P093"/>
    <x v="2"/>
    <n v="45637"/>
    <x v="5"/>
    <s v="Check out our latest video on instagram!"/>
    <n v="1431"/>
    <n v="951"/>
    <n v="26"/>
    <n v="8586"/>
    <n v="8396"/>
    <n v="150"/>
    <s v="FSDUpdate"/>
    <n v="0.28045655718611695"/>
    <x v="4"/>
  </r>
  <r>
    <s v="P094"/>
    <x v="2"/>
    <n v="45603"/>
    <x v="4"/>
    <s v="Check out our latest image on instagram!"/>
    <n v="2647"/>
    <n v="304"/>
    <n v="170"/>
    <n v="18529"/>
    <n v="17841"/>
    <n v="46"/>
    <s v="FSDUpdate"/>
    <n v="0.16843866371633656"/>
    <x v="0"/>
  </r>
  <r>
    <s v="P095"/>
    <x v="2"/>
    <n v="45604"/>
    <x v="1"/>
    <s v="Check out our latest text on instagram!"/>
    <n v="3182"/>
    <n v="559"/>
    <n v="160"/>
    <n v="57276"/>
    <n v="56890"/>
    <n v="163"/>
    <s v="SustainabilityDrive"/>
    <n v="6.8108806480899509E-2"/>
    <x v="0"/>
  </r>
  <r>
    <s v="P096"/>
    <x v="0"/>
    <n v="45545"/>
    <x v="4"/>
    <s v="Check out our latest image on twitter!"/>
    <n v="1238"/>
    <n v="366"/>
    <n v="444"/>
    <n v="19808"/>
    <n v="19334"/>
    <n v="123"/>
    <s v="SustainabilityDrive"/>
    <n v="0.10339256865912763"/>
    <x v="0"/>
  </r>
  <r>
    <s v="P097"/>
    <x v="2"/>
    <n v="45517"/>
    <x v="4"/>
    <s v="Check out our latest image on instagram!"/>
    <n v="4739"/>
    <n v="527"/>
    <n v="135"/>
    <n v="61607"/>
    <n v="61333"/>
    <n v="36"/>
    <s v="ModelYCampaign"/>
    <n v="8.7668609086629767E-2"/>
    <x v="2"/>
  </r>
  <r>
    <s v="P097"/>
    <x v="2"/>
    <n v="45517"/>
    <x v="4"/>
    <s v="Check out our latest image on instagram!"/>
    <n v="4739"/>
    <n v="527"/>
    <n v="135"/>
    <n v="61607"/>
    <n v="61333"/>
    <n v="36"/>
    <s v="ModelYCampaign"/>
    <n v="8.7668609086629767E-2"/>
    <x v="1"/>
  </r>
  <r>
    <s v="P098"/>
    <x v="0"/>
    <n v="45453"/>
    <x v="2"/>
    <s v="Check out our latest story on twitter!"/>
    <n v="1575"/>
    <n v="771"/>
    <n v="486"/>
    <n v="25200"/>
    <n v="24826"/>
    <n v="17"/>
    <s v="SustainabilityDrive"/>
    <n v="0.11238095238095239"/>
    <x v="0"/>
  </r>
  <r>
    <s v="P099"/>
    <x v="1"/>
    <n v="45475"/>
    <x v="3"/>
    <s v="Check out our latest carousel on youtube!"/>
    <n v="4171"/>
    <n v="548"/>
    <n v="86"/>
    <n v="66736"/>
    <n v="66634"/>
    <n v="173"/>
    <s v="FSDUpdate"/>
    <n v="7.2000119875329657E-2"/>
    <x v="0"/>
  </r>
  <r>
    <s v="P100"/>
    <x v="1"/>
    <n v="45698"/>
    <x v="5"/>
    <s v="Check out our latest video on youtube!"/>
    <n v="1766"/>
    <n v="92"/>
    <n v="424"/>
    <n v="24724"/>
    <n v="24333"/>
    <n v="52"/>
    <s v="CybertruckLaunch"/>
    <n v="9.2298980747451867E-2"/>
    <x v="4"/>
  </r>
  <r>
    <s v="P101"/>
    <x v="1"/>
    <n v="45583"/>
    <x v="5"/>
    <s v="Check out our latest video on youtube!"/>
    <n v="4450"/>
    <n v="983"/>
    <n v="143"/>
    <n v="75650"/>
    <n v="75008"/>
    <n v="12"/>
    <s v="FSDUpdate"/>
    <n v="7.3707865168539333E-2"/>
    <x v="0"/>
  </r>
  <r>
    <s v="P102"/>
    <x v="0"/>
    <n v="45553"/>
    <x v="0"/>
    <s v="Check out our latest reel on twitter!"/>
    <n v="1000"/>
    <n v="978"/>
    <n v="162"/>
    <n v="6000"/>
    <n v="5221"/>
    <n v="223"/>
    <s v="ModelYCampaign"/>
    <n v="0.35666666666666669"/>
    <x v="4"/>
  </r>
  <r>
    <s v="P103"/>
    <x v="3"/>
    <n v="45454"/>
    <x v="4"/>
    <s v="Check out our latest image on facebook!"/>
    <n v="3689"/>
    <n v="48"/>
    <n v="306"/>
    <n v="40579"/>
    <n v="39588"/>
    <n v="212"/>
    <s v="ModelYCampaign"/>
    <n v="9.9632815002833983E-2"/>
    <x v="4"/>
  </r>
  <r>
    <s v="P104"/>
    <x v="1"/>
    <n v="45739"/>
    <x v="2"/>
    <s v="Check out our latest story on youtube!"/>
    <n v="3655"/>
    <n v="568"/>
    <n v="286"/>
    <n v="32895"/>
    <n v="32015"/>
    <n v="199"/>
    <s v="FSDUpdate"/>
    <n v="0.13707250341997265"/>
    <x v="2"/>
  </r>
  <r>
    <s v="P105"/>
    <x v="2"/>
    <n v="45457"/>
    <x v="3"/>
    <s v="Check out our latest carousel on instagram!"/>
    <n v="498"/>
    <n v="38"/>
    <n v="42"/>
    <n v="4482"/>
    <n v="3647"/>
    <n v="32"/>
    <s v="CybertruckLaunch"/>
    <n v="0.12896028558679162"/>
    <x v="0"/>
  </r>
  <r>
    <s v="P106"/>
    <x v="2"/>
    <n v="45692"/>
    <x v="4"/>
    <s v="Check out our latest image on instagram!"/>
    <n v="4619"/>
    <n v="821"/>
    <n v="499"/>
    <n v="69285"/>
    <n v="69141"/>
    <n v="298"/>
    <s v="SustainabilityDrive"/>
    <n v="8.5718409468138843E-2"/>
    <x v="2"/>
  </r>
  <r>
    <s v="P107"/>
    <x v="1"/>
    <n v="45464"/>
    <x v="4"/>
    <s v="Check out our latest image on youtube!"/>
    <n v="4832"/>
    <n v="893"/>
    <n v="10"/>
    <n v="91808"/>
    <n v="91296"/>
    <n v="182"/>
    <s v="ModelYCampaign"/>
    <n v="6.2467323109097243E-2"/>
    <x v="2"/>
  </r>
  <r>
    <s v="P108"/>
    <x v="0"/>
    <n v="45741"/>
    <x v="5"/>
    <s v="Check out our latest video on twitter!"/>
    <n v="4050"/>
    <n v="871"/>
    <n v="347"/>
    <n v="52650"/>
    <n v="51755"/>
    <n v="209"/>
    <s v="ModelYCampaign"/>
    <n v="0.10005698005698006"/>
    <x v="2"/>
  </r>
  <r>
    <s v="P109"/>
    <x v="0"/>
    <n v="45512"/>
    <x v="2"/>
    <s v="Check out our latest story on twitter!"/>
    <n v="3649"/>
    <n v="215"/>
    <n v="413"/>
    <n v="25543"/>
    <n v="24963"/>
    <n v="167"/>
    <s v="FSDUpdate"/>
    <n v="0.16744313510550835"/>
    <x v="0"/>
  </r>
  <r>
    <s v="P110"/>
    <x v="2"/>
    <n v="45502"/>
    <x v="0"/>
    <s v="Check out our latest reel on instagram!"/>
    <n v="3523"/>
    <n v="753"/>
    <n v="482"/>
    <n v="38753"/>
    <n v="38579"/>
    <n v="270"/>
    <s v="ModelYCampaign"/>
    <n v="0.12277759141227776"/>
    <x v="4"/>
  </r>
  <r>
    <s v="P111"/>
    <x v="1"/>
    <n v="45619"/>
    <x v="4"/>
    <s v="Check out our latest image on youtube!"/>
    <n v="2719"/>
    <n v="17"/>
    <n v="285"/>
    <n v="40785"/>
    <n v="40281"/>
    <n v="40"/>
    <s v="ModelYCampaign"/>
    <n v="7.4071349760941527E-2"/>
    <x v="2"/>
  </r>
  <r>
    <s v="P112"/>
    <x v="0"/>
    <n v="45570"/>
    <x v="2"/>
    <s v="Check out our latest story on twitter!"/>
    <n v="1957"/>
    <n v="877"/>
    <n v="238"/>
    <n v="17613"/>
    <n v="16865"/>
    <n v="297"/>
    <s v="FSDUpdate"/>
    <n v="0.17441662408448305"/>
    <x v="0"/>
  </r>
  <r>
    <s v="P113"/>
    <x v="0"/>
    <n v="45567"/>
    <x v="3"/>
    <s v="Check out our latest carousel on twitter!"/>
    <n v="4419"/>
    <n v="236"/>
    <n v="369"/>
    <n v="44190"/>
    <n v="43582"/>
    <n v="10"/>
    <s v="CybertruckLaunch"/>
    <n v="0.11369088028965829"/>
    <x v="4"/>
  </r>
  <r>
    <s v="P114"/>
    <x v="0"/>
    <n v="45610"/>
    <x v="2"/>
    <s v="Check out our latest story on twitter!"/>
    <n v="4000"/>
    <n v="689"/>
    <n v="488"/>
    <n v="40000"/>
    <n v="39569"/>
    <n v="44"/>
    <s v="CybertruckLaunch"/>
    <n v="0.12942500000000001"/>
    <x v="0"/>
  </r>
  <r>
    <s v="P115"/>
    <x v="0"/>
    <n v="45788"/>
    <x v="4"/>
    <s v="Check out our latest image on twitter!"/>
    <n v="2493"/>
    <n v="97"/>
    <n v="44"/>
    <n v="42381"/>
    <n v="41991"/>
    <n v="242"/>
    <s v="SustainabilityDrive"/>
    <n v="6.2150491965739366E-2"/>
    <x v="2"/>
  </r>
  <r>
    <s v="P115"/>
    <x v="0"/>
    <n v="45788"/>
    <x v="4"/>
    <s v="Check out our latest image on twitter!"/>
    <n v="2493"/>
    <n v="97"/>
    <n v="44"/>
    <n v="42381"/>
    <n v="41991"/>
    <n v="242"/>
    <s v="SustainabilityDrive"/>
    <n v="6.2150491965739366E-2"/>
    <x v="1"/>
  </r>
  <r>
    <s v="P116"/>
    <x v="1"/>
    <n v="45734"/>
    <x v="0"/>
    <s v="Check out our latest reel on youtube!"/>
    <n v="3704"/>
    <n v="186"/>
    <n v="458"/>
    <n v="25928"/>
    <n v="25081"/>
    <n v="131"/>
    <s v="ModelYCampaign"/>
    <n v="0.16769515581610614"/>
    <x v="2"/>
  </r>
  <r>
    <s v="P117"/>
    <x v="0"/>
    <n v="45600"/>
    <x v="4"/>
    <s v="Check out our latest image on twitter!"/>
    <n v="1606"/>
    <n v="451"/>
    <n v="405"/>
    <n v="20878"/>
    <n v="20190"/>
    <n v="219"/>
    <s v="SustainabilityDrive"/>
    <n v="0.11792317271769326"/>
    <x v="4"/>
  </r>
  <r>
    <s v="P118"/>
    <x v="3"/>
    <n v="45600"/>
    <x v="4"/>
    <s v="Check out our latest image on facebook!"/>
    <n v="4551"/>
    <n v="714"/>
    <n v="207"/>
    <n v="68265"/>
    <n v="67754"/>
    <n v="57"/>
    <s v="FSDUpdate"/>
    <n v="8.0158206987475278E-2"/>
    <x v="0"/>
  </r>
  <r>
    <s v="P119"/>
    <x v="2"/>
    <n v="45695"/>
    <x v="0"/>
    <s v="Check out our latest reel on instagram!"/>
    <n v="1970"/>
    <n v="675"/>
    <n v="478"/>
    <n v="9850"/>
    <n v="8924"/>
    <n v="117"/>
    <s v="SustainabilityDrive"/>
    <n v="0.31705583756345179"/>
    <x v="0"/>
  </r>
  <r>
    <s v="P120"/>
    <x v="3"/>
    <n v="45586"/>
    <x v="2"/>
    <s v="Check out our latest story on facebook!"/>
    <n v="780"/>
    <n v="928"/>
    <n v="301"/>
    <n v="8580"/>
    <n v="8081"/>
    <n v="91"/>
    <s v="FSDUpdate"/>
    <n v="0.23414918414918415"/>
    <x v="4"/>
  </r>
  <r>
    <s v="P121"/>
    <x v="2"/>
    <n v="45502"/>
    <x v="2"/>
    <s v="Check out our latest story on instagram!"/>
    <n v="498"/>
    <n v="701"/>
    <n v="412"/>
    <n v="4980"/>
    <n v="4185"/>
    <n v="185"/>
    <s v="SustainabilityDrive"/>
    <n v="0.32349397590361445"/>
    <x v="0"/>
  </r>
  <r>
    <s v="P122"/>
    <x v="2"/>
    <n v="45567"/>
    <x v="1"/>
    <s v="Check out our latest text on instagram!"/>
    <n v="3432"/>
    <n v="869"/>
    <n v="123"/>
    <n v="54912"/>
    <n v="53916"/>
    <n v="264"/>
    <s v="ModelYCampaign"/>
    <n v="8.0565268065268064E-2"/>
    <x v="4"/>
  </r>
  <r>
    <s v="P123"/>
    <x v="2"/>
    <n v="45457"/>
    <x v="2"/>
    <s v="Check out our latest story on instagram!"/>
    <n v="4363"/>
    <n v="649"/>
    <n v="140"/>
    <n v="21815"/>
    <n v="21481"/>
    <n v="157"/>
    <s v="CybertruckLaunch"/>
    <n v="0.23616777446710979"/>
    <x v="4"/>
  </r>
  <r>
    <s v="P124"/>
    <x v="1"/>
    <n v="45753"/>
    <x v="3"/>
    <s v="Check out our latest carousel on youtube!"/>
    <n v="736"/>
    <n v="771"/>
    <n v="225"/>
    <n v="5152"/>
    <n v="4706"/>
    <n v="19"/>
    <s v="CybertruckLaunch"/>
    <n v="0.33618012422360249"/>
    <x v="4"/>
  </r>
  <r>
    <s v="P125"/>
    <x v="0"/>
    <n v="45543"/>
    <x v="3"/>
    <s v="Check out our latest carousel on twitter!"/>
    <n v="3811"/>
    <n v="866"/>
    <n v="216"/>
    <n v="34299"/>
    <n v="34088"/>
    <n v="233"/>
    <s v="SustainabilityDrive"/>
    <n v="0.14265722032712325"/>
    <x v="2"/>
  </r>
  <r>
    <s v="P126"/>
    <x v="2"/>
    <n v="45744"/>
    <x v="3"/>
    <s v="Check out our latest carousel on instagram!"/>
    <n v="4158"/>
    <n v="167"/>
    <n v="241"/>
    <n v="45738"/>
    <n v="45183"/>
    <n v="142"/>
    <s v="SustainabilityDrive"/>
    <n v="9.9829463465827106E-2"/>
    <x v="0"/>
  </r>
  <r>
    <s v="P127"/>
    <x v="3"/>
    <n v="45684"/>
    <x v="0"/>
    <s v="Check out our latest reel on facebook!"/>
    <n v="3452"/>
    <n v="652"/>
    <n v="442"/>
    <n v="65588"/>
    <n v="65049"/>
    <n v="158"/>
    <s v="FSDUpdate"/>
    <n v="6.9311459413307311E-2"/>
    <x v="0"/>
  </r>
  <r>
    <s v="P128"/>
    <x v="0"/>
    <n v="45667"/>
    <x v="4"/>
    <s v="Check out our latest image on twitter!"/>
    <n v="3092"/>
    <n v="106"/>
    <n v="291"/>
    <n v="27828"/>
    <n v="27217"/>
    <n v="102"/>
    <s v="SustainabilityDrive"/>
    <n v="0.12537731780940059"/>
    <x v="0"/>
  </r>
  <r>
    <s v="P129"/>
    <x v="0"/>
    <n v="45494"/>
    <x v="1"/>
    <s v="Check out our latest text on twitter!"/>
    <n v="2147"/>
    <n v="430"/>
    <n v="393"/>
    <n v="17176"/>
    <n v="16483"/>
    <n v="170"/>
    <s v="ModelYCampaign"/>
    <n v="0.17291569632044715"/>
    <x v="2"/>
  </r>
  <r>
    <s v="P130"/>
    <x v="1"/>
    <n v="45564"/>
    <x v="0"/>
    <s v="Check out our latest reel on youtube!"/>
    <n v="2936"/>
    <n v="439"/>
    <n v="44"/>
    <n v="38168"/>
    <n v="37571"/>
    <n v="22"/>
    <s v="SustainabilityDrive"/>
    <n v="8.9577656675749323E-2"/>
    <x v="4"/>
  </r>
  <r>
    <s v="P131"/>
    <x v="2"/>
    <n v="45586"/>
    <x v="0"/>
    <s v="Check out our latest reel on instagram!"/>
    <n v="4840"/>
    <n v="658"/>
    <n v="211"/>
    <n v="43560"/>
    <n v="43225"/>
    <n v="57"/>
    <s v="FSDUpdate"/>
    <n v="0.13106060606060607"/>
    <x v="0"/>
  </r>
  <r>
    <s v="P132"/>
    <x v="2"/>
    <n v="45720"/>
    <x v="2"/>
    <s v="Check out our latest story on instagram!"/>
    <n v="1947"/>
    <n v="842"/>
    <n v="101"/>
    <n v="21417"/>
    <n v="20967"/>
    <n v="186"/>
    <s v="ModelYCampaign"/>
    <n v="0.13493953401503478"/>
    <x v="0"/>
  </r>
  <r>
    <s v="P133"/>
    <x v="3"/>
    <n v="45694"/>
    <x v="4"/>
    <s v="Check out our latest image on facebook!"/>
    <n v="2072"/>
    <n v="532"/>
    <n v="71"/>
    <n v="37296"/>
    <n v="36467"/>
    <n v="25"/>
    <s v="SustainabilityDrive"/>
    <n v="7.172350922350923E-2"/>
    <x v="2"/>
  </r>
  <r>
    <s v="P134"/>
    <x v="0"/>
    <n v="45771"/>
    <x v="0"/>
    <s v="Check out our latest reel on twitter!"/>
    <n v="3731"/>
    <n v="115"/>
    <n v="135"/>
    <n v="55965"/>
    <n v="55436"/>
    <n v="103"/>
    <s v="CybertruckLaunch"/>
    <n v="7.1133744304476013E-2"/>
    <x v="2"/>
  </r>
  <r>
    <s v="P135"/>
    <x v="3"/>
    <n v="45624"/>
    <x v="1"/>
    <s v="Check out our latest text on facebook!"/>
    <n v="4213"/>
    <n v="253"/>
    <n v="434"/>
    <n v="75834"/>
    <n v="75437"/>
    <n v="272"/>
    <s v="SustainabilityDrive"/>
    <n v="6.461481657304112E-2"/>
    <x v="0"/>
  </r>
  <r>
    <s v="P136"/>
    <x v="2"/>
    <n v="45484"/>
    <x v="1"/>
    <s v="Check out our latest text on instagram!"/>
    <n v="3134"/>
    <n v="888"/>
    <n v="444"/>
    <n v="21938"/>
    <n v="21337"/>
    <n v="130"/>
    <s v="SustainabilityDrive"/>
    <n v="0.20357370772176134"/>
    <x v="4"/>
  </r>
  <r>
    <s v="P137"/>
    <x v="3"/>
    <n v="45504"/>
    <x v="5"/>
    <s v="Check out our latest video on facebook!"/>
    <n v="3008"/>
    <n v="94"/>
    <n v="37"/>
    <n v="15040"/>
    <n v="14639"/>
    <n v="277"/>
    <s v="SustainabilityDrive"/>
    <n v="0.20871010638297871"/>
    <x v="0"/>
  </r>
  <r>
    <s v="P138"/>
    <x v="0"/>
    <n v="45745"/>
    <x v="4"/>
    <s v="Check out our latest image on twitter!"/>
    <n v="305"/>
    <n v="187"/>
    <n v="243"/>
    <n v="4575"/>
    <n v="3704"/>
    <n v="234"/>
    <s v="FSDUpdate"/>
    <n v="0.16065573770491803"/>
    <x v="0"/>
  </r>
  <r>
    <s v="P139"/>
    <x v="1"/>
    <n v="45594"/>
    <x v="1"/>
    <s v="Check out our latest text on youtube!"/>
    <n v="2746"/>
    <n v="156"/>
    <n v="203"/>
    <n v="32952"/>
    <n v="32147"/>
    <n v="147"/>
    <s v="CybertruckLaunch"/>
    <n v="9.422796795338674E-2"/>
    <x v="4"/>
  </r>
  <r>
    <s v="P140"/>
    <x v="3"/>
    <n v="45488"/>
    <x v="4"/>
    <s v="Check out our latest image on facebook!"/>
    <n v="2291"/>
    <n v="78"/>
    <n v="485"/>
    <n v="18328"/>
    <n v="18101"/>
    <n v="10"/>
    <s v="ModelYCampaign"/>
    <n v="0.15571802706241816"/>
    <x v="4"/>
  </r>
  <r>
    <s v="P140"/>
    <x v="3"/>
    <n v="45488"/>
    <x v="4"/>
    <s v="Check out our latest image on facebook!"/>
    <n v="2291"/>
    <n v="78"/>
    <n v="485"/>
    <n v="18328"/>
    <n v="18101"/>
    <n v="10"/>
    <s v="ModelYCampaign"/>
    <n v="0.15571802706241816"/>
    <x v="5"/>
  </r>
  <r>
    <s v="P141"/>
    <x v="0"/>
    <n v="45535"/>
    <x v="4"/>
    <s v="Check out our latest image on twitter!"/>
    <n v="3170"/>
    <n v="857"/>
    <n v="379"/>
    <n v="19020"/>
    <n v="18559"/>
    <n v="240"/>
    <s v="SustainabilityDrive"/>
    <n v="0.2316508937960042"/>
    <x v="0"/>
  </r>
  <r>
    <s v="P142"/>
    <x v="1"/>
    <n v="45741"/>
    <x v="2"/>
    <s v="Check out our latest story on youtube!"/>
    <n v="2070"/>
    <n v="275"/>
    <n v="386"/>
    <n v="39330"/>
    <n v="38627"/>
    <n v="114"/>
    <s v="SustainabilityDrive"/>
    <n v="6.9438087973557078E-2"/>
    <x v="0"/>
  </r>
  <r>
    <s v="P143"/>
    <x v="1"/>
    <n v="45567"/>
    <x v="3"/>
    <s v="Check out our latest carousel on youtube!"/>
    <n v="80"/>
    <n v="362"/>
    <n v="80"/>
    <n v="1040"/>
    <n v="349"/>
    <n v="117"/>
    <s v="FSDUpdate"/>
    <n v="0.50192307692307692"/>
    <x v="2"/>
  </r>
  <r>
    <s v="P144"/>
    <x v="1"/>
    <n v="45593"/>
    <x v="2"/>
    <s v="Check out our latest story on youtube!"/>
    <n v="4929"/>
    <n v="749"/>
    <n v="452"/>
    <n v="93651"/>
    <n v="92810"/>
    <n v="66"/>
    <s v="SustainabilityDrive"/>
    <n v="6.5455787978772245E-2"/>
    <x v="4"/>
  </r>
  <r>
    <s v="P145"/>
    <x v="2"/>
    <n v="45516"/>
    <x v="3"/>
    <s v="Check out our latest carousel on instagram!"/>
    <n v="1878"/>
    <n v="62"/>
    <n v="179"/>
    <n v="37560"/>
    <n v="36874"/>
    <n v="142"/>
    <s v="SustainabilityDrive"/>
    <n v="5.6416400425985093E-2"/>
    <x v="2"/>
  </r>
  <r>
    <s v="P146"/>
    <x v="1"/>
    <n v="45448"/>
    <x v="0"/>
    <s v="Check out our latest reel on youtube!"/>
    <n v="3065"/>
    <n v="772"/>
    <n v="142"/>
    <n v="18390"/>
    <n v="17875"/>
    <n v="200"/>
    <s v="CybertruckLaunch"/>
    <n v="0.21636759108210984"/>
    <x v="4"/>
  </r>
  <r>
    <s v="P146"/>
    <x v="1"/>
    <n v="45448"/>
    <x v="0"/>
    <s v="Check out our latest reel on youtube!"/>
    <n v="3065"/>
    <n v="772"/>
    <n v="142"/>
    <n v="18390"/>
    <n v="17875"/>
    <n v="200"/>
    <s v="CybertruckLaunch"/>
    <n v="0.21636759108210984"/>
    <x v="1"/>
  </r>
  <r>
    <s v="P147"/>
    <x v="2"/>
    <n v="45586"/>
    <x v="0"/>
    <s v="Check out our latest reel on instagram!"/>
    <n v="3256"/>
    <n v="459"/>
    <n v="266"/>
    <n v="26048"/>
    <n v="25529"/>
    <n v="143"/>
    <s v="ModelYCampaign"/>
    <n v="0.15283323095823095"/>
    <x v="2"/>
  </r>
  <r>
    <s v="P148"/>
    <x v="2"/>
    <n v="45762"/>
    <x v="5"/>
    <s v="Check out our latest video on instagram!"/>
    <n v="4133"/>
    <n v="466"/>
    <n v="327"/>
    <n v="24798"/>
    <n v="24620"/>
    <n v="176"/>
    <s v="SustainabilityDrive"/>
    <n v="0.19864505202032423"/>
    <x v="4"/>
  </r>
  <r>
    <s v="P149"/>
    <x v="0"/>
    <n v="45459"/>
    <x v="5"/>
    <s v="Check out our latest video on twitter!"/>
    <n v="1702"/>
    <n v="750"/>
    <n v="179"/>
    <n v="34040"/>
    <n v="33174"/>
    <n v="76"/>
    <s v="CybertruckLaunch"/>
    <n v="7.7291421856639245E-2"/>
    <x v="4"/>
  </r>
  <r>
    <s v="P150"/>
    <x v="1"/>
    <n v="45526"/>
    <x v="3"/>
    <s v="Check out our latest carousel on youtube!"/>
    <n v="4295"/>
    <n v="853"/>
    <n v="325"/>
    <n v="85900"/>
    <n v="85788"/>
    <n v="290"/>
    <s v="SustainabilityDrive"/>
    <n v="6.3713620488940623E-2"/>
    <x v="2"/>
  </r>
  <r>
    <s v="P151"/>
    <x v="2"/>
    <n v="45499"/>
    <x v="4"/>
    <s v="Check out our latest image on instagram!"/>
    <n v="3559"/>
    <n v="59"/>
    <n v="289"/>
    <n v="35590"/>
    <n v="35105"/>
    <n v="122"/>
    <s v="CybertruckLaunch"/>
    <n v="0.10977802753582468"/>
    <x v="4"/>
  </r>
  <r>
    <s v="P152"/>
    <x v="3"/>
    <n v="45769"/>
    <x v="4"/>
    <s v="Check out our latest image on facebook!"/>
    <n v="4804"/>
    <n v="550"/>
    <n v="270"/>
    <n v="28824"/>
    <n v="28370"/>
    <n v="47"/>
    <s v="SustainabilityDrive"/>
    <n v="0.19511518179295032"/>
    <x v="4"/>
  </r>
  <r>
    <s v="P153"/>
    <x v="0"/>
    <n v="45658"/>
    <x v="5"/>
    <s v="Check out our latest video on twitter!"/>
    <n v="754"/>
    <n v="197"/>
    <n v="257"/>
    <n v="6786"/>
    <n v="6221"/>
    <n v="212"/>
    <s v="FSDUpdate"/>
    <n v="0.17801355732390214"/>
    <x v="2"/>
  </r>
  <r>
    <s v="P154"/>
    <x v="2"/>
    <n v="45574"/>
    <x v="3"/>
    <s v="Check out our latest carousel on instagram!"/>
    <n v="985"/>
    <n v="932"/>
    <n v="287"/>
    <n v="6895"/>
    <n v="6757"/>
    <n v="64"/>
    <s v="SustainabilityDrive"/>
    <n v="0.31965192168237855"/>
    <x v="0"/>
  </r>
  <r>
    <s v="P155"/>
    <x v="1"/>
    <n v="45647"/>
    <x v="4"/>
    <s v="Check out our latest image on youtube!"/>
    <n v="2283"/>
    <n v="210"/>
    <n v="130"/>
    <n v="22830"/>
    <n v="22617"/>
    <n v="143"/>
    <s v="ModelYCampaign"/>
    <n v="0.11489268506351293"/>
    <x v="0"/>
  </r>
  <r>
    <s v="P156"/>
    <x v="3"/>
    <n v="45587"/>
    <x v="3"/>
    <s v="Check out our latest carousel on facebook!"/>
    <n v="3352"/>
    <n v="941"/>
    <n v="482"/>
    <n v="43576"/>
    <n v="43338"/>
    <n v="240"/>
    <s v="ModelYCampaign"/>
    <n v="0.1095786671562328"/>
    <x v="0"/>
  </r>
  <r>
    <s v="P157"/>
    <x v="1"/>
    <n v="45496"/>
    <x v="2"/>
    <s v="Check out our latest story on youtube!"/>
    <n v="4775"/>
    <n v="173"/>
    <n v="206"/>
    <n v="47750"/>
    <n v="47544"/>
    <n v="187"/>
    <s v="ModelYCampaign"/>
    <n v="0.10793717277486911"/>
    <x v="0"/>
  </r>
  <r>
    <s v="P158"/>
    <x v="2"/>
    <n v="45515"/>
    <x v="2"/>
    <s v="Check out our latest story on instagram!"/>
    <n v="1762"/>
    <n v="405"/>
    <n v="423"/>
    <n v="22906"/>
    <n v="21925"/>
    <n v="25"/>
    <s v="CybertruckLaunch"/>
    <n v="0.11307081114118571"/>
    <x v="2"/>
  </r>
  <r>
    <s v="P159"/>
    <x v="3"/>
    <n v="45621"/>
    <x v="2"/>
    <s v="Check out our latest story on facebook!"/>
    <n v="2120"/>
    <n v="158"/>
    <n v="488"/>
    <n v="12720"/>
    <n v="12085"/>
    <n v="17"/>
    <s v="ModelYCampaign"/>
    <n v="0.21745283018867925"/>
    <x v="0"/>
  </r>
  <r>
    <s v="P160"/>
    <x v="0"/>
    <n v="45528"/>
    <x v="5"/>
    <s v="Check out our latest video on twitter!"/>
    <n v="1082"/>
    <n v="209"/>
    <n v="484"/>
    <n v="19476"/>
    <n v="18654"/>
    <n v="20"/>
    <s v="ModelYCampaign"/>
    <n v="9.1137810638734856E-2"/>
    <x v="2"/>
  </r>
  <r>
    <s v="P161"/>
    <x v="0"/>
    <n v="45707"/>
    <x v="1"/>
    <s v="Check out our latest text on twitter!"/>
    <n v="4671"/>
    <n v="876"/>
    <n v="366"/>
    <n v="51381"/>
    <n v="50565"/>
    <n v="245"/>
    <s v="SustainabilityDrive"/>
    <n v="0.11508145034156594"/>
    <x v="2"/>
  </r>
  <r>
    <s v="P162"/>
    <x v="3"/>
    <n v="45748"/>
    <x v="2"/>
    <s v="Check out our latest story on facebook!"/>
    <n v="3430"/>
    <n v="566"/>
    <n v="164"/>
    <n v="48020"/>
    <n v="47305"/>
    <n v="120"/>
    <s v="SustainabilityDrive"/>
    <n v="8.6630570595585168E-2"/>
    <x v="0"/>
  </r>
  <r>
    <s v="P163"/>
    <x v="2"/>
    <n v="45755"/>
    <x v="4"/>
    <s v="Check out our latest image on instagram!"/>
    <n v="4501"/>
    <n v="375"/>
    <n v="323"/>
    <n v="22505"/>
    <n v="21836"/>
    <n v="132"/>
    <s v="ModelYCampaign"/>
    <n v="0.23101532992668297"/>
    <x v="2"/>
  </r>
  <r>
    <s v="P164"/>
    <x v="1"/>
    <n v="45715"/>
    <x v="1"/>
    <s v="Check out our latest text on youtube!"/>
    <n v="4934"/>
    <n v="971"/>
    <n v="156"/>
    <n v="39472"/>
    <n v="39025"/>
    <n v="169"/>
    <s v="SustainabilityDrive"/>
    <n v="0.15355188488042157"/>
    <x v="2"/>
  </r>
  <r>
    <s v="P164"/>
    <x v="1"/>
    <n v="45715"/>
    <x v="1"/>
    <s v="Check out our latest text on youtube!"/>
    <n v="4934"/>
    <n v="971"/>
    <n v="156"/>
    <n v="39472"/>
    <n v="39025"/>
    <n v="169"/>
    <s v="SustainabilityDrive"/>
    <n v="0.15355188488042157"/>
    <x v="1"/>
  </r>
  <r>
    <s v="P165"/>
    <x v="0"/>
    <n v="45637"/>
    <x v="1"/>
    <s v="Check out our latest text on twitter!"/>
    <n v="3239"/>
    <n v="43"/>
    <n v="211"/>
    <n v="22673"/>
    <n v="22171"/>
    <n v="230"/>
    <s v="ModelYCampaign"/>
    <n v="0.15405989502933004"/>
    <x v="2"/>
  </r>
  <r>
    <s v="P166"/>
    <x v="0"/>
    <n v="45704"/>
    <x v="0"/>
    <s v="Check out our latest reel on twitter!"/>
    <n v="1076"/>
    <n v="313"/>
    <n v="306"/>
    <n v="11836"/>
    <n v="11596"/>
    <n v="104"/>
    <s v="CybertruckLaunch"/>
    <n v="0.14320716458262928"/>
    <x v="0"/>
  </r>
  <r>
    <s v="P167"/>
    <x v="2"/>
    <n v="45624"/>
    <x v="1"/>
    <s v="Check out our latest text on instagram!"/>
    <n v="4771"/>
    <n v="818"/>
    <n v="56"/>
    <n v="57252"/>
    <n v="56378"/>
    <n v="150"/>
    <s v="SustainabilityDrive"/>
    <n v="9.859917557465242E-2"/>
    <x v="0"/>
  </r>
  <r>
    <s v="P168"/>
    <x v="3"/>
    <n v="45608"/>
    <x v="1"/>
    <s v="Check out our latest text on facebook!"/>
    <n v="2418"/>
    <n v="754"/>
    <n v="54"/>
    <n v="43524"/>
    <n v="42743"/>
    <n v="182"/>
    <s v="CybertruckLaunch"/>
    <n v="7.412002573292896E-2"/>
    <x v="4"/>
  </r>
  <r>
    <s v="P169"/>
    <x v="1"/>
    <n v="45629"/>
    <x v="5"/>
    <s v="Check out our latest video on youtube!"/>
    <n v="3809"/>
    <n v="273"/>
    <n v="200"/>
    <n v="34281"/>
    <n v="33534"/>
    <n v="83"/>
    <s v="CybertruckLaunch"/>
    <n v="0.12490884163239112"/>
    <x v="4"/>
  </r>
  <r>
    <s v="P170"/>
    <x v="0"/>
    <n v="45775"/>
    <x v="1"/>
    <s v="Check out our latest text on twitter!"/>
    <n v="3577"/>
    <n v="596"/>
    <n v="493"/>
    <n v="67963"/>
    <n v="67839"/>
    <n v="53"/>
    <s v="FSDUpdate"/>
    <n v="6.8655003457763777E-2"/>
    <x v="2"/>
  </r>
  <r>
    <s v="P171"/>
    <x v="1"/>
    <n v="45657"/>
    <x v="5"/>
    <s v="Check out our latest video on youtube!"/>
    <n v="1018"/>
    <n v="447"/>
    <n v="332"/>
    <n v="18324"/>
    <n v="18164"/>
    <n v="38"/>
    <s v="ModelYCampaign"/>
    <n v="9.8068107400130972E-2"/>
    <x v="0"/>
  </r>
  <r>
    <s v="P172"/>
    <x v="3"/>
    <n v="45518"/>
    <x v="3"/>
    <s v="Check out our latest carousel on facebook!"/>
    <n v="3073"/>
    <n v="553"/>
    <n v="174"/>
    <n v="52241"/>
    <n v="51605"/>
    <n v="246"/>
    <s v="FSDUpdate"/>
    <n v="7.2739802071170159E-2"/>
    <x v="4"/>
  </r>
  <r>
    <s v="P173"/>
    <x v="0"/>
    <n v="45631"/>
    <x v="5"/>
    <s v="Check out our latest video on twitter!"/>
    <n v="1330"/>
    <n v="925"/>
    <n v="35"/>
    <n v="15960"/>
    <n v="15379"/>
    <n v="229"/>
    <s v="FSDUpdate"/>
    <n v="0.14348370927318296"/>
    <x v="0"/>
  </r>
  <r>
    <s v="P174"/>
    <x v="3"/>
    <n v="45465"/>
    <x v="1"/>
    <s v="Check out our latest text on facebook!"/>
    <n v="3828"/>
    <n v="148"/>
    <n v="253"/>
    <n v="30624"/>
    <n v="30229"/>
    <n v="235"/>
    <s v="CybertruckLaunch"/>
    <n v="0.13809430512016718"/>
    <x v="4"/>
  </r>
  <r>
    <s v="P175"/>
    <x v="2"/>
    <n v="45674"/>
    <x v="0"/>
    <s v="Check out our latest reel on instagram!"/>
    <n v="142"/>
    <n v="784"/>
    <n v="183"/>
    <n v="1704"/>
    <n v="995"/>
    <n v="154"/>
    <s v="SustainabilityDrive"/>
    <n v="0.6508215962441315"/>
    <x v="0"/>
  </r>
  <r>
    <s v="P176"/>
    <x v="3"/>
    <n v="45463"/>
    <x v="5"/>
    <s v="Check out our latest video on facebook!"/>
    <n v="3798"/>
    <n v="31"/>
    <n v="279"/>
    <n v="75960"/>
    <n v="75813"/>
    <n v="266"/>
    <s v="CybertruckLaunch"/>
    <n v="5.4081095313322801E-2"/>
    <x v="2"/>
  </r>
  <r>
    <s v="P177"/>
    <x v="2"/>
    <n v="45483"/>
    <x v="3"/>
    <s v="Check out our latest carousel on instagram!"/>
    <n v="3099"/>
    <n v="694"/>
    <n v="171"/>
    <n v="43386"/>
    <n v="42921"/>
    <n v="52"/>
    <s v="FSDUpdate"/>
    <n v="9.1365878393951966E-2"/>
    <x v="2"/>
  </r>
  <r>
    <s v="P178"/>
    <x v="2"/>
    <n v="45603"/>
    <x v="5"/>
    <s v="Check out our latest video on instagram!"/>
    <n v="129"/>
    <n v="643"/>
    <n v="136"/>
    <n v="1290"/>
    <n v="839"/>
    <n v="238"/>
    <s v="SustainabilityDrive"/>
    <n v="0.70387596899224802"/>
    <x v="2"/>
  </r>
  <r>
    <s v="P179"/>
    <x v="3"/>
    <n v="45488"/>
    <x v="3"/>
    <s v="Check out our latest carousel on facebook!"/>
    <n v="3796"/>
    <n v="667"/>
    <n v="395"/>
    <n v="64532"/>
    <n v="63550"/>
    <n v="292"/>
    <s v="ModelYCampaign"/>
    <n v="7.5280481001673588E-2"/>
    <x v="2"/>
  </r>
  <r>
    <s v="P180"/>
    <x v="1"/>
    <n v="45629"/>
    <x v="1"/>
    <s v="Check out our latest text on youtube!"/>
    <n v="3711"/>
    <n v="352"/>
    <n v="290"/>
    <n v="48243"/>
    <n v="47579"/>
    <n v="11"/>
    <s v="CybertruckLaunch"/>
    <n v="9.023070704558174E-2"/>
    <x v="2"/>
  </r>
  <r>
    <s v="P181"/>
    <x v="1"/>
    <n v="45737"/>
    <x v="4"/>
    <s v="Check out our latest image on youtube!"/>
    <n v="606"/>
    <n v="789"/>
    <n v="470"/>
    <n v="7878"/>
    <n v="7389"/>
    <n v="239"/>
    <s v="FSDUpdate"/>
    <n v="0.23673521198273673"/>
    <x v="4"/>
  </r>
  <r>
    <s v="P182"/>
    <x v="3"/>
    <n v="45504"/>
    <x v="4"/>
    <s v="Check out our latest image on facebook!"/>
    <n v="4689"/>
    <n v="134"/>
    <n v="403"/>
    <n v="51579"/>
    <n v="50924"/>
    <n v="173"/>
    <s v="SustainabilityDrive"/>
    <n v="0.10132030477519921"/>
    <x v="2"/>
  </r>
  <r>
    <s v="P183"/>
    <x v="2"/>
    <n v="45643"/>
    <x v="2"/>
    <s v="Check out our latest story on instagram!"/>
    <n v="360"/>
    <n v="590"/>
    <n v="393"/>
    <n v="4680"/>
    <n v="4322"/>
    <n v="208"/>
    <s v="ModelYCampaign"/>
    <n v="0.28696581196581195"/>
    <x v="0"/>
  </r>
  <r>
    <s v="P184"/>
    <x v="0"/>
    <n v="45501"/>
    <x v="4"/>
    <s v="Check out our latest image on twitter!"/>
    <n v="3215"/>
    <n v="960"/>
    <n v="202"/>
    <n v="32150"/>
    <n v="31404"/>
    <n v="251"/>
    <s v="CybertruckLaunch"/>
    <n v="0.13614307931570763"/>
    <x v="4"/>
  </r>
  <r>
    <s v="P185"/>
    <x v="2"/>
    <n v="45668"/>
    <x v="3"/>
    <s v="Check out our latest carousel on instagram!"/>
    <n v="4523"/>
    <n v="61"/>
    <n v="157"/>
    <n v="49753"/>
    <n v="49329"/>
    <n v="71"/>
    <s v="CybertruckLaunch"/>
    <n v="9.5290736237010829E-2"/>
    <x v="4"/>
  </r>
  <r>
    <s v="P186"/>
    <x v="3"/>
    <n v="45528"/>
    <x v="3"/>
    <s v="Check out our latest carousel on facebook!"/>
    <n v="4292"/>
    <n v="51"/>
    <n v="392"/>
    <n v="55796"/>
    <n v="54826"/>
    <n v="264"/>
    <s v="FSDUpdate"/>
    <n v="8.4862714173059003E-2"/>
    <x v="4"/>
  </r>
  <r>
    <s v="P187"/>
    <x v="0"/>
    <n v="45648"/>
    <x v="0"/>
    <s v="Check out our latest reel on twitter!"/>
    <n v="1644"/>
    <n v="546"/>
    <n v="150"/>
    <n v="27948"/>
    <n v="27184"/>
    <n v="300"/>
    <s v="FSDUpdate"/>
    <n v="8.3726921425504502E-2"/>
    <x v="4"/>
  </r>
  <r>
    <s v="P188"/>
    <x v="1"/>
    <n v="45449"/>
    <x v="0"/>
    <s v="Check out our latest reel on youtube!"/>
    <n v="2728"/>
    <n v="533"/>
    <n v="215"/>
    <n v="40920"/>
    <n v="40816"/>
    <n v="137"/>
    <s v="ModelYCampaign"/>
    <n v="8.4946236559139784E-2"/>
    <x v="0"/>
  </r>
  <r>
    <s v="P189"/>
    <x v="3"/>
    <n v="45740"/>
    <x v="0"/>
    <s v="Check out our latest reel on facebook!"/>
    <n v="3360"/>
    <n v="525"/>
    <n v="500"/>
    <n v="60480"/>
    <n v="59610"/>
    <n v="192"/>
    <s v="CybertruckLaunch"/>
    <n v="7.2503306878306875E-2"/>
    <x v="2"/>
  </r>
  <r>
    <s v="P190"/>
    <x v="1"/>
    <n v="45569"/>
    <x v="1"/>
    <s v="Check out our latest text on youtube!"/>
    <n v="1963"/>
    <n v="213"/>
    <n v="19"/>
    <n v="39260"/>
    <n v="38771"/>
    <n v="145"/>
    <s v="SustainabilityDrive"/>
    <n v="5.5909322465613857E-2"/>
    <x v="0"/>
  </r>
  <r>
    <s v="P191"/>
    <x v="1"/>
    <n v="45629"/>
    <x v="2"/>
    <s v="Check out our latest story on youtube!"/>
    <n v="4285"/>
    <n v="886"/>
    <n v="376"/>
    <n v="55705"/>
    <n v="55556"/>
    <n v="51"/>
    <s v="FSDUpdate"/>
    <n v="9.9578134817341346E-2"/>
    <x v="0"/>
  </r>
  <r>
    <s v="P192"/>
    <x v="2"/>
    <n v="45625"/>
    <x v="5"/>
    <s v="Check out our latest video on instagram!"/>
    <n v="1176"/>
    <n v="464"/>
    <n v="394"/>
    <n v="14112"/>
    <n v="13588"/>
    <n v="272"/>
    <s v="CybertruckLaunch"/>
    <n v="0.1441326530612245"/>
    <x v="4"/>
  </r>
  <r>
    <s v="P193"/>
    <x v="0"/>
    <n v="45546"/>
    <x v="4"/>
    <s v="Check out our latest image on twitter!"/>
    <n v="4858"/>
    <n v="317"/>
    <n v="129"/>
    <n v="53438"/>
    <n v="52687"/>
    <n v="223"/>
    <s v="FSDUpdate"/>
    <n v="9.9255211647142488E-2"/>
    <x v="4"/>
  </r>
  <r>
    <s v="P194"/>
    <x v="1"/>
    <n v="45567"/>
    <x v="2"/>
    <s v="Check out our latest story on youtube!"/>
    <n v="4350"/>
    <n v="771"/>
    <n v="7"/>
    <n v="60900"/>
    <n v="60592"/>
    <n v="195"/>
    <s v="CybertruckLaunch"/>
    <n v="8.4203612479474554E-2"/>
    <x v="4"/>
  </r>
  <r>
    <s v="P195"/>
    <x v="2"/>
    <n v="45519"/>
    <x v="3"/>
    <s v="Check out our latest carousel on instagram!"/>
    <n v="914"/>
    <n v="464"/>
    <n v="246"/>
    <n v="11882"/>
    <n v="11500"/>
    <n v="282"/>
    <s v="SustainabilityDrive"/>
    <n v="0.13667732704931829"/>
    <x v="0"/>
  </r>
  <r>
    <s v="P195"/>
    <x v="2"/>
    <n v="45519"/>
    <x v="3"/>
    <s v="Check out our latest carousel on instagram!"/>
    <n v="914"/>
    <n v="464"/>
    <n v="246"/>
    <n v="11882"/>
    <n v="11500"/>
    <n v="282"/>
    <s v="SustainabilityDrive"/>
    <n v="0.13667732704931829"/>
    <x v="2"/>
  </r>
  <r>
    <s v="P195"/>
    <x v="2"/>
    <n v="45519"/>
    <x v="3"/>
    <s v="Check out our latest carousel on instagram!"/>
    <n v="914"/>
    <n v="464"/>
    <n v="246"/>
    <n v="11882"/>
    <n v="11500"/>
    <n v="282"/>
    <s v="SustainabilityDrive"/>
    <n v="0.13667732704931829"/>
    <x v="1"/>
  </r>
  <r>
    <s v="P196"/>
    <x v="2"/>
    <n v="45645"/>
    <x v="1"/>
    <s v="Check out our latest text on instagram!"/>
    <n v="1813"/>
    <n v="623"/>
    <n v="72"/>
    <n v="19943"/>
    <n v="18959"/>
    <n v="85"/>
    <s v="FSDUpdate"/>
    <n v="0.12575841147269717"/>
    <x v="4"/>
  </r>
  <r>
    <s v="P197"/>
    <x v="0"/>
    <n v="45587"/>
    <x v="0"/>
    <s v="Check out our latest reel on twitter!"/>
    <n v="4782"/>
    <n v="721"/>
    <n v="82"/>
    <n v="86076"/>
    <n v="85339"/>
    <n v="19"/>
    <s v="CybertruckLaunch"/>
    <n v="6.4884520656164318E-2"/>
    <x v="4"/>
  </r>
  <r>
    <s v="P198"/>
    <x v="0"/>
    <n v="45549"/>
    <x v="4"/>
    <s v="Check out our latest image on twitter!"/>
    <n v="1048"/>
    <n v="374"/>
    <n v="450"/>
    <n v="9432"/>
    <n v="8882"/>
    <n v="158"/>
    <s v="FSDUpdate"/>
    <n v="0.19847328244274809"/>
    <x v="2"/>
  </r>
  <r>
    <s v="P199"/>
    <x v="1"/>
    <n v="45626"/>
    <x v="3"/>
    <s v="Check out our latest carousel on youtube!"/>
    <n v="2509"/>
    <n v="324"/>
    <n v="171"/>
    <n v="35126"/>
    <n v="34685"/>
    <n v="277"/>
    <s v="ModelYCampaign"/>
    <n v="8.5520696919660646E-2"/>
    <x v="2"/>
  </r>
  <r>
    <s v="P200"/>
    <x v="3"/>
    <n v="45754"/>
    <x v="0"/>
    <s v="Check out our latest reel on facebook!"/>
    <n v="3718"/>
    <n v="385"/>
    <n v="310"/>
    <n v="70642"/>
    <n v="69749"/>
    <n v="233"/>
    <s v="ModelYCampaign"/>
    <n v="6.246991874522239E-2"/>
    <x v="2"/>
  </r>
  <r>
    <s v="P201"/>
    <x v="0"/>
    <n v="45672"/>
    <x v="0"/>
    <s v="Check out our latest reel on twitter!"/>
    <n v="802"/>
    <n v="262"/>
    <n v="244"/>
    <n v="14436"/>
    <n v="14280"/>
    <n v="49"/>
    <s v="CybertruckLaunch"/>
    <n v="9.0606816292601824E-2"/>
    <x v="4"/>
  </r>
  <r>
    <s v="P202"/>
    <x v="3"/>
    <n v="45445"/>
    <x v="4"/>
    <s v="Check out our latest image on facebook!"/>
    <n v="1871"/>
    <n v="252"/>
    <n v="335"/>
    <n v="29936"/>
    <n v="29576"/>
    <n v="288"/>
    <s v="FSDUpdate"/>
    <n v="8.2108498129342594E-2"/>
    <x v="4"/>
  </r>
  <r>
    <s v="P203"/>
    <x v="2"/>
    <n v="45617"/>
    <x v="3"/>
    <s v="Check out our latest carousel on instagram!"/>
    <n v="3773"/>
    <n v="299"/>
    <n v="38"/>
    <n v="71687"/>
    <n v="71447"/>
    <n v="286"/>
    <s v="CybertruckLaunch"/>
    <n v="5.7332570758993957E-2"/>
    <x v="0"/>
  </r>
  <r>
    <s v="P204"/>
    <x v="2"/>
    <n v="45658"/>
    <x v="3"/>
    <s v="Check out our latest carousel on instagram!"/>
    <n v="2234"/>
    <n v="653"/>
    <n v="432"/>
    <n v="11170"/>
    <n v="10569"/>
    <n v="198"/>
    <s v="FSDUpdate"/>
    <n v="0.29713518352730528"/>
    <x v="0"/>
  </r>
  <r>
    <s v="P205"/>
    <x v="0"/>
    <n v="45771"/>
    <x v="5"/>
    <s v="Check out our latest video on twitter!"/>
    <n v="3820"/>
    <n v="697"/>
    <n v="268"/>
    <n v="45840"/>
    <n v="45631"/>
    <n v="171"/>
    <s v="SustainabilityDrive"/>
    <n v="0.1043848167539267"/>
    <x v="2"/>
  </r>
  <r>
    <s v="P205"/>
    <x v="0"/>
    <n v="45771"/>
    <x v="5"/>
    <s v="Check out our latest video on twitter!"/>
    <n v="3820"/>
    <n v="697"/>
    <n v="268"/>
    <n v="45840"/>
    <n v="45631"/>
    <n v="171"/>
    <s v="SustainabilityDrive"/>
    <n v="0.1043848167539267"/>
    <x v="5"/>
  </r>
  <r>
    <s v="P206"/>
    <x v="0"/>
    <n v="45467"/>
    <x v="1"/>
    <s v="Check out our latest text on twitter!"/>
    <n v="941"/>
    <n v="121"/>
    <n v="458"/>
    <n v="14115"/>
    <n v="13838"/>
    <n v="87"/>
    <s v="CybertruckLaunch"/>
    <n v="0.10768685795253277"/>
    <x v="4"/>
  </r>
  <r>
    <s v="P207"/>
    <x v="0"/>
    <n v="45655"/>
    <x v="3"/>
    <s v="Check out our latest carousel on twitter!"/>
    <n v="4274"/>
    <n v="340"/>
    <n v="281"/>
    <n v="34192"/>
    <n v="33446"/>
    <n v="129"/>
    <s v="FSDUpdate"/>
    <n v="0.14316214319138981"/>
    <x v="2"/>
  </r>
  <r>
    <s v="P207"/>
    <x v="0"/>
    <n v="45655"/>
    <x v="3"/>
    <s v="Check out our latest carousel on twitter!"/>
    <n v="4274"/>
    <n v="340"/>
    <n v="281"/>
    <n v="34192"/>
    <n v="33446"/>
    <n v="129"/>
    <s v="FSDUpdate"/>
    <n v="0.14316214319138981"/>
    <x v="5"/>
  </r>
  <r>
    <s v="P208"/>
    <x v="1"/>
    <n v="45467"/>
    <x v="5"/>
    <s v="Check out our latest video on youtube!"/>
    <n v="2949"/>
    <n v="476"/>
    <n v="403"/>
    <n v="44235"/>
    <n v="43705"/>
    <n v="135"/>
    <s v="ModelYCampaign"/>
    <n v="8.6537809426924378E-2"/>
    <x v="2"/>
  </r>
  <r>
    <s v="P209"/>
    <x v="0"/>
    <n v="45735"/>
    <x v="5"/>
    <s v="Check out our latest video on twitter!"/>
    <n v="3160"/>
    <n v="204"/>
    <n v="297"/>
    <n v="44240"/>
    <n v="43666"/>
    <n v="49"/>
    <s v="SustainabilityDrive"/>
    <n v="8.2753164556962022E-2"/>
    <x v="0"/>
  </r>
  <r>
    <s v="P209"/>
    <x v="0"/>
    <n v="45735"/>
    <x v="5"/>
    <s v="Check out our latest video on twitter!"/>
    <n v="3160"/>
    <n v="204"/>
    <n v="297"/>
    <n v="44240"/>
    <n v="43666"/>
    <n v="49"/>
    <s v="SustainabilityDrive"/>
    <n v="8.2753164556962022E-2"/>
    <x v="1"/>
  </r>
  <r>
    <s v="P210"/>
    <x v="1"/>
    <n v="45707"/>
    <x v="4"/>
    <s v="Check out our latest image on youtube!"/>
    <n v="257"/>
    <n v="966"/>
    <n v="398"/>
    <n v="3341"/>
    <n v="2753"/>
    <n v="287"/>
    <s v="CybertruckLaunch"/>
    <n v="0.48518407662376534"/>
    <x v="0"/>
  </r>
  <r>
    <s v="P211"/>
    <x v="0"/>
    <n v="45491"/>
    <x v="3"/>
    <s v="Check out our latest carousel on twitter!"/>
    <n v="2120"/>
    <n v="38"/>
    <n v="212"/>
    <n v="12720"/>
    <n v="12564"/>
    <n v="21"/>
    <s v="SustainabilityDrive"/>
    <n v="0.18632075471698112"/>
    <x v="0"/>
  </r>
  <r>
    <s v="P212"/>
    <x v="1"/>
    <n v="45719"/>
    <x v="5"/>
    <s v="Check out our latest video on youtube!"/>
    <n v="3874"/>
    <n v="884"/>
    <n v="19"/>
    <n v="38740"/>
    <n v="38552"/>
    <n v="219"/>
    <s v="ModelYCampaign"/>
    <n v="0.123309241094476"/>
    <x v="2"/>
  </r>
  <r>
    <s v="P213"/>
    <x v="3"/>
    <n v="45778"/>
    <x v="3"/>
    <s v="Check out our latest carousel on facebook!"/>
    <n v="2696"/>
    <n v="628"/>
    <n v="443"/>
    <n v="45832"/>
    <n v="45632"/>
    <n v="248"/>
    <s v="SustainabilityDrive"/>
    <n v="8.21914819340199E-2"/>
    <x v="4"/>
  </r>
  <r>
    <s v="P214"/>
    <x v="2"/>
    <n v="45649"/>
    <x v="4"/>
    <s v="Check out our latest image on instagram!"/>
    <n v="521"/>
    <n v="746"/>
    <n v="315"/>
    <n v="4168"/>
    <n v="3399"/>
    <n v="282"/>
    <s v="ModelYCampaign"/>
    <n v="0.37955854126679461"/>
    <x v="0"/>
  </r>
  <r>
    <s v="P215"/>
    <x v="3"/>
    <n v="45783"/>
    <x v="4"/>
    <s v="Check out our latest image on facebook!"/>
    <n v="4872"/>
    <n v="925"/>
    <n v="176"/>
    <n v="82824"/>
    <n v="82543"/>
    <n v="89"/>
    <s v="ModelYCampaign"/>
    <n v="7.2116777745580993E-2"/>
    <x v="4"/>
  </r>
  <r>
    <s v="P216"/>
    <x v="1"/>
    <n v="45502"/>
    <x v="2"/>
    <s v="Check out our latest story on youtube!"/>
    <n v="1509"/>
    <n v="88"/>
    <n v="163"/>
    <n v="30180"/>
    <n v="29689"/>
    <n v="119"/>
    <s v="ModelYCampaign"/>
    <n v="5.8316766070245198E-2"/>
    <x v="4"/>
  </r>
  <r>
    <s v="P217"/>
    <x v="3"/>
    <n v="45629"/>
    <x v="4"/>
    <s v="Check out our latest image on facebook!"/>
    <n v="4606"/>
    <n v="931"/>
    <n v="230"/>
    <n v="92120"/>
    <n v="91440"/>
    <n v="56"/>
    <s v="ModelYCampaign"/>
    <n v="6.2603126356925748E-2"/>
    <x v="2"/>
  </r>
  <r>
    <s v="P218"/>
    <x v="3"/>
    <n v="45454"/>
    <x v="3"/>
    <s v="Check out our latest carousel on facebook!"/>
    <n v="1869"/>
    <n v="453"/>
    <n v="490"/>
    <n v="14952"/>
    <n v="14309"/>
    <n v="275"/>
    <s v="SustainabilityDrive"/>
    <n v="0.18806848582129482"/>
    <x v="2"/>
  </r>
  <r>
    <s v="P219"/>
    <x v="0"/>
    <n v="45685"/>
    <x v="0"/>
    <s v="Check out our latest reel on twitter!"/>
    <n v="1188"/>
    <n v="470"/>
    <n v="174"/>
    <n v="7128"/>
    <n v="6145"/>
    <n v="270"/>
    <s v="SustainabilityDrive"/>
    <n v="0.25701459034792368"/>
    <x v="2"/>
  </r>
  <r>
    <s v="P220"/>
    <x v="2"/>
    <n v="45445"/>
    <x v="2"/>
    <s v="Check out our latest story on instagram!"/>
    <n v="84"/>
    <n v="897"/>
    <n v="85"/>
    <n v="588"/>
    <n v="8"/>
    <n v="12"/>
    <s v="CybertruckLaunch"/>
    <n v="1.8129251700680271"/>
    <x v="4"/>
  </r>
  <r>
    <s v="P221"/>
    <x v="3"/>
    <n v="45739"/>
    <x v="5"/>
    <s v="Check out our latest video on facebook!"/>
    <n v="4453"/>
    <n v="111"/>
    <n v="420"/>
    <n v="31171"/>
    <n v="30565"/>
    <n v="23"/>
    <s v="ModelYCampaign"/>
    <n v="0.15989220750056141"/>
    <x v="2"/>
  </r>
  <r>
    <s v="P222"/>
    <x v="3"/>
    <n v="45573"/>
    <x v="0"/>
    <s v="Check out our latest reel on facebook!"/>
    <n v="1814"/>
    <n v="653"/>
    <n v="363"/>
    <n v="25396"/>
    <n v="25286"/>
    <n v="39"/>
    <s v="CybertruckLaunch"/>
    <n v="0.11143487163332809"/>
    <x v="0"/>
  </r>
  <r>
    <s v="P222"/>
    <x v="3"/>
    <n v="45573"/>
    <x v="0"/>
    <s v="Check out our latest reel on facebook!"/>
    <n v="1814"/>
    <n v="653"/>
    <n v="363"/>
    <n v="25396"/>
    <n v="25286"/>
    <n v="39"/>
    <s v="CybertruckLaunch"/>
    <n v="0.11143487163332809"/>
    <x v="5"/>
  </r>
  <r>
    <s v="P223"/>
    <x v="0"/>
    <n v="45608"/>
    <x v="4"/>
    <s v="Check out our latest image on twitter!"/>
    <n v="3338"/>
    <n v="277"/>
    <n v="118"/>
    <n v="60084"/>
    <n v="59842"/>
    <n v="252"/>
    <s v="ModelYCampaign"/>
    <n v="6.2129685107516146E-2"/>
    <x v="2"/>
  </r>
  <r>
    <s v="P224"/>
    <x v="3"/>
    <n v="45790"/>
    <x v="4"/>
    <s v="Check out our latest image on facebook!"/>
    <n v="602"/>
    <n v="594"/>
    <n v="156"/>
    <n v="4214"/>
    <n v="3363"/>
    <n v="164"/>
    <s v="FSDUpdate"/>
    <n v="0.32083531086853345"/>
    <x v="2"/>
  </r>
  <r>
    <s v="P225"/>
    <x v="0"/>
    <n v="45463"/>
    <x v="3"/>
    <s v="Check out our latest carousel on twitter!"/>
    <n v="4672"/>
    <n v="325"/>
    <n v="32"/>
    <n v="88768"/>
    <n v="87833"/>
    <n v="118"/>
    <s v="CybertruckLaunch"/>
    <n v="5.6653298485940883E-2"/>
    <x v="4"/>
  </r>
  <r>
    <s v="P226"/>
    <x v="2"/>
    <n v="45511"/>
    <x v="3"/>
    <s v="Check out our latest carousel on instagram!"/>
    <n v="1741"/>
    <n v="164"/>
    <n v="318"/>
    <n v="8705"/>
    <n v="8272"/>
    <n v="121"/>
    <s v="ModelYCampaign"/>
    <n v="0.25537047673750718"/>
    <x v="2"/>
  </r>
  <r>
    <s v="P227"/>
    <x v="2"/>
    <n v="45455"/>
    <x v="1"/>
    <s v="Check out our latest text on instagram!"/>
    <n v="246"/>
    <n v="149"/>
    <n v="130"/>
    <n v="4674"/>
    <n v="4390"/>
    <n v="217"/>
    <s v="FSDUpdate"/>
    <n v="0.11232349165596919"/>
    <x v="0"/>
  </r>
  <r>
    <s v="P228"/>
    <x v="2"/>
    <n v="45474"/>
    <x v="2"/>
    <s v="Check out our latest story on instagram!"/>
    <n v="4808"/>
    <n v="772"/>
    <n v="320"/>
    <n v="72120"/>
    <n v="71696"/>
    <n v="195"/>
    <s v="CybertruckLaunch"/>
    <n v="8.1808097615085965E-2"/>
    <x v="4"/>
  </r>
  <r>
    <s v="P229"/>
    <x v="2"/>
    <n v="45476"/>
    <x v="3"/>
    <s v="Check out our latest carousel on instagram!"/>
    <n v="4799"/>
    <n v="694"/>
    <n v="289"/>
    <n v="43191"/>
    <n v="42228"/>
    <n v="118"/>
    <s v="ModelYCampaign"/>
    <n v="0.13387048227640017"/>
    <x v="2"/>
  </r>
  <r>
    <s v="P230"/>
    <x v="3"/>
    <n v="45488"/>
    <x v="0"/>
    <s v="Check out our latest reel on facebook!"/>
    <n v="3663"/>
    <n v="17"/>
    <n v="295"/>
    <n v="51282"/>
    <n v="50567"/>
    <n v="84"/>
    <s v="FSDUpdate"/>
    <n v="7.7512577512577507E-2"/>
    <x v="4"/>
  </r>
  <r>
    <s v="P231"/>
    <x v="2"/>
    <n v="45778"/>
    <x v="1"/>
    <s v="Check out our latest text on instagram!"/>
    <n v="1430"/>
    <n v="376"/>
    <n v="33"/>
    <n v="21450"/>
    <n v="20509"/>
    <n v="251"/>
    <s v="CybertruckLaunch"/>
    <n v="8.5734265734265735E-2"/>
    <x v="0"/>
  </r>
  <r>
    <s v="P232"/>
    <x v="0"/>
    <n v="45776"/>
    <x v="2"/>
    <s v="Check out our latest story on twitter!"/>
    <n v="249"/>
    <n v="592"/>
    <n v="230"/>
    <n v="1494"/>
    <n v="1044"/>
    <n v="201"/>
    <s v="SustainabilityDrive"/>
    <n v="0.7168674698795181"/>
    <x v="4"/>
  </r>
  <r>
    <s v="P233"/>
    <x v="3"/>
    <n v="45724"/>
    <x v="4"/>
    <s v="Check out our latest image on facebook!"/>
    <n v="2382"/>
    <n v="265"/>
    <n v="134"/>
    <n v="38112"/>
    <n v="37437"/>
    <n v="249"/>
    <s v="SustainabilityDrive"/>
    <n v="7.2969143576826198E-2"/>
    <x v="0"/>
  </r>
  <r>
    <s v="P234"/>
    <x v="3"/>
    <n v="45444"/>
    <x v="1"/>
    <s v="Check out our latest text on facebook!"/>
    <n v="1272"/>
    <n v="465"/>
    <n v="99"/>
    <n v="24168"/>
    <n v="23719"/>
    <n v="42"/>
    <s v="ModelYCampaign"/>
    <n v="7.5968222442899705E-2"/>
    <x v="2"/>
  </r>
  <r>
    <s v="P235"/>
    <x v="3"/>
    <n v="45648"/>
    <x v="4"/>
    <s v="Check out our latest image on facebook!"/>
    <n v="3196"/>
    <n v="941"/>
    <n v="376"/>
    <n v="35156"/>
    <n v="34444"/>
    <n v="241"/>
    <s v="FSDUpdate"/>
    <n v="0.1283706906360223"/>
    <x v="2"/>
  </r>
  <r>
    <s v="P236"/>
    <x v="3"/>
    <n v="45523"/>
    <x v="1"/>
    <s v="Check out our latest text on facebook!"/>
    <n v="1257"/>
    <n v="19"/>
    <n v="351"/>
    <n v="12570"/>
    <n v="11660"/>
    <n v="194"/>
    <s v="ModelYCampaign"/>
    <n v="0.12943516308671441"/>
    <x v="0"/>
  </r>
  <r>
    <s v="P236"/>
    <x v="3"/>
    <n v="45523"/>
    <x v="1"/>
    <s v="Check out our latest text on facebook!"/>
    <n v="1257"/>
    <n v="19"/>
    <n v="351"/>
    <n v="12570"/>
    <n v="11660"/>
    <n v="194"/>
    <s v="ModelYCampaign"/>
    <n v="0.12943516308671441"/>
    <x v="1"/>
  </r>
  <r>
    <s v="P236"/>
    <x v="3"/>
    <n v="45523"/>
    <x v="1"/>
    <s v="Check out our latest text on facebook!"/>
    <n v="1257"/>
    <n v="19"/>
    <n v="351"/>
    <n v="12570"/>
    <n v="11660"/>
    <n v="194"/>
    <s v="ModelYCampaign"/>
    <n v="0.12943516308671441"/>
    <x v="4"/>
  </r>
  <r>
    <s v="P237"/>
    <x v="2"/>
    <n v="45587"/>
    <x v="2"/>
    <s v="Check out our latest story on instagram!"/>
    <n v="3770"/>
    <n v="917"/>
    <n v="129"/>
    <n v="71630"/>
    <n v="71322"/>
    <n v="76"/>
    <s v="CybertruckLaunch"/>
    <n v="6.7234398994834563E-2"/>
    <x v="0"/>
  </r>
  <r>
    <s v="P238"/>
    <x v="0"/>
    <n v="45489"/>
    <x v="1"/>
    <s v="Check out our latest text on twitter!"/>
    <n v="4725"/>
    <n v="400"/>
    <n v="362"/>
    <n v="75600"/>
    <n v="74927"/>
    <n v="43"/>
    <s v="SustainabilityDrive"/>
    <n v="7.2579365079365077E-2"/>
    <x v="0"/>
  </r>
  <r>
    <s v="P239"/>
    <x v="1"/>
    <n v="45712"/>
    <x v="1"/>
    <s v="Check out our latest text on youtube!"/>
    <n v="4188"/>
    <n v="942"/>
    <n v="118"/>
    <n v="20940"/>
    <n v="20471"/>
    <n v="102"/>
    <s v="SustainabilityDrive"/>
    <n v="0.25062082139446035"/>
    <x v="0"/>
  </r>
  <r>
    <s v="P240"/>
    <x v="0"/>
    <n v="45530"/>
    <x v="3"/>
    <s v="Check out our latest carousel on twitter!"/>
    <n v="929"/>
    <n v="192"/>
    <n v="322"/>
    <n v="16722"/>
    <n v="15996"/>
    <n v="145"/>
    <s v="FSDUpdate"/>
    <n v="8.6293505561535699E-2"/>
    <x v="4"/>
  </r>
  <r>
    <s v="P240"/>
    <x v="0"/>
    <n v="45530"/>
    <x v="3"/>
    <s v="Check out our latest carousel on twitter!"/>
    <n v="929"/>
    <n v="192"/>
    <n v="322"/>
    <n v="16722"/>
    <n v="15996"/>
    <n v="145"/>
    <s v="FSDUpdate"/>
    <n v="8.6293505561535699E-2"/>
    <x v="2"/>
  </r>
  <r>
    <s v="P240"/>
    <x v="0"/>
    <n v="45530"/>
    <x v="3"/>
    <s v="Check out our latest carousel on twitter!"/>
    <n v="929"/>
    <n v="192"/>
    <n v="322"/>
    <n v="16722"/>
    <n v="15996"/>
    <n v="145"/>
    <s v="FSDUpdate"/>
    <n v="8.6293505561535699E-2"/>
    <x v="1"/>
  </r>
  <r>
    <s v="P241"/>
    <x v="3"/>
    <n v="45675"/>
    <x v="2"/>
    <s v="Check out our latest story on facebook!"/>
    <n v="4321"/>
    <n v="874"/>
    <n v="172"/>
    <n v="30247"/>
    <n v="29254"/>
    <n v="122"/>
    <s v="SustainabilityDrive"/>
    <n v="0.17743908486792079"/>
    <x v="2"/>
  </r>
  <r>
    <s v="P242"/>
    <x v="3"/>
    <n v="45480"/>
    <x v="0"/>
    <s v="Check out our latest reel on facebook!"/>
    <n v="4767"/>
    <n v="190"/>
    <n v="340"/>
    <n v="28602"/>
    <n v="28044"/>
    <n v="210"/>
    <s v="FSDUpdate"/>
    <n v="0.18519683938186141"/>
    <x v="4"/>
  </r>
  <r>
    <s v="P243"/>
    <x v="0"/>
    <n v="45722"/>
    <x v="4"/>
    <s v="Check out our latest image on twitter!"/>
    <n v="3592"/>
    <n v="911"/>
    <n v="375"/>
    <n v="50288"/>
    <n v="49490"/>
    <n v="32"/>
    <s v="SustainabilityDrive"/>
    <n v="9.7001272669424113E-2"/>
    <x v="0"/>
  </r>
  <r>
    <s v="P244"/>
    <x v="1"/>
    <n v="45590"/>
    <x v="5"/>
    <s v="Check out our latest video on youtube!"/>
    <n v="4661"/>
    <n v="935"/>
    <n v="433"/>
    <n v="23305"/>
    <n v="22583"/>
    <n v="63"/>
    <s v="FSDUpdate"/>
    <n v="0.25869984981763572"/>
    <x v="0"/>
  </r>
  <r>
    <s v="P245"/>
    <x v="3"/>
    <n v="45669"/>
    <x v="0"/>
    <s v="Check out our latest reel on facebook!"/>
    <n v="4134"/>
    <n v="824"/>
    <n v="99"/>
    <n v="41340"/>
    <n v="41050"/>
    <n v="177"/>
    <s v="CybertruckLaunch"/>
    <n v="0.12232704402515723"/>
    <x v="4"/>
  </r>
  <r>
    <s v="P246"/>
    <x v="3"/>
    <n v="45576"/>
    <x v="4"/>
    <s v="Check out our latest image on facebook!"/>
    <n v="400"/>
    <n v="680"/>
    <n v="434"/>
    <n v="6400"/>
    <n v="5472"/>
    <n v="160"/>
    <s v="ModelYCampaign"/>
    <n v="0.23656250000000001"/>
    <x v="0"/>
  </r>
  <r>
    <s v="P247"/>
    <x v="3"/>
    <n v="45531"/>
    <x v="0"/>
    <s v="Check out our latest reel on facebook!"/>
    <n v="3960"/>
    <n v="266"/>
    <n v="8"/>
    <n v="35640"/>
    <n v="34850"/>
    <n v="208"/>
    <s v="CybertruckLaunch"/>
    <n v="0.11879910213243547"/>
    <x v="0"/>
  </r>
  <r>
    <s v="P247"/>
    <x v="3"/>
    <n v="45531"/>
    <x v="0"/>
    <s v="Check out our latest reel on facebook!"/>
    <n v="3960"/>
    <n v="266"/>
    <n v="8"/>
    <n v="35640"/>
    <n v="34850"/>
    <n v="208"/>
    <s v="CybertruckLaunch"/>
    <n v="0.11879910213243547"/>
    <x v="4"/>
  </r>
  <r>
    <s v="P247"/>
    <x v="3"/>
    <n v="45531"/>
    <x v="0"/>
    <s v="Check out our latest reel on facebook!"/>
    <n v="3960"/>
    <n v="266"/>
    <n v="8"/>
    <n v="35640"/>
    <n v="34850"/>
    <n v="208"/>
    <s v="CybertruckLaunch"/>
    <n v="0.11879910213243547"/>
    <x v="3"/>
  </r>
  <r>
    <s v="P248"/>
    <x v="3"/>
    <n v="45690"/>
    <x v="2"/>
    <s v="Check out our latest story on facebook!"/>
    <n v="886"/>
    <n v="126"/>
    <n v="153"/>
    <n v="4430"/>
    <n v="4037"/>
    <n v="212"/>
    <s v="CybertruckLaunch"/>
    <n v="0.26297968397291194"/>
    <x v="4"/>
  </r>
  <r>
    <s v="P249"/>
    <x v="0"/>
    <n v="45491"/>
    <x v="4"/>
    <s v="Check out our latest image on twitter!"/>
    <n v="827"/>
    <n v="77"/>
    <n v="402"/>
    <n v="14886"/>
    <n v="14129"/>
    <n v="254"/>
    <s v="ModelYCampaign"/>
    <n v="8.7733440816874911E-2"/>
    <x v="4"/>
  </r>
  <r>
    <s v="P250"/>
    <x v="3"/>
    <n v="45465"/>
    <x v="0"/>
    <s v="Check out our latest reel on facebook!"/>
    <n v="3813"/>
    <n v="935"/>
    <n v="274"/>
    <n v="68634"/>
    <n v="68488"/>
    <n v="251"/>
    <s v="SustainabilityDrive"/>
    <n v="7.3170731707317069E-2"/>
    <x v="0"/>
  </r>
  <r>
    <s v="P251"/>
    <x v="2"/>
    <n v="45743"/>
    <x v="3"/>
    <s v="Check out our latest carousel on instagram!"/>
    <n v="1377"/>
    <n v="796"/>
    <n v="387"/>
    <n v="22032"/>
    <n v="21869"/>
    <n v="189"/>
    <s v="SustainabilityDrive"/>
    <n v="0.11619462599854757"/>
    <x v="0"/>
  </r>
  <r>
    <s v="P252"/>
    <x v="3"/>
    <n v="45775"/>
    <x v="3"/>
    <s v="Check out our latest carousel on facebook!"/>
    <n v="2089"/>
    <n v="476"/>
    <n v="69"/>
    <n v="16712"/>
    <n v="16309"/>
    <n v="64"/>
    <s v="FSDUpdate"/>
    <n v="0.15761129727142173"/>
    <x v="0"/>
  </r>
  <r>
    <s v="P253"/>
    <x v="0"/>
    <n v="45507"/>
    <x v="0"/>
    <s v="Check out our latest reel on twitter!"/>
    <n v="3791"/>
    <n v="593"/>
    <n v="228"/>
    <n v="53074"/>
    <n v="52613"/>
    <n v="205"/>
    <s v="CybertruckLaunch"/>
    <n v="8.6897539284772202E-2"/>
    <x v="4"/>
  </r>
  <r>
    <s v="P254"/>
    <x v="0"/>
    <n v="45671"/>
    <x v="4"/>
    <s v="Check out our latest image on twitter!"/>
    <n v="2692"/>
    <n v="115"/>
    <n v="64"/>
    <n v="21536"/>
    <n v="21120"/>
    <n v="224"/>
    <s v="ModelYCampaign"/>
    <n v="0.13331166419019316"/>
    <x v="0"/>
  </r>
  <r>
    <s v="P255"/>
    <x v="3"/>
    <n v="45750"/>
    <x v="2"/>
    <s v="Check out our latest story on facebook!"/>
    <n v="3767"/>
    <n v="514"/>
    <n v="238"/>
    <n v="37670"/>
    <n v="36807"/>
    <n v="226"/>
    <s v="SustainabilityDrive"/>
    <n v="0.11996283514733209"/>
    <x v="0"/>
  </r>
  <r>
    <s v="P256"/>
    <x v="1"/>
    <n v="45553"/>
    <x v="3"/>
    <s v="Check out our latest carousel on youtube!"/>
    <n v="2143"/>
    <n v="12"/>
    <n v="204"/>
    <n v="40717"/>
    <n v="40125"/>
    <n v="248"/>
    <s v="ModelYCampaign"/>
    <n v="5.7936488444630008E-2"/>
    <x v="4"/>
  </r>
  <r>
    <s v="P257"/>
    <x v="3"/>
    <n v="45753"/>
    <x v="4"/>
    <s v="Check out our latest image on facebook!"/>
    <n v="3090"/>
    <n v="697"/>
    <n v="164"/>
    <n v="49440"/>
    <n v="48524"/>
    <n v="25"/>
    <s v="ModelYCampaign"/>
    <n v="7.9915048543689318E-2"/>
    <x v="4"/>
  </r>
  <r>
    <s v="P257"/>
    <x v="3"/>
    <n v="45753"/>
    <x v="4"/>
    <s v="Check out our latest image on facebook!"/>
    <n v="3090"/>
    <n v="697"/>
    <n v="164"/>
    <n v="49440"/>
    <n v="48524"/>
    <n v="25"/>
    <s v="ModelYCampaign"/>
    <n v="7.9915048543689318E-2"/>
    <x v="4"/>
  </r>
  <r>
    <s v="P257"/>
    <x v="3"/>
    <n v="45753"/>
    <x v="4"/>
    <s v="Check out our latest image on facebook!"/>
    <n v="3090"/>
    <n v="697"/>
    <n v="164"/>
    <n v="49440"/>
    <n v="48524"/>
    <n v="25"/>
    <s v="ModelYCampaign"/>
    <n v="7.9915048543689318E-2"/>
    <x v="3"/>
  </r>
  <r>
    <s v="P258"/>
    <x v="2"/>
    <n v="45509"/>
    <x v="2"/>
    <s v="Check out our latest story on instagram!"/>
    <n v="3601"/>
    <n v="695"/>
    <n v="75"/>
    <n v="21606"/>
    <n v="21454"/>
    <n v="172"/>
    <s v="ModelYCampaign"/>
    <n v="0.2023049153013052"/>
    <x v="4"/>
  </r>
  <r>
    <s v="P259"/>
    <x v="3"/>
    <n v="45698"/>
    <x v="1"/>
    <s v="Check out our latest text on facebook!"/>
    <n v="562"/>
    <n v="158"/>
    <n v="149"/>
    <n v="3372"/>
    <n v="2940"/>
    <n v="93"/>
    <s v="CybertruckLaunch"/>
    <n v="0.25771055753262156"/>
    <x v="2"/>
  </r>
  <r>
    <s v="P260"/>
    <x v="2"/>
    <n v="45700"/>
    <x v="2"/>
    <s v="Check out our latest story on instagram!"/>
    <n v="4332"/>
    <n v="771"/>
    <n v="219"/>
    <n v="60648"/>
    <n v="60397"/>
    <n v="10"/>
    <s v="FSDUpdate"/>
    <n v="8.7752275425405618E-2"/>
    <x v="2"/>
  </r>
  <r>
    <s v="P260"/>
    <x v="2"/>
    <n v="45700"/>
    <x v="2"/>
    <s v="Check out our latest story on instagram!"/>
    <n v="4332"/>
    <n v="771"/>
    <n v="219"/>
    <n v="60648"/>
    <n v="60397"/>
    <n v="10"/>
    <s v="FSDUpdate"/>
    <n v="8.7752275425405618E-2"/>
    <x v="4"/>
  </r>
  <r>
    <s v="P260"/>
    <x v="2"/>
    <n v="45700"/>
    <x v="2"/>
    <s v="Check out our latest story on instagram!"/>
    <n v="4332"/>
    <n v="771"/>
    <n v="219"/>
    <n v="60648"/>
    <n v="60397"/>
    <n v="10"/>
    <s v="FSDUpdate"/>
    <n v="8.7752275425405618E-2"/>
    <x v="3"/>
  </r>
  <r>
    <s v="P261"/>
    <x v="2"/>
    <n v="45592"/>
    <x v="4"/>
    <s v="Check out our latest image on instagram!"/>
    <n v="4853"/>
    <n v="837"/>
    <n v="340"/>
    <n v="72795"/>
    <n v="72237"/>
    <n v="170"/>
    <s v="CybertruckLaunch"/>
    <n v="8.2835359571399134E-2"/>
    <x v="4"/>
  </r>
  <r>
    <s v="P262"/>
    <x v="1"/>
    <n v="45675"/>
    <x v="4"/>
    <s v="Check out our latest image on youtube!"/>
    <n v="1206"/>
    <n v="238"/>
    <n v="36"/>
    <n v="9648"/>
    <n v="9417"/>
    <n v="237"/>
    <s v="ModelYCampaign"/>
    <n v="0.15339966832504145"/>
    <x v="2"/>
  </r>
  <r>
    <s v="P263"/>
    <x v="2"/>
    <n v="45524"/>
    <x v="0"/>
    <s v="Check out our latest reel on instagram!"/>
    <n v="2603"/>
    <n v="690"/>
    <n v="205"/>
    <n v="13015"/>
    <n v="12130"/>
    <n v="20"/>
    <s v="ModelYCampaign"/>
    <n v="0.26876680752977333"/>
    <x v="0"/>
  </r>
  <r>
    <s v="P264"/>
    <x v="0"/>
    <n v="45687"/>
    <x v="4"/>
    <s v="Check out our latest image on twitter!"/>
    <n v="59"/>
    <n v="163"/>
    <n v="93"/>
    <n v="590"/>
    <n v="475"/>
    <n v="293"/>
    <s v="ModelYCampaign"/>
    <n v="0.53389830508474578"/>
    <x v="2"/>
  </r>
  <r>
    <s v="P265"/>
    <x v="0"/>
    <n v="45708"/>
    <x v="3"/>
    <s v="Check out our latest carousel on twitter!"/>
    <n v="1877"/>
    <n v="745"/>
    <n v="225"/>
    <n v="11262"/>
    <n v="10967"/>
    <n v="41"/>
    <s v="SustainabilityDrive"/>
    <n v="0.25279701651571657"/>
    <x v="4"/>
  </r>
  <r>
    <s v="P266"/>
    <x v="3"/>
    <n v="45621"/>
    <x v="2"/>
    <s v="Check out our latest story on facebook!"/>
    <n v="4182"/>
    <n v="640"/>
    <n v="240"/>
    <n v="50184"/>
    <n v="49351"/>
    <n v="10"/>
    <s v="FSDUpdate"/>
    <n v="0.10086880280567512"/>
    <x v="2"/>
  </r>
  <r>
    <s v="P267"/>
    <x v="0"/>
    <n v="45569"/>
    <x v="0"/>
    <s v="Check out our latest reel on twitter!"/>
    <n v="4187"/>
    <n v="66"/>
    <n v="31"/>
    <n v="66992"/>
    <n v="66614"/>
    <n v="62"/>
    <s v="SustainabilityDrive"/>
    <n v="6.3947934081681396E-2"/>
    <x v="0"/>
  </r>
  <r>
    <s v="P268"/>
    <x v="2"/>
    <n v="45760"/>
    <x v="0"/>
    <s v="Check out our latest reel on instagram!"/>
    <n v="4579"/>
    <n v="125"/>
    <n v="300"/>
    <n v="59527"/>
    <n v="59400"/>
    <n v="269"/>
    <s v="CybertruckLaunch"/>
    <n v="8.4062694239588759E-2"/>
    <x v="4"/>
  </r>
  <r>
    <s v="P269"/>
    <x v="2"/>
    <n v="45601"/>
    <x v="5"/>
    <s v="Check out our latest video on instagram!"/>
    <n v="4561"/>
    <n v="51"/>
    <n v="441"/>
    <n v="22805"/>
    <n v="21890"/>
    <n v="45"/>
    <s v="ModelYCampaign"/>
    <n v="0.22157421618066214"/>
    <x v="2"/>
  </r>
  <r>
    <s v="P270"/>
    <x v="1"/>
    <n v="45672"/>
    <x v="0"/>
    <s v="Check out our latest reel on youtube!"/>
    <n v="3774"/>
    <n v="239"/>
    <n v="39"/>
    <n v="60384"/>
    <n v="59490"/>
    <n v="241"/>
    <s v="FSDUpdate"/>
    <n v="6.7103868574456813E-2"/>
    <x v="2"/>
  </r>
  <r>
    <s v="P271"/>
    <x v="2"/>
    <n v="45582"/>
    <x v="5"/>
    <s v="Check out our latest video on instagram!"/>
    <n v="3575"/>
    <n v="749"/>
    <n v="111"/>
    <n v="21450"/>
    <n v="20785"/>
    <n v="195"/>
    <s v="ModelYCampaign"/>
    <n v="0.20675990675990677"/>
    <x v="4"/>
  </r>
  <r>
    <s v="P272"/>
    <x v="2"/>
    <n v="45743"/>
    <x v="1"/>
    <s v="Check out our latest text on instagram!"/>
    <n v="4941"/>
    <n v="414"/>
    <n v="266"/>
    <n v="39528"/>
    <n v="39154"/>
    <n v="217"/>
    <s v="FSDUpdate"/>
    <n v="0.14220299534507186"/>
    <x v="2"/>
  </r>
  <r>
    <s v="P273"/>
    <x v="1"/>
    <n v="45577"/>
    <x v="2"/>
    <s v="Check out our latest story on youtube!"/>
    <n v="3641"/>
    <n v="226"/>
    <n v="46"/>
    <n v="40051"/>
    <n v="39319"/>
    <n v="296"/>
    <s v="SustainabilityDrive"/>
    <n v="9.7700431949264685E-2"/>
    <x v="4"/>
  </r>
  <r>
    <s v="P274"/>
    <x v="0"/>
    <n v="45658"/>
    <x v="3"/>
    <s v="Check out our latest carousel on twitter!"/>
    <n v="3535"/>
    <n v="494"/>
    <n v="152"/>
    <n v="53025"/>
    <n v="52791"/>
    <n v="44"/>
    <s v="SustainabilityDrive"/>
    <n v="7.8849599245638849E-2"/>
    <x v="2"/>
  </r>
  <r>
    <s v="P275"/>
    <x v="3"/>
    <n v="45509"/>
    <x v="0"/>
    <s v="Check out our latest reel on facebook!"/>
    <n v="1741"/>
    <n v="831"/>
    <n v="345"/>
    <n v="17410"/>
    <n v="16844"/>
    <n v="58"/>
    <s v="FSDUpdate"/>
    <n v="0.16754738655944859"/>
    <x v="4"/>
  </r>
  <r>
    <s v="P276"/>
    <x v="0"/>
    <n v="45450"/>
    <x v="3"/>
    <s v="Check out our latest carousel on twitter!"/>
    <n v="1556"/>
    <n v="195"/>
    <n v="131"/>
    <n v="9336"/>
    <n v="8875"/>
    <n v="137"/>
    <s v="ModelYCampaign"/>
    <n v="0.2015852613538989"/>
    <x v="2"/>
  </r>
  <r>
    <s v="P277"/>
    <x v="3"/>
    <n v="45753"/>
    <x v="4"/>
    <s v="Check out our latest image on facebook!"/>
    <n v="4236"/>
    <n v="711"/>
    <n v="298"/>
    <n v="21180"/>
    <n v="20516"/>
    <n v="238"/>
    <s v="CybertruckLaunch"/>
    <n v="0.24763928234183191"/>
    <x v="0"/>
  </r>
  <r>
    <s v="P278"/>
    <x v="0"/>
    <n v="45622"/>
    <x v="1"/>
    <s v="Check out our latest text on twitter!"/>
    <n v="4516"/>
    <n v="836"/>
    <n v="169"/>
    <n v="49676"/>
    <n v="49257"/>
    <n v="282"/>
    <s v="SustainabilityDrive"/>
    <n v="0.11114018842096787"/>
    <x v="4"/>
  </r>
  <r>
    <s v="P279"/>
    <x v="1"/>
    <n v="45537"/>
    <x v="4"/>
    <s v="Check out our latest image on youtube!"/>
    <n v="4905"/>
    <n v="845"/>
    <n v="129"/>
    <n v="98100"/>
    <n v="97772"/>
    <n v="279"/>
    <s v="ModelYCampaign"/>
    <n v="5.9928644240570844E-2"/>
    <x v="2"/>
  </r>
  <r>
    <s v="P280"/>
    <x v="1"/>
    <n v="45586"/>
    <x v="5"/>
    <s v="Check out our latest video on youtube!"/>
    <n v="4275"/>
    <n v="680"/>
    <n v="385"/>
    <n v="64125"/>
    <n v="63650"/>
    <n v="104"/>
    <s v="SustainabilityDrive"/>
    <n v="8.3274853801169585E-2"/>
    <x v="4"/>
  </r>
  <r>
    <s v="P280"/>
    <x v="1"/>
    <n v="45586"/>
    <x v="5"/>
    <s v="Check out our latest video on youtube!"/>
    <n v="4275"/>
    <n v="680"/>
    <n v="385"/>
    <n v="64125"/>
    <n v="63650"/>
    <n v="104"/>
    <s v="SustainabilityDrive"/>
    <n v="8.3274853801169585E-2"/>
    <x v="2"/>
  </r>
  <r>
    <s v="P280"/>
    <x v="1"/>
    <n v="45586"/>
    <x v="5"/>
    <s v="Check out our latest video on youtube!"/>
    <n v="4275"/>
    <n v="680"/>
    <n v="385"/>
    <n v="64125"/>
    <n v="63650"/>
    <n v="104"/>
    <s v="SustainabilityDrive"/>
    <n v="8.3274853801169585E-2"/>
    <x v="1"/>
  </r>
  <r>
    <s v="P281"/>
    <x v="1"/>
    <n v="45738"/>
    <x v="4"/>
    <s v="Check out our latest image on youtube!"/>
    <n v="3166"/>
    <n v="90"/>
    <n v="341"/>
    <n v="56988"/>
    <n v="56125"/>
    <n v="135"/>
    <s v="ModelYCampaign"/>
    <n v="6.3118551273952411E-2"/>
    <x v="4"/>
  </r>
  <r>
    <s v="P282"/>
    <x v="2"/>
    <n v="45568"/>
    <x v="5"/>
    <s v="Check out our latest video on instagram!"/>
    <n v="1488"/>
    <n v="417"/>
    <n v="168"/>
    <n v="19344"/>
    <n v="18395"/>
    <n v="30"/>
    <s v="FSDUpdate"/>
    <n v="0.1071650124069479"/>
    <x v="0"/>
  </r>
  <r>
    <s v="P283"/>
    <x v="0"/>
    <n v="45786"/>
    <x v="0"/>
    <s v="Check out our latest reel on twitter!"/>
    <n v="3367"/>
    <n v="302"/>
    <n v="57"/>
    <n v="63973"/>
    <n v="63789"/>
    <n v="157"/>
    <s v="ModelYCampaign"/>
    <n v="5.8243321401216137E-2"/>
    <x v="0"/>
  </r>
  <r>
    <s v="P284"/>
    <x v="0"/>
    <n v="45552"/>
    <x v="1"/>
    <s v="Check out our latest text on twitter!"/>
    <n v="571"/>
    <n v="190"/>
    <n v="352"/>
    <n v="9707"/>
    <n v="9418"/>
    <n v="231"/>
    <s v="SustainabilityDrive"/>
    <n v="0.11465952405480581"/>
    <x v="2"/>
  </r>
  <r>
    <s v="P285"/>
    <x v="1"/>
    <n v="45491"/>
    <x v="1"/>
    <s v="Check out our latest text on youtube!"/>
    <n v="4021"/>
    <n v="794"/>
    <n v="77"/>
    <n v="36189"/>
    <n v="35505"/>
    <n v="174"/>
    <s v="CybertruckLaunch"/>
    <n v="0.13517919809886983"/>
    <x v="4"/>
  </r>
  <r>
    <s v="P286"/>
    <x v="1"/>
    <n v="45560"/>
    <x v="5"/>
    <s v="Check out our latest video on youtube!"/>
    <n v="3389"/>
    <n v="344"/>
    <n v="229"/>
    <n v="20334"/>
    <n v="19443"/>
    <n v="228"/>
    <s v="FSDUpdate"/>
    <n v="0.19484607062063539"/>
    <x v="0"/>
  </r>
  <r>
    <s v="P287"/>
    <x v="2"/>
    <n v="45519"/>
    <x v="0"/>
    <s v="Check out our latest reel on instagram!"/>
    <n v="1164"/>
    <n v="616"/>
    <n v="324"/>
    <n v="6984"/>
    <n v="6636"/>
    <n v="82"/>
    <s v="CybertruckLaunch"/>
    <n v="0.30126002290950743"/>
    <x v="4"/>
  </r>
  <r>
    <s v="P288"/>
    <x v="1"/>
    <n v="45764"/>
    <x v="3"/>
    <s v="Check out our latest carousel on youtube!"/>
    <n v="4780"/>
    <n v="691"/>
    <n v="380"/>
    <n v="86040"/>
    <n v="85743"/>
    <n v="262"/>
    <s v="FSDUpdate"/>
    <n v="6.800325430032543E-2"/>
    <x v="0"/>
  </r>
  <r>
    <s v="P289"/>
    <x v="3"/>
    <n v="45624"/>
    <x v="3"/>
    <s v="Check out our latest carousel on facebook!"/>
    <n v="2751"/>
    <n v="33"/>
    <n v="430"/>
    <n v="44016"/>
    <n v="43415"/>
    <n v="129"/>
    <s v="SustainabilityDrive"/>
    <n v="7.3018902217375503E-2"/>
    <x v="0"/>
  </r>
  <r>
    <s v="P290"/>
    <x v="2"/>
    <n v="45646"/>
    <x v="3"/>
    <s v="Check out our latest carousel on instagram!"/>
    <n v="2107"/>
    <n v="550"/>
    <n v="349"/>
    <n v="35819"/>
    <n v="35340"/>
    <n v="191"/>
    <s v="SustainabilityDrive"/>
    <n v="8.3921940869371006E-2"/>
    <x v="4"/>
  </r>
  <r>
    <s v="P291"/>
    <x v="3"/>
    <n v="45602"/>
    <x v="5"/>
    <s v="Check out our latest video on facebook!"/>
    <n v="4663"/>
    <n v="145"/>
    <n v="225"/>
    <n v="69945"/>
    <n v="69596"/>
    <n v="35"/>
    <s v="SustainabilityDrive"/>
    <n v="7.1956537279290869E-2"/>
    <x v="4"/>
  </r>
  <r>
    <s v="P292"/>
    <x v="3"/>
    <n v="45613"/>
    <x v="1"/>
    <s v="Check out our latest text on facebook!"/>
    <n v="880"/>
    <n v="297"/>
    <n v="345"/>
    <n v="12320"/>
    <n v="11978"/>
    <n v="238"/>
    <s v="ModelYCampaign"/>
    <n v="0.12353896103896105"/>
    <x v="2"/>
  </r>
  <r>
    <s v="P292"/>
    <x v="3"/>
    <n v="45613"/>
    <x v="1"/>
    <s v="Check out our latest text on facebook!"/>
    <n v="880"/>
    <n v="297"/>
    <n v="345"/>
    <n v="12320"/>
    <n v="11978"/>
    <n v="238"/>
    <s v="ModelYCampaign"/>
    <n v="0.12353896103896105"/>
    <x v="1"/>
  </r>
  <r>
    <s v="P293"/>
    <x v="3"/>
    <n v="45791"/>
    <x v="1"/>
    <s v="Check out our latest text on facebook!"/>
    <n v="2634"/>
    <n v="726"/>
    <n v="241"/>
    <n v="28974"/>
    <n v="28102"/>
    <n v="277"/>
    <s v="CybertruckLaunch"/>
    <n v="0.12428384068475185"/>
    <x v="4"/>
  </r>
  <r>
    <s v="P294"/>
    <x v="3"/>
    <n v="45462"/>
    <x v="3"/>
    <s v="Check out our latest carousel on facebook!"/>
    <n v="4731"/>
    <n v="173"/>
    <n v="276"/>
    <n v="28386"/>
    <n v="28185"/>
    <n v="89"/>
    <s v="FSDUpdate"/>
    <n v="0.18248432325794406"/>
    <x v="4"/>
  </r>
  <r>
    <s v="P295"/>
    <x v="0"/>
    <n v="45783"/>
    <x v="4"/>
    <s v="Check out our latest image on twitter!"/>
    <n v="1952"/>
    <n v="344"/>
    <n v="287"/>
    <n v="15616"/>
    <n v="15403"/>
    <n v="235"/>
    <s v="ModelYCampaign"/>
    <n v="0.16540727459016394"/>
    <x v="0"/>
  </r>
  <r>
    <s v="P295"/>
    <x v="0"/>
    <n v="45783"/>
    <x v="4"/>
    <s v="Check out our latest image on twitter!"/>
    <n v="1952"/>
    <n v="344"/>
    <n v="287"/>
    <n v="15616"/>
    <n v="15403"/>
    <n v="235"/>
    <s v="ModelYCampaign"/>
    <n v="0.16540727459016394"/>
    <x v="2"/>
  </r>
  <r>
    <s v="P295"/>
    <x v="0"/>
    <n v="45783"/>
    <x v="4"/>
    <s v="Check out our latest image on twitter!"/>
    <n v="1952"/>
    <n v="344"/>
    <n v="287"/>
    <n v="15616"/>
    <n v="15403"/>
    <n v="235"/>
    <s v="ModelYCampaign"/>
    <n v="0.16540727459016394"/>
    <x v="1"/>
  </r>
  <r>
    <s v="P296"/>
    <x v="0"/>
    <n v="45699"/>
    <x v="5"/>
    <s v="Check out our latest video on twitter!"/>
    <n v="3440"/>
    <n v="13"/>
    <n v="20"/>
    <n v="58480"/>
    <n v="58146"/>
    <n v="210"/>
    <s v="SustainabilityDrive"/>
    <n v="5.9387824897400819E-2"/>
    <x v="2"/>
  </r>
  <r>
    <s v="P296"/>
    <x v="0"/>
    <n v="45699"/>
    <x v="5"/>
    <s v="Check out our latest video on twitter!"/>
    <n v="3440"/>
    <n v="13"/>
    <n v="20"/>
    <n v="58480"/>
    <n v="58146"/>
    <n v="210"/>
    <s v="SustainabilityDrive"/>
    <n v="5.9387824897400819E-2"/>
    <x v="5"/>
  </r>
  <r>
    <s v="P297"/>
    <x v="0"/>
    <n v="45650"/>
    <x v="1"/>
    <s v="Check out our latest text on twitter!"/>
    <n v="2166"/>
    <n v="354"/>
    <n v="117"/>
    <n v="10830"/>
    <n v="10245"/>
    <n v="24"/>
    <s v="SustainabilityDrive"/>
    <n v="0.24349030470914126"/>
    <x v="4"/>
  </r>
  <r>
    <s v="P298"/>
    <x v="3"/>
    <n v="45589"/>
    <x v="4"/>
    <s v="Check out our latest image on facebook!"/>
    <n v="4303"/>
    <n v="451"/>
    <n v="286"/>
    <n v="86060"/>
    <n v="85823"/>
    <n v="14"/>
    <s v="FSDUpdate"/>
    <n v="5.8563792702765516E-2"/>
    <x v="2"/>
  </r>
  <r>
    <s v="P299"/>
    <x v="3"/>
    <n v="45530"/>
    <x v="4"/>
    <s v="Check out our latest image on facebook!"/>
    <n v="2581"/>
    <n v="517"/>
    <n v="117"/>
    <n v="23229"/>
    <n v="22331"/>
    <n v="70"/>
    <s v="FSDUpdate"/>
    <n v="0.13840458048129492"/>
    <x v="0"/>
  </r>
  <r>
    <s v="P300"/>
    <x v="0"/>
    <n v="45535"/>
    <x v="3"/>
    <s v="Check out our latest carousel on twitter!"/>
    <n v="4494"/>
    <n v="717"/>
    <n v="45"/>
    <n v="62916"/>
    <n v="62688"/>
    <n v="191"/>
    <s v="CybertruckLaunch"/>
    <n v="8.3539958039290485E-2"/>
    <x v="2"/>
  </r>
  <r>
    <s v="P300"/>
    <x v="0"/>
    <n v="45535"/>
    <x v="3"/>
    <s v="Check out our latest carousel on twitter!"/>
    <n v="4494"/>
    <n v="717"/>
    <n v="45"/>
    <n v="62916"/>
    <n v="62688"/>
    <n v="191"/>
    <s v="CybertruckLaunch"/>
    <n v="8.3539958039290485E-2"/>
    <x v="4"/>
  </r>
  <r>
    <s v="P300"/>
    <x v="0"/>
    <n v="45535"/>
    <x v="3"/>
    <s v="Check out our latest carousel on twitter!"/>
    <n v="4494"/>
    <n v="717"/>
    <n v="45"/>
    <n v="62916"/>
    <n v="62688"/>
    <n v="191"/>
    <s v="CybertruckLaunch"/>
    <n v="8.3539958039290485E-2"/>
    <x v="3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15">
  <r>
    <s v="#EVRevolution"/>
  </r>
  <r>
    <s v="#TeslaCoInnovation"/>
  </r>
  <r>
    <s v="#EVRevolution"/>
  </r>
  <r>
    <s v="#TeslaCoInnovation"/>
  </r>
  <r>
    <s v="#FutureOfDriving"/>
  </r>
  <r>
    <s v="#TeslaCoInnovation"/>
  </r>
  <r>
    <s v="#TeslaCoInnovation"/>
  </r>
  <r>
    <s v="#TeslaCoInnovation"/>
  </r>
  <r>
    <s v="#FutureOfDriving"/>
  </r>
  <r>
    <s v="#TeslaCoInnovation"/>
  </r>
  <r>
    <s v="#FutureOfDriving"/>
  </r>
  <r>
    <s v="#EVRevolution"/>
  </r>
  <r>
    <s v="#EVRevolution"/>
  </r>
  <r>
    <s v="#EVRevolution"/>
  </r>
  <r>
    <s v="#FutureOfDriving"/>
  </r>
  <r>
    <s v="#TeslaCoInnovation"/>
  </r>
  <r>
    <s v="#FutureOfDriving"/>
  </r>
  <r>
    <s v="#FutureOfDriving"/>
  </r>
  <r>
    <s v="#EVRevolution"/>
  </r>
  <r>
    <s v="#FutureOfDriving"/>
  </r>
  <r>
    <s v="#EVRevolution"/>
  </r>
  <r>
    <s v="#FutureOfDriving"/>
  </r>
  <r>
    <s v="#TeslaCoInnovation"/>
  </r>
  <r>
    <s v="#EVRevolution"/>
  </r>
  <r>
    <s v="#FutureOfDriving"/>
  </r>
  <r>
    <s v="#EVRevolution"/>
  </r>
  <r>
    <s v="#FutureOfDriving"/>
  </r>
  <r>
    <s v="#TeslaCoInnovation"/>
  </r>
  <r>
    <s v="#TeslaCoInnovation"/>
  </r>
  <r>
    <s v="#TeslaCoInnovation"/>
  </r>
  <r>
    <s v="#EVRevolution"/>
  </r>
  <r>
    <s v="#FutureOfDriving"/>
  </r>
  <r>
    <s v="#FutureOfDriving"/>
  </r>
  <r>
    <s v="#EVRevolution"/>
  </r>
  <r>
    <s v="#EVRevolution"/>
  </r>
  <r>
    <s v="#FutureOfDriving"/>
  </r>
  <r>
    <s v="#EVRevolution"/>
  </r>
  <r>
    <s v="#EVRevolution"/>
  </r>
  <r>
    <s v="#FutureOfDriving"/>
  </r>
  <r>
    <s v="#TeslaCoInnovation"/>
  </r>
  <r>
    <s v="#TeslaCoInnovation"/>
  </r>
  <r>
    <s v="#EVRevolution"/>
  </r>
  <r>
    <s v="#TeslaCoInnovation"/>
  </r>
  <r>
    <s v="#FutureOfDriving"/>
  </r>
  <r>
    <s v="#EVRevolution"/>
  </r>
  <r>
    <s v="#FutureOfDriving"/>
  </r>
  <r>
    <s v="#FutureOfDriving"/>
  </r>
  <r>
    <s v="#FutureOfDriving"/>
  </r>
  <r>
    <s v="#EVRevolution"/>
  </r>
  <r>
    <s v="#TeslaCoInnovation"/>
  </r>
  <r>
    <s v="#EVRevolution"/>
  </r>
  <r>
    <s v="#EVRevolution"/>
  </r>
  <r>
    <s v="#TeslaCoInnovation"/>
  </r>
  <r>
    <s v="#EVRevolution"/>
  </r>
  <r>
    <s v="#TeslaCoInnovation"/>
  </r>
  <r>
    <s v="#EVRevolution"/>
  </r>
  <r>
    <s v="#FutureOfDriving"/>
  </r>
  <r>
    <s v="#EVRevolution"/>
  </r>
  <r>
    <s v="#FutureOfDriving"/>
  </r>
  <r>
    <s v="#EVRevolution"/>
  </r>
  <r>
    <s v="#TeslaCoInnovation"/>
  </r>
  <r>
    <s v="#FutureOfDriving"/>
  </r>
  <r>
    <s v="#EVRevolution"/>
  </r>
  <r>
    <s v="#FutureOfDriving"/>
  </r>
  <r>
    <s v="#EVRevolution"/>
  </r>
  <r>
    <s v="#TeslaCoInnovation"/>
  </r>
  <r>
    <s v="#TeslaCoInnovation"/>
  </r>
  <r>
    <s v="#EVRevolution"/>
  </r>
  <r>
    <s v="#TeslaCoInnovation"/>
  </r>
  <r>
    <s v="#FutureOfDriving"/>
  </r>
  <r>
    <s v="#TeslaCoInnovation"/>
  </r>
  <r>
    <s v="#FutureOfDriving"/>
  </r>
  <r>
    <s v="#TeslaCoInnovation"/>
  </r>
  <r>
    <s v="#EVRevolution"/>
  </r>
  <r>
    <s v="#FutureOfDriving"/>
  </r>
  <r>
    <s v="#TeslaCoInnovation"/>
  </r>
  <r>
    <s v="#EVRevolution"/>
  </r>
  <r>
    <s v="#FutureOfDriving"/>
  </r>
  <r>
    <s v="#FutureOfDriving"/>
  </r>
  <r>
    <s v="#FutureOfDriving"/>
  </r>
  <r>
    <s v="#FutureOfDriving"/>
  </r>
  <r>
    <s v="#EVRevolution"/>
  </r>
  <r>
    <s v="#EVRevolution"/>
  </r>
  <r>
    <s v="#FutureOfDriving"/>
  </r>
  <r>
    <s v="#TeslaCoInnovation"/>
  </r>
  <r>
    <s v="#FutureOfDriving"/>
  </r>
  <r>
    <s v="#TeslaCoInnovation"/>
  </r>
  <r>
    <s v="#EVRevolution"/>
  </r>
  <r>
    <s v="#TeslaCoInnovation"/>
  </r>
  <r>
    <s v="#TeslaCoInnovation"/>
  </r>
  <r>
    <s v="#TeslaCoInnovation"/>
  </r>
  <r>
    <s v="#TeslaCoInnovation"/>
  </r>
  <r>
    <s v="#EVRevolution"/>
  </r>
  <r>
    <s v="#FutureOfDriving"/>
  </r>
  <r>
    <s v="#EVRevolution"/>
  </r>
  <r>
    <s v="#FutureOfDriving"/>
  </r>
  <r>
    <s v="#FutureOfDriving"/>
  </r>
  <r>
    <s v="#TeslaCoInnovation"/>
  </r>
  <r>
    <s v="#TeslaCoInnovation"/>
  </r>
  <r>
    <s v="#TeslaCoInnovation"/>
  </r>
  <r>
    <s v="#TeslaCoInnovation"/>
  </r>
  <r>
    <s v="#EVRevolution"/>
  </r>
  <r>
    <s v="#FutureOfDriving"/>
  </r>
  <r>
    <s v="#EVRevolution"/>
  </r>
  <r>
    <s v="#TeslaCoInnovation"/>
  </r>
  <r>
    <s v="#FutureOfDriving"/>
  </r>
  <r>
    <s v="#EVRevolution"/>
  </r>
  <r>
    <s v="#FutureOfDriving"/>
  </r>
  <r>
    <s v="#TeslaCoInnovation"/>
  </r>
  <r>
    <s v="#EVRevolution"/>
  </r>
  <r>
    <s v="#TeslaCoInnovation"/>
  </r>
  <r>
    <s v="#FutureOfDriving"/>
  </r>
  <r>
    <s v="#TeslaCoInnovation"/>
  </r>
  <r>
    <s v="#TeslaCoInnovation"/>
  </r>
  <r>
    <s v="#FutureOfDriving"/>
  </r>
  <r>
    <s v="#FutureOfDriving"/>
  </r>
  <r>
    <s v="#FutureOfDriving"/>
  </r>
  <r>
    <s v="#FutureOfDriving"/>
  </r>
  <r>
    <s v="#FutureOfDriving"/>
  </r>
  <r>
    <s v="#FutureOfDriving"/>
  </r>
  <r>
    <s v="#FutureOfDriving"/>
  </r>
  <r>
    <s v="#TeslaCoInnovation"/>
  </r>
  <r>
    <s v="#TeslaCoInnovation"/>
  </r>
  <r>
    <s v="#TeslaCoInnovation"/>
  </r>
  <r>
    <s v="#EVRevolution"/>
  </r>
  <r>
    <s v="#FutureOfDriving"/>
  </r>
  <r>
    <s v="#EVRevolution"/>
  </r>
  <r>
    <s v="#EVRevolution"/>
  </r>
  <r>
    <s v="#TeslaCoInnovation"/>
  </r>
  <r>
    <s v="#TeslaCoInnovation"/>
  </r>
  <r>
    <s v="#EVRevolution"/>
  </r>
  <r>
    <s v="#EVRevolution"/>
  </r>
  <r>
    <s v="#TeslaCoInnovation"/>
  </r>
  <r>
    <s v="#FutureOfDriving"/>
  </r>
  <r>
    <s v="#TeslaCoInnovation"/>
  </r>
  <r>
    <s v="#EVRevolution"/>
  </r>
  <r>
    <s v="#FutureOfDriving"/>
  </r>
  <r>
    <s v="#FutureOfDriving"/>
  </r>
  <r>
    <s v="#EVRevolution"/>
  </r>
  <r>
    <s v="#FutureOfDriving"/>
  </r>
  <r>
    <s v="#FutureOfDriving"/>
  </r>
  <r>
    <s v="#TeslaCoInnovation"/>
  </r>
  <r>
    <s v="#FutureOfDriving"/>
  </r>
  <r>
    <s v="#TeslaCoInnovation"/>
  </r>
  <r>
    <s v="#EVRevolution"/>
  </r>
  <r>
    <s v="#TeslaCoInnovation"/>
  </r>
  <r>
    <s v="#FutureOfDriving"/>
  </r>
  <r>
    <s v="#FutureOfDriving"/>
  </r>
  <r>
    <s v="#FutureOfDriving"/>
  </r>
  <r>
    <s v="#EVRevolution"/>
  </r>
  <r>
    <s v="#EVRevolution"/>
  </r>
  <r>
    <s v="#FutureOfDriving"/>
  </r>
  <r>
    <s v="#FutureOfDriving"/>
  </r>
  <r>
    <s v="#EVRevolution"/>
  </r>
  <r>
    <s v="#FutureOfDriving"/>
  </r>
  <r>
    <s v="#TeslaCoInnovation"/>
  </r>
  <r>
    <s v="#TeslaCoInnovation"/>
  </r>
  <r>
    <s v="#EVRevolution"/>
  </r>
  <r>
    <s v="#FutureOfDriving"/>
  </r>
  <r>
    <s v="#FutureOfDriving"/>
  </r>
  <r>
    <s v="#TeslaCoInnovation"/>
  </r>
  <r>
    <s v="#TeslaCoInnovation"/>
  </r>
  <r>
    <s v="#TeslaCoInnovation"/>
  </r>
  <r>
    <s v="#TeslaCoInnovation"/>
  </r>
  <r>
    <s v="#FutureOfDriving"/>
  </r>
  <r>
    <s v="#EVRevolution"/>
  </r>
  <r>
    <s v="#FutureOfDriving"/>
  </r>
  <r>
    <s v="#EVRevolution"/>
  </r>
  <r>
    <s v="#FutureOfDriving"/>
  </r>
  <r>
    <s v="#TeslaCoInnovation"/>
  </r>
  <r>
    <s v="#FutureOfDriving"/>
  </r>
  <r>
    <s v="#EVRevolution"/>
  </r>
  <r>
    <s v="#FutureOfDriving"/>
  </r>
  <r>
    <s v="#EVRevolution"/>
  </r>
  <r>
    <s v="#TeslaCoInnovation"/>
  </r>
  <r>
    <s v="#EVRevolution"/>
  </r>
  <r>
    <s v="#EVRevolution"/>
  </r>
  <r>
    <s v="#FutureOfDriving"/>
  </r>
  <r>
    <s v="#EVRevolution"/>
  </r>
  <r>
    <s v="#EVRevolution"/>
  </r>
  <r>
    <s v="#EVRevolution"/>
  </r>
  <r>
    <s v="#TeslaCoInnovation"/>
  </r>
  <r>
    <s v="#TeslaCoInnovation"/>
  </r>
  <r>
    <s v="#FutureOfDriving"/>
  </r>
  <r>
    <s v="#EVRevolution"/>
  </r>
  <r>
    <s v="#TeslaCoInnovation"/>
  </r>
  <r>
    <s v="#FutureOfDriving"/>
  </r>
  <r>
    <s v="#EVRevolution"/>
  </r>
  <r>
    <s v="#EVRevolution"/>
  </r>
  <r>
    <s v="#EVRevolution"/>
  </r>
  <r>
    <s v="#TeslaCoInnovation"/>
  </r>
  <r>
    <s v="#TeslaCoInnovation"/>
  </r>
  <r>
    <s v="#EVRevolution"/>
  </r>
  <r>
    <s v="#TeslaCoInnovation"/>
  </r>
  <r>
    <s v="#EVRevolution"/>
  </r>
  <r>
    <s v="#FutureOfDriving"/>
  </r>
  <r>
    <s v="#FutureOfDriving"/>
  </r>
  <r>
    <s v="#TeslaCoInnovation"/>
  </r>
  <r>
    <s v="#EVRevolution"/>
  </r>
  <r>
    <s v="#FutureOfDriving"/>
  </r>
  <r>
    <s v="#TeslaCoInnovation"/>
  </r>
  <r>
    <s v="#FutureOfDriving"/>
  </r>
  <r>
    <s v="#TeslaCoInnovation"/>
  </r>
  <r>
    <s v="#FutureOfDriving"/>
  </r>
  <r>
    <s v="#EVRevolution"/>
  </r>
  <r>
    <s v="#EVRevolution"/>
  </r>
  <r>
    <s v="#EVRevolution"/>
  </r>
  <r>
    <s v="#EVRevolution"/>
  </r>
  <r>
    <s v="#EVRevolution"/>
  </r>
  <r>
    <s v="#TeslaCoInnovation"/>
  </r>
  <r>
    <s v="#EVRevolution"/>
  </r>
  <r>
    <s v="#EVRevolution"/>
  </r>
  <r>
    <s v="#FutureOfDriving"/>
  </r>
  <r>
    <s v="#EVRevolution"/>
  </r>
  <r>
    <s v="#EVRevolution"/>
  </r>
  <r>
    <s v="#FutureOfDriving"/>
  </r>
  <r>
    <s v="#FutureOfDriving"/>
  </r>
  <r>
    <s v="#EVRevolution"/>
  </r>
  <r>
    <s v="#TeslaCoInnovation"/>
  </r>
  <r>
    <s v="#TeslaCoInnovation"/>
  </r>
  <r>
    <s v="#EVRevolution"/>
  </r>
  <r>
    <s v="#TeslaCoInnovation"/>
  </r>
  <r>
    <s v="#FutureOfDriving"/>
  </r>
  <r>
    <s v="#EVRevolution"/>
  </r>
  <r>
    <s v="#EVRevolution"/>
  </r>
  <r>
    <s v="#TeslaCoInnovation"/>
  </r>
  <r>
    <s v="#FutureOfDriving"/>
  </r>
  <r>
    <s v="#FutureOfDriving"/>
  </r>
  <r>
    <s v="#EVRevolution"/>
  </r>
  <r>
    <s v="#EVRevolution"/>
  </r>
  <r>
    <s v="#FutureOfDriving"/>
  </r>
  <r>
    <s v="#TeslaCoInnovation"/>
  </r>
  <r>
    <s v="#EVRevolution"/>
  </r>
  <r>
    <s v="#TeslaCoInnovation"/>
  </r>
  <r>
    <s v="#TeslaCoInnovation"/>
  </r>
  <r>
    <s v="#EVRevolution"/>
  </r>
  <r>
    <s v="#FutureOfDriving"/>
  </r>
  <r>
    <s v="#TeslaCoInnovation"/>
  </r>
  <r>
    <s v="#FutureOfDriving"/>
  </r>
  <r>
    <s v="#EVRevolution"/>
  </r>
  <r>
    <s v="#TeslaCoInnovation"/>
  </r>
  <r>
    <s v="#FutureOfDriving"/>
  </r>
  <r>
    <s v="#TeslaCoInnovation"/>
  </r>
  <r>
    <s v="#FutureOfDriving"/>
  </r>
  <r>
    <s v="#FutureOfDriving"/>
  </r>
  <r>
    <s v="#FutureOfDriving"/>
  </r>
  <r>
    <s v="#EVRevolution"/>
  </r>
  <r>
    <s v="#FutureOfDriving"/>
  </r>
  <r>
    <s v="#TeslaCoInnovation"/>
  </r>
  <r>
    <s v="#TeslaCoInnovation"/>
  </r>
  <r>
    <s v="#EVRevolution"/>
  </r>
  <r>
    <s v="#FutureOfDriving"/>
  </r>
  <r>
    <s v="#FutureOfDriving"/>
  </r>
  <r>
    <s v="#TeslaCoInnovation"/>
  </r>
  <r>
    <s v="#EVRevolution"/>
  </r>
  <r>
    <s v="#TeslaCoInnovation"/>
  </r>
  <r>
    <s v="#FutureOfDriving"/>
  </r>
  <r>
    <s v="#TeslaCoInnovation"/>
  </r>
  <r>
    <s v="#TeslaCoInnovation"/>
  </r>
  <r>
    <s v="#TeslaCoInnovation"/>
  </r>
  <r>
    <s v="#TeslaCoInnovation"/>
  </r>
  <r>
    <s v="#FutureOfDriving"/>
  </r>
  <r>
    <s v="#FutureOfDriving"/>
  </r>
  <r>
    <s v="#TeslaCoInnovation"/>
  </r>
  <r>
    <s v="#FutureOfDriving"/>
  </r>
  <r>
    <s v="#FutureOfDriving"/>
  </r>
  <r>
    <s v="#FutureOfDriving"/>
  </r>
  <r>
    <s v="#TeslaCoInnovation"/>
  </r>
  <r>
    <s v="#EVRevolution"/>
  </r>
  <r>
    <s v="#EVRevolution"/>
  </r>
  <r>
    <s v="#EVRevolution"/>
  </r>
  <r>
    <s v="#EVRevolution"/>
  </r>
  <r>
    <s v="#FutureOfDriving"/>
  </r>
  <r>
    <s v="#FutureOfDriving"/>
  </r>
  <r>
    <s v="#FutureOfDriving"/>
  </r>
  <r>
    <s v="#TeslaCoInnovation"/>
  </r>
  <r>
    <s v="#EVRevolution"/>
  </r>
  <r>
    <s v="#TeslaCoInnovation"/>
  </r>
  <r>
    <s v="#EVRevolution"/>
  </r>
  <r>
    <s v="#TeslaCoInnovation"/>
  </r>
  <r>
    <s v="#TeslaCoInnovation"/>
  </r>
  <r>
    <s v="#TeslaCoInnovation"/>
  </r>
  <r>
    <s v="#TeslaCoInnovation"/>
  </r>
  <r>
    <s v="#TeslaCoInnovation"/>
  </r>
  <r>
    <s v="#TeslaCoInnovation"/>
  </r>
  <r>
    <s v="#EVRevolution"/>
  </r>
  <r>
    <s v="#FutureOfDriving"/>
  </r>
  <r>
    <s v="#TeslaCoInnovation"/>
  </r>
  <r>
    <s v="#TeslaCoInnovation"/>
  </r>
  <r>
    <s v="#EVRevolution"/>
  </r>
  <r>
    <s v="#FutureOfDriving"/>
  </r>
  <r>
    <s v="#EVRevolution"/>
  </r>
  <r>
    <s v="#EVRevolution"/>
  </r>
  <r>
    <s v="#FutureOfDriving"/>
  </r>
  <r>
    <s v="#EVRevolution"/>
  </r>
  <r>
    <s v="#TeslaCoInnovation"/>
  </r>
  <r>
    <s v="#FutureOfDriving"/>
  </r>
  <r>
    <s v="#TeslaCoInnovation"/>
  </r>
  <r>
    <s v="#TeslaCoInnovation"/>
  </r>
  <r>
    <s v="#FutureOfDriving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BetterWithTesla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TeslaCoInnovation"/>
  </r>
  <r>
    <m/>
  </r>
  <r>
    <s v="#TeslaCoInnovation"/>
  </r>
  <r>
    <m/>
  </r>
  <r>
    <m/>
  </r>
  <r>
    <m/>
  </r>
  <r>
    <m/>
  </r>
  <r>
    <m/>
  </r>
  <r>
    <s v="#SmoothLikeNitroTesla"/>
  </r>
  <r>
    <m/>
  </r>
  <r>
    <s v="#AnytimeIsTeslaTime"/>
  </r>
  <r>
    <m/>
  </r>
  <r>
    <m/>
  </r>
  <r>
    <m/>
  </r>
  <r>
    <m/>
  </r>
  <r>
    <m/>
  </r>
  <r>
    <m/>
  </r>
  <r>
    <m/>
  </r>
  <r>
    <s v="#SmoothLikeNitroTesla"/>
  </r>
  <r>
    <m/>
  </r>
  <r>
    <m/>
  </r>
  <r>
    <m/>
  </r>
  <r>
    <m/>
  </r>
  <r>
    <m/>
  </r>
  <r>
    <m/>
  </r>
  <r>
    <m/>
  </r>
  <r>
    <s v="#TeslaCoInnovation"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m/>
  </r>
  <r>
    <m/>
  </r>
  <r>
    <m/>
  </r>
  <r>
    <m/>
  </r>
  <r>
    <m/>
  </r>
  <r>
    <m/>
  </r>
  <r>
    <s v="#EVRevolution"/>
  </r>
  <r>
    <m/>
  </r>
  <r>
    <m/>
  </r>
  <r>
    <m/>
  </r>
  <r>
    <m/>
  </r>
  <r>
    <m/>
  </r>
  <r>
    <m/>
  </r>
  <r>
    <m/>
  </r>
  <r>
    <m/>
  </r>
  <r>
    <m/>
  </r>
  <r>
    <m/>
  </r>
  <r>
    <m/>
  </r>
  <r>
    <s v="#SmoothLikeNitroTesla"/>
  </r>
  <r>
    <m/>
  </r>
  <r>
    <m/>
  </r>
  <r>
    <m/>
  </r>
  <r>
    <m/>
  </r>
  <r>
    <m/>
  </r>
  <r>
    <m/>
  </r>
  <r>
    <m/>
  </r>
  <r>
    <s v="#SmoothLikeNitroTesla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m/>
  </r>
  <r>
    <m/>
  </r>
  <r>
    <m/>
  </r>
  <r>
    <m/>
  </r>
  <r>
    <m/>
  </r>
  <r>
    <m/>
  </r>
  <r>
    <s v="#EVRevolution"/>
  </r>
  <r>
    <m/>
  </r>
  <r>
    <s v="#AnytimeIsTeslaTime"/>
  </r>
  <r>
    <m/>
  </r>
  <r>
    <m/>
  </r>
  <r>
    <m/>
  </r>
  <r>
    <m/>
  </r>
  <r>
    <s v="#TeslaCoInnovation"/>
  </r>
  <r>
    <m/>
  </r>
  <r>
    <m/>
  </r>
  <r>
    <s v="#TeslaCoInnovation"/>
  </r>
  <r>
    <m/>
  </r>
  <r>
    <m/>
  </r>
  <r>
    <m/>
  </r>
  <r>
    <m/>
  </r>
  <r>
    <m/>
  </r>
  <r>
    <m/>
  </r>
  <r>
    <m/>
  </r>
  <r>
    <s v="#EVRevolution"/>
  </r>
  <r>
    <s v="#TeslaCoInnovation"/>
  </r>
  <r>
    <m/>
  </r>
  <r>
    <s v="#AnytimeIsTeslaTime"/>
  </r>
  <r>
    <m/>
  </r>
  <r>
    <m/>
  </r>
  <r>
    <m/>
  </r>
  <r>
    <m/>
  </r>
  <r>
    <m/>
  </r>
  <r>
    <m/>
  </r>
  <r>
    <m/>
  </r>
  <r>
    <m/>
  </r>
  <r>
    <m/>
  </r>
  <r>
    <m/>
  </r>
  <r>
    <s v="#EVRevolution"/>
  </r>
  <r>
    <m/>
  </r>
  <r>
    <m/>
  </r>
  <r>
    <m/>
  </r>
  <r>
    <m/>
  </r>
  <r>
    <m/>
  </r>
  <r>
    <m/>
  </r>
  <r>
    <m/>
  </r>
  <r>
    <s v="#AnytimeIsTeslaTime"/>
  </r>
  <r>
    <m/>
  </r>
  <r>
    <s v="#BetterWithTesla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TeslaCoInnovation"/>
  </r>
  <r>
    <s v="#BetterWithTesla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m/>
  </r>
  <r>
    <m/>
  </r>
  <r>
    <m/>
  </r>
  <r>
    <s v="#SmoothLikeNitroTesla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s v="#AnytimeIsTeslaTime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AnytimeIsTeslaTime"/>
  </r>
  <r>
    <m/>
  </r>
  <r>
    <m/>
  </r>
  <r>
    <m/>
  </r>
  <r>
    <m/>
  </r>
  <r>
    <m/>
  </r>
  <r>
    <m/>
  </r>
  <r>
    <m/>
  </r>
  <r>
    <m/>
  </r>
  <r>
    <m/>
  </r>
  <r>
    <m/>
  </r>
  <r>
    <s v="#EVRevolution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BetterWithTesla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BetterWithTesla"/>
  </r>
  <r>
    <m/>
  </r>
  <r>
    <m/>
  </r>
  <r>
    <m/>
  </r>
  <r>
    <m/>
  </r>
  <r>
    <m/>
  </r>
  <r>
    <m/>
  </r>
  <r>
    <s v="#AnytimeIsTeslaTime"/>
  </r>
  <r>
    <m/>
  </r>
  <r>
    <m/>
  </r>
  <r>
    <s v="#AnytimeIsTeslaTime"/>
  </r>
  <r>
    <m/>
  </r>
  <r>
    <m/>
  </r>
  <r>
    <m/>
  </r>
  <r>
    <m/>
  </r>
  <r>
    <m/>
  </r>
  <r>
    <m/>
  </r>
  <r>
    <m/>
  </r>
  <r>
    <s v="#BetterWithTesla"/>
  </r>
  <r>
    <s v="#AnytimeIsTeslaTime"/>
  </r>
  <r>
    <m/>
  </r>
  <r>
    <m/>
  </r>
  <r>
    <m/>
  </r>
  <r>
    <m/>
  </r>
  <r>
    <m/>
  </r>
  <r>
    <m/>
  </r>
  <r>
    <m/>
  </r>
  <r>
    <m/>
  </r>
  <r>
    <m/>
  </r>
  <r>
    <m/>
  </r>
  <r>
    <m/>
  </r>
  <r>
    <m/>
  </r>
  <r>
    <s v="#BetterWithTesla"/>
  </r>
  <r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s v="2024-06-03"/>
    <x v="0"/>
    <n v="1135"/>
    <n v="88"/>
    <n v="344084"/>
    <n v="8.06"/>
    <n v="5904"/>
    <n v="3.0428616268120576E-3"/>
  </r>
  <r>
    <s v="2024-06-03"/>
    <x v="1"/>
    <n v="1312"/>
    <n v="310"/>
    <n v="42654"/>
    <n v="4.9800000000000004"/>
    <n v="9566"/>
    <n v="2.3491348994232664E-2"/>
  </r>
  <r>
    <s v="2024-06-03"/>
    <x v="2"/>
    <n v="584"/>
    <n v="169"/>
    <n v="146834"/>
    <n v="8.31"/>
    <n v="26752"/>
    <n v="2.826320879360366E-3"/>
  </r>
  <r>
    <s v="2024-06-03"/>
    <x v="3"/>
    <n v="1535"/>
    <n v="445"/>
    <n v="395536"/>
    <n v="4.1100000000000003"/>
    <n v="30671"/>
    <n v="2.7557542170624167E-3"/>
  </r>
  <r>
    <s v="2024-06-10"/>
    <x v="0"/>
    <n v="656"/>
    <n v="139"/>
    <n v="49157"/>
    <n v="9.0500000000000007"/>
    <n v="9920"/>
    <n v="1.0517322049758936E-2"/>
  </r>
  <r>
    <s v="2024-06-10"/>
    <x v="1"/>
    <n v="1697"/>
    <n v="414"/>
    <n v="316555"/>
    <n v="2.37"/>
    <n v="7924"/>
    <n v="4.0530081660374974E-3"/>
  </r>
  <r>
    <s v="2024-06-10"/>
    <x v="2"/>
    <n v="436"/>
    <n v="250"/>
    <n v="254347"/>
    <n v="4.01"/>
    <n v="8912"/>
    <n v="7.3128442639386348E-4"/>
  </r>
  <r>
    <s v="2024-06-10"/>
    <x v="3"/>
    <n v="1197"/>
    <n v="203"/>
    <n v="413878"/>
    <n v="3.16"/>
    <n v="21205"/>
    <n v="2.4016739232334168E-3"/>
  </r>
  <r>
    <s v="2024-06-17"/>
    <x v="0"/>
    <n v="1048"/>
    <n v="155"/>
    <n v="456946"/>
    <n v="2.46"/>
    <n v="11329"/>
    <n v="1.9542790614208243E-3"/>
  </r>
  <r>
    <s v="2024-06-17"/>
    <x v="1"/>
    <n v="1753"/>
    <n v="371"/>
    <n v="169496"/>
    <n v="8.11"/>
    <n v="46670"/>
    <n v="8.1535847453627231E-3"/>
  </r>
  <r>
    <s v="2024-06-17"/>
    <x v="2"/>
    <n v="1335"/>
    <n v="40"/>
    <n v="122732"/>
    <n v="8.19"/>
    <n v="22482"/>
    <n v="1.0551445425805821E-2"/>
  </r>
  <r>
    <s v="2024-06-17"/>
    <x v="3"/>
    <n v="403"/>
    <n v="66"/>
    <n v="382851"/>
    <n v="3.49"/>
    <n v="24313"/>
    <n v="8.80238003818718E-4"/>
  </r>
  <r>
    <s v="2024-06-24"/>
    <x v="0"/>
    <n v="911"/>
    <n v="282"/>
    <n v="35664"/>
    <n v="6.92"/>
    <n v="18050"/>
    <n v="1.7636832660385824E-2"/>
  </r>
  <r>
    <s v="2024-06-24"/>
    <x v="1"/>
    <n v="1779"/>
    <n v="109"/>
    <n v="26295"/>
    <n v="9.1199999999999992"/>
    <n v="30635"/>
    <n v="6.3510173036698994E-2"/>
  </r>
  <r>
    <s v="2024-06-24"/>
    <x v="2"/>
    <n v="1238"/>
    <n v="403"/>
    <n v="298421"/>
    <n v="3.5"/>
    <n v="31280"/>
    <n v="2.798060458211721E-3"/>
  </r>
  <r>
    <s v="2024-06-24"/>
    <x v="3"/>
    <n v="308"/>
    <n v="431"/>
    <n v="426184"/>
    <n v="2.62"/>
    <n v="1783"/>
    <n v="-2.8860773750305035E-4"/>
  </r>
  <r>
    <s v="2024-07-01"/>
    <x v="0"/>
    <n v="226"/>
    <n v="445"/>
    <n v="419447"/>
    <n v="9.36"/>
    <n v="9566"/>
    <n v="-5.2211602419375983E-4"/>
  </r>
  <r>
    <s v="2024-07-01"/>
    <x v="1"/>
    <n v="505"/>
    <n v="441"/>
    <n v="220020"/>
    <n v="4.4800000000000004"/>
    <n v="42307"/>
    <n v="2.9088264703208797E-4"/>
  </r>
  <r>
    <s v="2024-07-01"/>
    <x v="2"/>
    <n v="1420"/>
    <n v="63"/>
    <n v="315305"/>
    <n v="6.19"/>
    <n v="5914"/>
    <n v="4.3037693661692649E-3"/>
  </r>
  <r>
    <s v="2024-07-01"/>
    <x v="3"/>
    <n v="144"/>
    <n v="53"/>
    <n v="113678"/>
    <n v="8.7200000000000006"/>
    <n v="30060"/>
    <n v="8.0050669434719116E-4"/>
  </r>
  <r>
    <s v="2024-07-08"/>
    <x v="0"/>
    <n v="1757"/>
    <n v="85"/>
    <n v="58223"/>
    <n v="8.74"/>
    <n v="22728"/>
    <n v="2.8717173625543171E-2"/>
  </r>
  <r>
    <s v="2024-07-08"/>
    <x v="1"/>
    <n v="350"/>
    <n v="41"/>
    <n v="251694"/>
    <n v="1.91"/>
    <n v="38610"/>
    <n v="1.2276812319721568E-3"/>
  </r>
  <r>
    <s v="2024-07-08"/>
    <x v="2"/>
    <n v="987"/>
    <n v="440"/>
    <n v="389810"/>
    <n v="4.66"/>
    <n v="2932"/>
    <n v="1.40324773607655E-3"/>
  </r>
  <r>
    <s v="2024-07-08"/>
    <x v="3"/>
    <n v="883"/>
    <n v="369"/>
    <n v="233694"/>
    <n v="2.88"/>
    <n v="15071"/>
    <n v="2.1994574101175039E-3"/>
  </r>
  <r>
    <s v="2024-07-15"/>
    <x v="0"/>
    <n v="1960"/>
    <n v="115"/>
    <n v="154169"/>
    <n v="3.74"/>
    <n v="10740"/>
    <n v="1.1967386439556591E-2"/>
  </r>
  <r>
    <s v="2024-07-15"/>
    <x v="1"/>
    <n v="170"/>
    <n v="334"/>
    <n v="334626"/>
    <n v="6.44"/>
    <n v="43420"/>
    <n v="-4.9009939454794306E-4"/>
  </r>
  <r>
    <s v="2024-07-15"/>
    <x v="2"/>
    <n v="704"/>
    <n v="275"/>
    <n v="226002"/>
    <n v="8.56"/>
    <n v="32393"/>
    <n v="1.8982132901478749E-3"/>
  </r>
  <r>
    <s v="2024-07-15"/>
    <x v="3"/>
    <n v="224"/>
    <n v="64"/>
    <n v="156683"/>
    <n v="4.5599999999999996"/>
    <n v="28474"/>
    <n v="1.0211701333265254E-3"/>
  </r>
  <r>
    <s v="2024-07-22"/>
    <x v="0"/>
    <n v="508"/>
    <n v="349"/>
    <n v="473812"/>
    <n v="7.88"/>
    <n v="17328"/>
    <n v="3.3557613568250698E-4"/>
  </r>
  <r>
    <s v="2024-07-22"/>
    <x v="1"/>
    <n v="1391"/>
    <n v="430"/>
    <n v="295032"/>
    <n v="7.86"/>
    <n v="26067"/>
    <n v="3.2572737872501967E-3"/>
  </r>
  <r>
    <s v="2024-07-22"/>
    <x v="2"/>
    <n v="1701"/>
    <n v="385"/>
    <n v="198278"/>
    <n v="5.34"/>
    <n v="32763"/>
    <n v="6.6371458255580548E-3"/>
  </r>
  <r>
    <s v="2024-07-22"/>
    <x v="3"/>
    <n v="804"/>
    <n v="487"/>
    <n v="306564"/>
    <n v="5.52"/>
    <n v="26452"/>
    <n v="1.0340418313957282E-3"/>
  </r>
  <r>
    <s v="2024-07-29"/>
    <x v="0"/>
    <n v="653"/>
    <n v="112"/>
    <n v="23664"/>
    <n v="4.05"/>
    <n v="15353"/>
    <n v="2.2861730899256253E-2"/>
  </r>
  <r>
    <s v="2024-07-29"/>
    <x v="1"/>
    <n v="160"/>
    <n v="478"/>
    <n v="435034"/>
    <n v="7.73"/>
    <n v="4839"/>
    <n v="-7.3097734889686784E-4"/>
  </r>
  <r>
    <s v="2024-07-29"/>
    <x v="2"/>
    <n v="1756"/>
    <n v="261"/>
    <n v="287574"/>
    <n v="4.3600000000000003"/>
    <n v="39272"/>
    <n v="5.1986619096302169E-3"/>
  </r>
  <r>
    <s v="2024-07-29"/>
    <x v="3"/>
    <n v="576"/>
    <n v="101"/>
    <n v="62499"/>
    <n v="3.48"/>
    <n v="16804"/>
    <n v="7.600121601945631E-3"/>
  </r>
  <r>
    <s v="2024-08-05"/>
    <x v="0"/>
    <n v="645"/>
    <n v="293"/>
    <n v="437968"/>
    <n v="7.83"/>
    <n v="49303"/>
    <n v="8.0371168669857163E-4"/>
  </r>
  <r>
    <s v="2024-08-05"/>
    <x v="1"/>
    <n v="214"/>
    <n v="411"/>
    <n v="125034"/>
    <n v="6.11"/>
    <n v="26455"/>
    <n v="-1.5755714445670778E-3"/>
  </r>
  <r>
    <s v="2024-08-05"/>
    <x v="2"/>
    <n v="826"/>
    <n v="498"/>
    <n v="449994"/>
    <n v="9.43"/>
    <n v="12384"/>
    <n v="7.2889860753698943E-4"/>
  </r>
  <r>
    <s v="2024-08-05"/>
    <x v="3"/>
    <n v="460"/>
    <n v="141"/>
    <n v="320650"/>
    <n v="4.04"/>
    <n v="49372"/>
    <n v="9.9485420240137223E-4"/>
  </r>
  <r>
    <s v="2024-08-12"/>
    <x v="0"/>
    <n v="1528"/>
    <n v="203"/>
    <n v="489188"/>
    <n v="6.23"/>
    <n v="47101"/>
    <n v="2.7085701202809553E-3"/>
  </r>
  <r>
    <s v="2024-08-12"/>
    <x v="1"/>
    <n v="1534"/>
    <n v="200"/>
    <n v="307612"/>
    <n v="6.01"/>
    <n v="37903"/>
    <n v="4.3366318609156986E-3"/>
  </r>
  <r>
    <s v="2024-08-12"/>
    <x v="2"/>
    <n v="485"/>
    <n v="448"/>
    <n v="434883"/>
    <n v="8.5500000000000007"/>
    <n v="33258"/>
    <n v="8.5080354946042954E-5"/>
  </r>
  <r>
    <s v="2024-08-12"/>
    <x v="3"/>
    <n v="1210"/>
    <n v="178"/>
    <n v="102042"/>
    <n v="5.42"/>
    <n v="6915"/>
    <n v="1.011348268360087E-2"/>
  </r>
  <r>
    <s v="2024-08-19"/>
    <x v="0"/>
    <n v="215"/>
    <n v="139"/>
    <n v="325444"/>
    <n v="3.25"/>
    <n v="35501"/>
    <n v="2.335271198731579E-4"/>
  </r>
  <r>
    <s v="2024-08-19"/>
    <x v="1"/>
    <n v="1078"/>
    <n v="20"/>
    <n v="183924"/>
    <n v="8.84"/>
    <n v="14203"/>
    <n v="5.7523759813836147E-3"/>
  </r>
  <r>
    <s v="2024-08-19"/>
    <x v="2"/>
    <n v="1751"/>
    <n v="86"/>
    <n v="188655"/>
    <n v="7.24"/>
    <n v="22206"/>
    <n v="8.825634093981077E-3"/>
  </r>
  <r>
    <s v="2024-08-19"/>
    <x v="3"/>
    <n v="221"/>
    <n v="31"/>
    <n v="87443"/>
    <n v="6.19"/>
    <n v="10283"/>
    <n v="2.1728440241071327E-3"/>
  </r>
  <r>
    <s v="2024-08-26"/>
    <x v="0"/>
    <n v="1685"/>
    <n v="76"/>
    <n v="453799"/>
    <n v="5.71"/>
    <n v="24913"/>
    <n v="3.5456226214689766E-3"/>
  </r>
  <r>
    <s v="2024-08-26"/>
    <x v="1"/>
    <n v="248"/>
    <n v="211"/>
    <n v="379380"/>
    <n v="9.0399999999999991"/>
    <n v="26925"/>
    <n v="9.7527544941747058E-5"/>
  </r>
  <r>
    <s v="2024-08-26"/>
    <x v="2"/>
    <n v="1300"/>
    <n v="71"/>
    <n v="186454"/>
    <n v="3.91"/>
    <n v="9942"/>
    <n v="6.5914381026955706E-3"/>
  </r>
  <r>
    <s v="2024-08-26"/>
    <x v="3"/>
    <n v="422"/>
    <n v="394"/>
    <n v="239044"/>
    <n v="7.83"/>
    <n v="32929"/>
    <n v="1.1713324743561855E-4"/>
  </r>
  <r>
    <s v="2024-09-02"/>
    <x v="0"/>
    <n v="1429"/>
    <n v="182"/>
    <n v="101332"/>
    <n v="7.16"/>
    <n v="37829"/>
    <n v="1.2306082974775983E-2"/>
  </r>
  <r>
    <s v="2024-09-02"/>
    <x v="1"/>
    <n v="1520"/>
    <n v="475"/>
    <n v="496982"/>
    <n v="6.41"/>
    <n v="24384"/>
    <n v="2.1026918479944948E-3"/>
  </r>
  <r>
    <s v="2024-09-02"/>
    <x v="2"/>
    <n v="557"/>
    <n v="360"/>
    <n v="318779"/>
    <n v="8.02"/>
    <n v="25797"/>
    <n v="6.1798299135137512E-4"/>
  </r>
  <r>
    <s v="2024-09-02"/>
    <x v="3"/>
    <n v="728"/>
    <n v="395"/>
    <n v="370971"/>
    <n v="3.86"/>
    <n v="12646"/>
    <n v="8.9764429025449434E-4"/>
  </r>
  <r>
    <s v="2024-09-09"/>
    <x v="0"/>
    <n v="1592"/>
    <n v="20"/>
    <n v="378054"/>
    <n v="9.09"/>
    <n v="26663"/>
    <n v="4.1581361392816901E-3"/>
  </r>
  <r>
    <s v="2024-09-09"/>
    <x v="1"/>
    <n v="1842"/>
    <n v="414"/>
    <n v="307524"/>
    <n v="1.76"/>
    <n v="40478"/>
    <n v="4.6435400163889647E-3"/>
  </r>
  <r>
    <s v="2024-09-09"/>
    <x v="2"/>
    <n v="751"/>
    <n v="491"/>
    <n v="434047"/>
    <n v="9.24"/>
    <n v="15476"/>
    <n v="5.990134708914012E-4"/>
  </r>
  <r>
    <s v="2024-09-09"/>
    <x v="3"/>
    <n v="1409"/>
    <n v="309"/>
    <n v="64583"/>
    <n v="8.99"/>
    <n v="10217"/>
    <n v="1.7032345973398571E-2"/>
  </r>
  <r>
    <s v="2024-09-16"/>
    <x v="0"/>
    <n v="778"/>
    <n v="401"/>
    <n v="50793"/>
    <n v="3.4"/>
    <n v="21939"/>
    <n v="7.4222825979957871E-3"/>
  </r>
  <r>
    <s v="2024-09-16"/>
    <x v="1"/>
    <n v="443"/>
    <n v="345"/>
    <n v="474162"/>
    <n v="9.1999999999999993"/>
    <n v="47462"/>
    <n v="2.0668041724136477E-4"/>
  </r>
  <r>
    <s v="2024-09-16"/>
    <x v="2"/>
    <n v="1472"/>
    <n v="347"/>
    <n v="392355"/>
    <n v="8.59"/>
    <n v="30270"/>
    <n v="2.8673012960201858E-3"/>
  </r>
  <r>
    <s v="2024-09-16"/>
    <x v="3"/>
    <n v="123"/>
    <n v="155"/>
    <n v="119934"/>
    <n v="3.5"/>
    <n v="5442"/>
    <n v="-2.6681341404439108E-4"/>
  </r>
  <r>
    <s v="2024-09-23"/>
    <x v="0"/>
    <n v="817"/>
    <n v="151"/>
    <n v="422625"/>
    <n v="2.36"/>
    <n v="1083"/>
    <n v="1.5758651286601596E-3"/>
  </r>
  <r>
    <s v="2024-09-23"/>
    <x v="1"/>
    <n v="198"/>
    <n v="217"/>
    <n v="239753"/>
    <n v="7.36"/>
    <n v="11901"/>
    <n v="-7.9248226299566635E-5"/>
  </r>
  <r>
    <s v="2024-09-23"/>
    <x v="2"/>
    <n v="1911"/>
    <n v="231"/>
    <n v="268516"/>
    <n v="8.5500000000000007"/>
    <n v="24018"/>
    <n v="6.2566104068286429E-3"/>
  </r>
  <r>
    <s v="2024-09-23"/>
    <x v="3"/>
    <n v="1218"/>
    <n v="212"/>
    <n v="63177"/>
    <n v="8.1300000000000008"/>
    <n v="38883"/>
    <n v="1.592351646960128E-2"/>
  </r>
  <r>
    <s v="2024-09-30"/>
    <x v="0"/>
    <n v="1433"/>
    <n v="408"/>
    <n v="370269"/>
    <n v="3.3"/>
    <n v="30575"/>
    <n v="2.7682576721248606E-3"/>
  </r>
  <r>
    <s v="2024-09-30"/>
    <x v="1"/>
    <n v="250"/>
    <n v="429"/>
    <n v="453423"/>
    <n v="1.77"/>
    <n v="2315"/>
    <n v="-3.9477485703195471E-4"/>
  </r>
  <r>
    <s v="2024-09-30"/>
    <x v="2"/>
    <n v="752"/>
    <n v="153"/>
    <n v="64906"/>
    <n v="2.09"/>
    <n v="12148"/>
    <n v="9.2287307798970819E-3"/>
  </r>
  <r>
    <s v="2024-09-30"/>
    <x v="3"/>
    <n v="1918"/>
    <n v="212"/>
    <n v="94360"/>
    <n v="7.36"/>
    <n v="36851"/>
    <n v="1.8079694785926241E-2"/>
  </r>
  <r>
    <s v="2024-10-07"/>
    <x v="0"/>
    <n v="1939"/>
    <n v="67"/>
    <n v="187183"/>
    <n v="6.25"/>
    <n v="41215"/>
    <n v="1.0000908202133741E-2"/>
  </r>
  <r>
    <s v="2024-10-07"/>
    <x v="1"/>
    <n v="1929"/>
    <n v="267"/>
    <n v="379363"/>
    <n v="1.75"/>
    <n v="43836"/>
    <n v="4.3810281972675247E-3"/>
  </r>
  <r>
    <s v="2024-10-07"/>
    <x v="2"/>
    <n v="437"/>
    <n v="330"/>
    <n v="476486"/>
    <n v="4.97"/>
    <n v="4509"/>
    <n v="2.2456063766826309E-4"/>
  </r>
  <r>
    <s v="2024-10-07"/>
    <x v="3"/>
    <n v="307"/>
    <n v="189"/>
    <n v="117767"/>
    <n v="9.3000000000000007"/>
    <n v="27822"/>
    <n v="1.0019784829366461E-3"/>
  </r>
  <r>
    <s v="2024-10-14"/>
    <x v="0"/>
    <n v="1527"/>
    <n v="303"/>
    <n v="388555"/>
    <n v="8.9"/>
    <n v="36397"/>
    <n v="3.1501331857780751E-3"/>
  </r>
  <r>
    <s v="2024-10-14"/>
    <x v="1"/>
    <n v="643"/>
    <n v="358"/>
    <n v="157599"/>
    <n v="3.88"/>
    <n v="7285"/>
    <n v="1.8083871090552605E-3"/>
  </r>
  <r>
    <s v="2024-10-14"/>
    <x v="2"/>
    <n v="201"/>
    <n v="221"/>
    <n v="309772"/>
    <n v="5.9"/>
    <n v="33174"/>
    <n v="-6.456361452939582E-5"/>
  </r>
  <r>
    <s v="2024-10-14"/>
    <x v="3"/>
    <n v="414"/>
    <n v="47"/>
    <n v="199178"/>
    <n v="1.53"/>
    <n v="6742"/>
    <n v="1.8425729749269497E-3"/>
  </r>
  <r>
    <s v="2024-10-21"/>
    <x v="0"/>
    <n v="703"/>
    <n v="441"/>
    <n v="357089"/>
    <n v="6.5"/>
    <n v="32478"/>
    <n v="7.3371064356504961E-4"/>
  </r>
  <r>
    <s v="2024-10-21"/>
    <x v="1"/>
    <n v="508"/>
    <n v="69"/>
    <n v="23492"/>
    <n v="3.16"/>
    <n v="42824"/>
    <n v="1.8687212668142345E-2"/>
  </r>
  <r>
    <s v="2024-10-21"/>
    <x v="2"/>
    <n v="697"/>
    <n v="61"/>
    <n v="258287"/>
    <n v="8.25"/>
    <n v="21208"/>
    <n v="2.4623771231227277E-3"/>
  </r>
  <r>
    <s v="2024-10-21"/>
    <x v="3"/>
    <n v="1707"/>
    <n v="223"/>
    <n v="256910"/>
    <n v="5.41"/>
    <n v="44321"/>
    <n v="5.7763419096181542E-3"/>
  </r>
  <r>
    <s v="2024-10-28"/>
    <x v="0"/>
    <n v="642"/>
    <n v="66"/>
    <n v="346522"/>
    <n v="5.85"/>
    <n v="13116"/>
    <n v="1.6622321237901201E-3"/>
  </r>
  <r>
    <s v="2024-10-28"/>
    <x v="1"/>
    <n v="859"/>
    <n v="473"/>
    <n v="209987"/>
    <n v="4.46"/>
    <n v="30214"/>
    <n v="1.8382090319876945E-3"/>
  </r>
  <r>
    <s v="2024-10-28"/>
    <x v="2"/>
    <n v="191"/>
    <n v="154"/>
    <n v="240550"/>
    <n v="5.22"/>
    <n v="15827"/>
    <n v="1.5381417584701726E-4"/>
  </r>
  <r>
    <s v="2024-10-28"/>
    <x v="3"/>
    <n v="1814"/>
    <n v="157"/>
    <n v="305827"/>
    <n v="1.99"/>
    <n v="46643"/>
    <n v="5.4180958515762179E-3"/>
  </r>
  <r>
    <s v="2024-11-04"/>
    <x v="0"/>
    <n v="1466"/>
    <n v="69"/>
    <n v="54935"/>
    <n v="6.85"/>
    <n v="36484"/>
    <n v="2.5430053699827069E-2"/>
  </r>
  <r>
    <s v="2024-11-04"/>
    <x v="1"/>
    <n v="947"/>
    <n v="407"/>
    <n v="319186"/>
    <n v="3.32"/>
    <n v="4996"/>
    <n v="1.6918035252172713E-3"/>
  </r>
  <r>
    <s v="2024-11-04"/>
    <x v="2"/>
    <n v="1821"/>
    <n v="218"/>
    <n v="439080"/>
    <n v="5.68"/>
    <n v="36095"/>
    <n v="3.6508153411678964E-3"/>
  </r>
  <r>
    <s v="2024-11-04"/>
    <x v="3"/>
    <n v="1507"/>
    <n v="463"/>
    <n v="258944"/>
    <n v="6.08"/>
    <n v="16443"/>
    <n v="4.0317597627286209E-3"/>
  </r>
  <r>
    <s v="2024-11-11"/>
    <x v="0"/>
    <n v="1075"/>
    <n v="173"/>
    <n v="51395"/>
    <n v="4.66"/>
    <n v="47812"/>
    <n v="1.7550345364335054E-2"/>
  </r>
  <r>
    <s v="2024-11-11"/>
    <x v="1"/>
    <n v="171"/>
    <n v="277"/>
    <n v="309483"/>
    <n v="8.6999999999999993"/>
    <n v="38452"/>
    <n v="-3.4250669665215861E-4"/>
  </r>
  <r>
    <s v="2024-11-11"/>
    <x v="2"/>
    <n v="1487"/>
    <n v="337"/>
    <n v="87305"/>
    <n v="2.46"/>
    <n v="30428"/>
    <n v="1.3172212358971423E-2"/>
  </r>
  <r>
    <s v="2024-11-11"/>
    <x v="3"/>
    <n v="454"/>
    <n v="105"/>
    <n v="121091"/>
    <n v="7.97"/>
    <n v="9269"/>
    <n v="2.8821299683708945E-3"/>
  </r>
  <r>
    <s v="2024-11-18"/>
    <x v="0"/>
    <n v="187"/>
    <n v="236"/>
    <n v="51087"/>
    <n v="9.41"/>
    <n v="29533"/>
    <n v="-9.5914811987394058E-4"/>
  </r>
  <r>
    <s v="2024-11-18"/>
    <x v="1"/>
    <n v="513"/>
    <n v="441"/>
    <n v="338847"/>
    <n v="2.68"/>
    <n v="39997"/>
    <n v="2.1248528096751631E-4"/>
  </r>
  <r>
    <s v="2024-11-18"/>
    <x v="2"/>
    <n v="628"/>
    <n v="183"/>
    <n v="487523"/>
    <n v="7.32"/>
    <n v="5391"/>
    <n v="9.1277744844858602E-4"/>
  </r>
  <r>
    <s v="2024-11-18"/>
    <x v="3"/>
    <n v="278"/>
    <n v="218"/>
    <n v="301695"/>
    <n v="4.68"/>
    <n v="22373"/>
    <n v="1.9887634863023914E-4"/>
  </r>
  <r>
    <s v="2024-11-25"/>
    <x v="0"/>
    <n v="1854"/>
    <n v="161"/>
    <n v="282466"/>
    <n v="5.17"/>
    <n v="1810"/>
    <n v="5.9936417126309005E-3"/>
  </r>
  <r>
    <s v="2024-11-25"/>
    <x v="1"/>
    <n v="1710"/>
    <n v="378"/>
    <n v="336661"/>
    <n v="6.2"/>
    <n v="28498"/>
    <n v="3.9565022381564839E-3"/>
  </r>
  <r>
    <s v="2024-11-25"/>
    <x v="2"/>
    <n v="330"/>
    <n v="232"/>
    <n v="88455"/>
    <n v="2.69"/>
    <n v="39530"/>
    <n v="1.1079079758069075E-3"/>
  </r>
  <r>
    <s v="2024-11-25"/>
    <x v="3"/>
    <n v="1293"/>
    <n v="408"/>
    <n v="62535"/>
    <n v="8.9"/>
    <n v="37876"/>
    <n v="1.4152074838090669E-2"/>
  </r>
  <r>
    <s v="2024-12-02"/>
    <x v="0"/>
    <n v="1696"/>
    <n v="71"/>
    <n v="421957"/>
    <n v="3.79"/>
    <n v="36103"/>
    <n v="3.8511033114748661E-3"/>
  </r>
  <r>
    <s v="2024-12-02"/>
    <x v="1"/>
    <n v="1902"/>
    <n v="196"/>
    <n v="470269"/>
    <n v="4.79"/>
    <n v="26103"/>
    <n v="3.6277109484146308E-3"/>
  </r>
  <r>
    <s v="2024-12-02"/>
    <x v="2"/>
    <n v="1441"/>
    <n v="268"/>
    <n v="309904"/>
    <n v="6.37"/>
    <n v="3455"/>
    <n v="3.7850431101244257E-3"/>
  </r>
  <r>
    <s v="2024-12-02"/>
    <x v="3"/>
    <n v="452"/>
    <n v="161"/>
    <n v="221274"/>
    <n v="2.65"/>
    <n v="40888"/>
    <n v="1.3151115811166245E-3"/>
  </r>
  <r>
    <s v="2024-12-09"/>
    <x v="0"/>
    <n v="1494"/>
    <n v="375"/>
    <n v="220616"/>
    <n v="1.81"/>
    <n v="22724"/>
    <n v="5.0721615839286359E-3"/>
  </r>
  <r>
    <s v="2024-12-09"/>
    <x v="1"/>
    <n v="1514"/>
    <n v="141"/>
    <n v="35842"/>
    <n v="7.47"/>
    <n v="18601"/>
    <n v="3.8307014117515761E-2"/>
  </r>
  <r>
    <s v="2024-12-09"/>
    <x v="2"/>
    <n v="1937"/>
    <n v="210"/>
    <n v="20607"/>
    <n v="4.2"/>
    <n v="20861"/>
    <n v="8.3806473528412681E-2"/>
  </r>
  <r>
    <s v="2024-12-09"/>
    <x v="3"/>
    <n v="736"/>
    <n v="163"/>
    <n v="451894"/>
    <n v="5.43"/>
    <n v="46625"/>
    <n v="1.2679964770499277E-3"/>
  </r>
  <r>
    <s v="2024-12-16"/>
    <x v="0"/>
    <n v="1502"/>
    <n v="70"/>
    <n v="465553"/>
    <n v="3.32"/>
    <n v="20692"/>
    <n v="3.0759118725472716E-3"/>
  </r>
  <r>
    <s v="2024-12-16"/>
    <x v="1"/>
    <n v="1623"/>
    <n v="246"/>
    <n v="415815"/>
    <n v="8.11"/>
    <n v="18656"/>
    <n v="3.311568846722701E-3"/>
  </r>
  <r>
    <s v="2024-12-16"/>
    <x v="2"/>
    <n v="1592"/>
    <n v="233"/>
    <n v="327183"/>
    <n v="6.66"/>
    <n v="13316"/>
    <n v="4.1536387893013997E-3"/>
  </r>
  <r>
    <s v="2024-12-16"/>
    <x v="3"/>
    <n v="1004"/>
    <n v="128"/>
    <n v="488901"/>
    <n v="8.09"/>
    <n v="49558"/>
    <n v="1.7917737946946315E-3"/>
  </r>
  <r>
    <s v="2024-12-23"/>
    <x v="0"/>
    <n v="1092"/>
    <n v="408"/>
    <n v="280795"/>
    <n v="8.44"/>
    <n v="4683"/>
    <n v="2.4359408109118751E-3"/>
  </r>
  <r>
    <s v="2024-12-23"/>
    <x v="1"/>
    <n v="1155"/>
    <n v="425"/>
    <n v="93347"/>
    <n v="2.02"/>
    <n v="47502"/>
    <n v="7.8202834584935772E-3"/>
  </r>
  <r>
    <s v="2024-12-23"/>
    <x v="2"/>
    <n v="1137"/>
    <n v="226"/>
    <n v="81119"/>
    <n v="7.74"/>
    <n v="35359"/>
    <n v="1.1230414576116569E-2"/>
  </r>
  <r>
    <s v="2024-12-23"/>
    <x v="3"/>
    <n v="1900"/>
    <n v="311"/>
    <n v="25177"/>
    <n v="2.89"/>
    <n v="14154"/>
    <n v="6.3113158835445049E-2"/>
  </r>
  <r>
    <s v="2024-12-30"/>
    <x v="0"/>
    <n v="1814"/>
    <n v="49"/>
    <n v="140804"/>
    <n v="1.76"/>
    <n v="4313"/>
    <n v="1.253515525127127E-2"/>
  </r>
  <r>
    <s v="2024-12-30"/>
    <x v="1"/>
    <n v="1980"/>
    <n v="204"/>
    <n v="379431"/>
    <n v="3.09"/>
    <n v="25140"/>
    <n v="4.6806929323118035E-3"/>
  </r>
  <r>
    <s v="2024-12-30"/>
    <x v="2"/>
    <n v="1786"/>
    <n v="257"/>
    <n v="274831"/>
    <n v="4.68"/>
    <n v="9118"/>
    <n v="5.5634189738421064E-3"/>
  </r>
  <r>
    <s v="2024-12-30"/>
    <x v="3"/>
    <n v="1495"/>
    <n v="35"/>
    <n v="136845"/>
    <n v="4.4800000000000004"/>
    <n v="39931"/>
    <n v="1.0669005078738719E-2"/>
  </r>
  <r>
    <s v="2025-01-06"/>
    <x v="0"/>
    <n v="1013"/>
    <n v="110"/>
    <n v="466382"/>
    <n v="5.3"/>
    <n v="37132"/>
    <n v="1.9361810704529763E-3"/>
  </r>
  <r>
    <s v="2025-01-06"/>
    <x v="1"/>
    <n v="816"/>
    <n v="196"/>
    <n v="95728"/>
    <n v="8.1999999999999993"/>
    <n v="17951"/>
    <n v="6.4766839378238338E-3"/>
  </r>
  <r>
    <s v="2025-01-06"/>
    <x v="2"/>
    <n v="1633"/>
    <n v="445"/>
    <n v="371156"/>
    <n v="2.2200000000000002"/>
    <n v="2798"/>
    <n v="3.2008104408927781E-3"/>
  </r>
  <r>
    <s v="2025-01-06"/>
    <x v="3"/>
    <n v="891"/>
    <n v="45"/>
    <n v="95410"/>
    <n v="8.33"/>
    <n v="15045"/>
    <n v="8.8669950738916262E-3"/>
  </r>
  <r>
    <s v="2025-01-13"/>
    <x v="0"/>
    <n v="1855"/>
    <n v="133"/>
    <n v="349413"/>
    <n v="3.3"/>
    <n v="14548"/>
    <n v="4.9282654051223049E-3"/>
  </r>
  <r>
    <s v="2025-01-13"/>
    <x v="1"/>
    <n v="651"/>
    <n v="353"/>
    <n v="224699"/>
    <n v="5.61"/>
    <n v="45708"/>
    <n v="1.3262186302564765E-3"/>
  </r>
  <r>
    <s v="2025-01-13"/>
    <x v="2"/>
    <n v="118"/>
    <n v="262"/>
    <n v="487896"/>
    <n v="2.56"/>
    <n v="12350"/>
    <n v="-2.9514486693885583E-4"/>
  </r>
  <r>
    <s v="2025-01-13"/>
    <x v="3"/>
    <n v="1331"/>
    <n v="430"/>
    <n v="14437"/>
    <n v="3.29"/>
    <n v="40868"/>
    <n v="6.2409087760615087E-2"/>
  </r>
  <r>
    <s v="2025-01-20"/>
    <x v="0"/>
    <n v="1748"/>
    <n v="176"/>
    <n v="383681"/>
    <n v="9.24"/>
    <n v="43122"/>
    <n v="4.0971536250166149E-3"/>
  </r>
  <r>
    <s v="2025-01-20"/>
    <x v="1"/>
    <n v="663"/>
    <n v="236"/>
    <n v="479490"/>
    <n v="4.51"/>
    <n v="23853"/>
    <n v="8.9052952094934197E-4"/>
  </r>
  <r>
    <s v="2025-01-20"/>
    <x v="2"/>
    <n v="1040"/>
    <n v="149"/>
    <n v="124404"/>
    <n v="5.23"/>
    <n v="45380"/>
    <n v="7.1621491270377159E-3"/>
  </r>
  <r>
    <s v="2025-01-20"/>
    <x v="3"/>
    <n v="1166"/>
    <n v="442"/>
    <n v="336949"/>
    <n v="4.68"/>
    <n v="7705"/>
    <n v="2.1486931256659019E-3"/>
  </r>
  <r>
    <s v="2025-01-27"/>
    <x v="0"/>
    <n v="115"/>
    <n v="281"/>
    <n v="357265"/>
    <n v="9.23"/>
    <n v="25525"/>
    <n v="-4.6464109274628077E-4"/>
  </r>
  <r>
    <s v="2025-01-27"/>
    <x v="1"/>
    <n v="1249"/>
    <n v="351"/>
    <n v="321307"/>
    <n v="6.37"/>
    <n v="20560"/>
    <n v="2.7948348464241365E-3"/>
  </r>
  <r>
    <s v="2025-01-27"/>
    <x v="2"/>
    <n v="1501"/>
    <n v="75"/>
    <n v="262569"/>
    <n v="2.0099999999999998"/>
    <n v="19119"/>
    <n v="5.4309533874905263E-3"/>
  </r>
  <r>
    <s v="2025-01-27"/>
    <x v="3"/>
    <n v="1411"/>
    <n v="186"/>
    <n v="461669"/>
    <n v="3.72"/>
    <n v="43999"/>
    <n v="2.6534161921203288E-3"/>
  </r>
  <r>
    <s v="2025-02-03"/>
    <x v="0"/>
    <n v="1556"/>
    <n v="476"/>
    <n v="351556"/>
    <n v="3.89"/>
    <n v="10825"/>
    <n v="3.0720567989168156E-3"/>
  </r>
  <r>
    <s v="2025-02-03"/>
    <x v="1"/>
    <n v="1159"/>
    <n v="411"/>
    <n v="135987"/>
    <n v="8.6999999999999993"/>
    <n v="40323"/>
    <n v="5.5005257855530306E-3"/>
  </r>
  <r>
    <s v="2025-02-03"/>
    <x v="2"/>
    <n v="927"/>
    <n v="358"/>
    <n v="177554"/>
    <n v="6.95"/>
    <n v="48270"/>
    <n v="3.2046588643454949E-3"/>
  </r>
  <r>
    <s v="2025-02-03"/>
    <x v="3"/>
    <n v="152"/>
    <n v="355"/>
    <n v="270766"/>
    <n v="9.48"/>
    <n v="18001"/>
    <n v="-7.4972485467156139E-4"/>
  </r>
  <r>
    <s v="2025-02-10"/>
    <x v="0"/>
    <n v="1957"/>
    <n v="234"/>
    <n v="222126"/>
    <n v="4.6100000000000003"/>
    <n v="3314"/>
    <n v="7.7568587198256845E-3"/>
  </r>
  <r>
    <s v="2025-02-10"/>
    <x v="1"/>
    <n v="1294"/>
    <n v="382"/>
    <n v="309914"/>
    <n v="8.0299999999999994"/>
    <n v="23489"/>
    <n v="2.9427518601934728E-3"/>
  </r>
  <r>
    <s v="2025-02-10"/>
    <x v="2"/>
    <n v="1587"/>
    <n v="385"/>
    <n v="126582"/>
    <n v="6.99"/>
    <n v="42832"/>
    <n v="9.4958208908059605E-3"/>
  </r>
  <r>
    <s v="2025-02-10"/>
    <x v="3"/>
    <n v="1707"/>
    <n v="263"/>
    <n v="485280"/>
    <n v="9.0299999999999994"/>
    <n v="24494"/>
    <n v="2.9756017144741179E-3"/>
  </r>
  <r>
    <s v="2025-02-17"/>
    <x v="0"/>
    <n v="1138"/>
    <n v="173"/>
    <n v="453243"/>
    <n v="2.86"/>
    <n v="44097"/>
    <n v="2.1291007252180398E-3"/>
  </r>
  <r>
    <s v="2025-02-17"/>
    <x v="1"/>
    <n v="1895"/>
    <n v="305"/>
    <n v="104967"/>
    <n v="3.85"/>
    <n v="31853"/>
    <n v="1.5147617822744291E-2"/>
  </r>
  <r>
    <s v="2025-02-17"/>
    <x v="2"/>
    <n v="362"/>
    <n v="399"/>
    <n v="145608"/>
    <n v="7.3"/>
    <n v="37636"/>
    <n v="-2.5410691720235154E-4"/>
  </r>
  <r>
    <s v="2025-02-17"/>
    <x v="3"/>
    <n v="1662"/>
    <n v="487"/>
    <n v="105980"/>
    <n v="9.08"/>
    <n v="22996"/>
    <n v="1.1086997546706926E-2"/>
  </r>
  <r>
    <s v="2025-02-24"/>
    <x v="0"/>
    <n v="1440"/>
    <n v="65"/>
    <n v="126524"/>
    <n v="4.34"/>
    <n v="49772"/>
    <n v="1.0867503398564699E-2"/>
  </r>
  <r>
    <s v="2025-02-24"/>
    <x v="1"/>
    <n v="1884"/>
    <n v="177"/>
    <n v="230448"/>
    <n v="7.8"/>
    <n v="22713"/>
    <n v="7.4073109768798169E-3"/>
  </r>
  <r>
    <s v="2025-02-24"/>
    <x v="2"/>
    <n v="861"/>
    <n v="153"/>
    <n v="317007"/>
    <n v="3.85"/>
    <n v="8718"/>
    <n v="2.2333891680625349E-3"/>
  </r>
  <r>
    <s v="2025-02-24"/>
    <x v="3"/>
    <n v="1063"/>
    <n v="47"/>
    <n v="464239"/>
    <n v="6.58"/>
    <n v="39031"/>
    <n v="2.1885278918832756E-3"/>
  </r>
  <r>
    <s v="2025-03-03"/>
    <x v="0"/>
    <n v="1371"/>
    <n v="56"/>
    <n v="257579"/>
    <n v="8.6199999999999992"/>
    <n v="33799"/>
    <n v="5.1052298518124532E-3"/>
  </r>
  <r>
    <s v="2025-03-03"/>
    <x v="1"/>
    <n v="345"/>
    <n v="464"/>
    <n v="366881"/>
    <n v="4.55"/>
    <n v="20553"/>
    <n v="-3.2435585380545735E-4"/>
  </r>
  <r>
    <s v="2025-03-03"/>
    <x v="2"/>
    <n v="946"/>
    <n v="47"/>
    <n v="466575"/>
    <n v="8.33"/>
    <n v="10002"/>
    <n v="1.9268070513850934E-3"/>
  </r>
  <r>
    <s v="2025-03-03"/>
    <x v="3"/>
    <n v="510"/>
    <n v="195"/>
    <n v="224534"/>
    <n v="9.4"/>
    <n v="30987"/>
    <n v="1.4029055733207443E-3"/>
  </r>
  <r>
    <s v="2025-03-10"/>
    <x v="0"/>
    <n v="393"/>
    <n v="181"/>
    <n v="462142"/>
    <n v="7.23"/>
    <n v="6296"/>
    <n v="4.5873346287504706E-4"/>
  </r>
  <r>
    <s v="2025-03-10"/>
    <x v="1"/>
    <n v="1098"/>
    <n v="190"/>
    <n v="340842"/>
    <n v="9.39"/>
    <n v="21539"/>
    <n v="2.6639909400836752E-3"/>
  </r>
  <r>
    <s v="2025-03-10"/>
    <x v="2"/>
    <n v="1399"/>
    <n v="49"/>
    <n v="12471"/>
    <n v="5.12"/>
    <n v="14722"/>
    <n v="0.10825114265095021"/>
  </r>
  <r>
    <s v="2025-03-10"/>
    <x v="3"/>
    <n v="1658"/>
    <n v="416"/>
    <n v="98397"/>
    <n v="6.11"/>
    <n v="11383"/>
    <n v="1.2622336046830695E-2"/>
  </r>
  <r>
    <s v="2025-03-17"/>
    <x v="0"/>
    <n v="1102"/>
    <n v="422"/>
    <n v="410330"/>
    <n v="7.74"/>
    <n v="9480"/>
    <n v="1.6572027392586454E-3"/>
  </r>
  <r>
    <s v="2025-03-17"/>
    <x v="1"/>
    <n v="1358"/>
    <n v="242"/>
    <n v="342129"/>
    <n v="4.9400000000000004"/>
    <n v="29116"/>
    <n v="3.2619275185675578E-3"/>
  </r>
  <r>
    <s v="2025-03-17"/>
    <x v="2"/>
    <n v="1077"/>
    <n v="216"/>
    <n v="12447"/>
    <n v="1.8"/>
    <n v="14068"/>
    <n v="6.9173294769824048E-2"/>
  </r>
  <r>
    <s v="2025-03-17"/>
    <x v="3"/>
    <n v="1596"/>
    <n v="211"/>
    <n v="17380"/>
    <n v="8.64"/>
    <n v="35801"/>
    <n v="7.9689298043728429E-2"/>
  </r>
  <r>
    <s v="2025-03-24"/>
    <x v="0"/>
    <n v="490"/>
    <n v="29"/>
    <n v="364810"/>
    <n v="1.53"/>
    <n v="49077"/>
    <n v="1.2636715002329981E-3"/>
  </r>
  <r>
    <s v="2025-03-24"/>
    <x v="1"/>
    <n v="609"/>
    <n v="135"/>
    <n v="373606"/>
    <n v="8.52"/>
    <n v="21453"/>
    <n v="1.268716241173857E-3"/>
  </r>
  <r>
    <s v="2025-03-24"/>
    <x v="2"/>
    <n v="364"/>
    <n v="72"/>
    <n v="211090"/>
    <n v="5.53"/>
    <n v="21061"/>
    <n v="1.3832962243592781E-3"/>
  </r>
  <r>
    <s v="2025-03-24"/>
    <x v="3"/>
    <n v="442"/>
    <n v="53"/>
    <n v="441931"/>
    <n v="1.87"/>
    <n v="20059"/>
    <n v="8.8022790888170322E-4"/>
  </r>
  <r>
    <s v="2025-03-31"/>
    <x v="0"/>
    <n v="1033"/>
    <n v="392"/>
    <n v="282780"/>
    <n v="6.27"/>
    <n v="23140"/>
    <n v="2.2667798288422093E-3"/>
  </r>
  <r>
    <s v="2025-03-31"/>
    <x v="1"/>
    <n v="988"/>
    <n v="474"/>
    <n v="370070"/>
    <n v="9.4600000000000009"/>
    <n v="23461"/>
    <n v="1.3889264193260734E-3"/>
  </r>
  <r>
    <s v="2025-03-31"/>
    <x v="2"/>
    <n v="1946"/>
    <n v="270"/>
    <n v="198350"/>
    <n v="7.5"/>
    <n v="11805"/>
    <n v="8.4497101083942528E-3"/>
  </r>
  <r>
    <s v="2025-03-31"/>
    <x v="3"/>
    <n v="1957"/>
    <n v="490"/>
    <n v="435726"/>
    <n v="4.7300000000000004"/>
    <n v="15969"/>
    <n v="3.3667947287974553E-3"/>
  </r>
  <r>
    <s v="2025-04-07"/>
    <x v="0"/>
    <n v="559"/>
    <n v="392"/>
    <n v="78789"/>
    <n v="3.19"/>
    <n v="2436"/>
    <n v="2.1195852212872357E-3"/>
  </r>
  <r>
    <s v="2025-04-07"/>
    <x v="1"/>
    <n v="1307"/>
    <n v="278"/>
    <n v="98596"/>
    <n v="2.4900000000000002"/>
    <n v="47603"/>
    <n v="1.0436528865268368E-2"/>
  </r>
  <r>
    <s v="2025-04-07"/>
    <x v="2"/>
    <n v="1432"/>
    <n v="425"/>
    <n v="29589"/>
    <n v="4.5"/>
    <n v="42964"/>
    <n v="3.4032917638311531E-2"/>
  </r>
  <r>
    <s v="2025-04-07"/>
    <x v="3"/>
    <n v="623"/>
    <n v="414"/>
    <n v="290354"/>
    <n v="6.49"/>
    <n v="39923"/>
    <n v="7.1981098934404211E-4"/>
  </r>
  <r>
    <s v="2025-04-14"/>
    <x v="0"/>
    <n v="198"/>
    <n v="358"/>
    <n v="66682"/>
    <n v="6.73"/>
    <n v="2293"/>
    <n v="-2.3994481269308059E-3"/>
  </r>
  <r>
    <s v="2025-04-14"/>
    <x v="1"/>
    <n v="198"/>
    <n v="373"/>
    <n v="70707"/>
    <n v="4.83"/>
    <n v="25920"/>
    <n v="-2.4750024750024749E-3"/>
  </r>
  <r>
    <s v="2025-04-14"/>
    <x v="2"/>
    <n v="353"/>
    <n v="300"/>
    <n v="142507"/>
    <n v="5.3"/>
    <n v="11035"/>
    <n v="3.7191155522184875E-4"/>
  </r>
  <r>
    <s v="2025-04-14"/>
    <x v="3"/>
    <n v="520"/>
    <n v="375"/>
    <n v="369525"/>
    <n v="6.54"/>
    <n v="20733"/>
    <n v="3.9239564305527366E-4"/>
  </r>
  <r>
    <s v="2025-04-21"/>
    <x v="0"/>
    <n v="961"/>
    <n v="358"/>
    <n v="62942"/>
    <n v="6.8"/>
    <n v="18693"/>
    <n v="9.5802484827301332E-3"/>
  </r>
  <r>
    <s v="2025-04-21"/>
    <x v="1"/>
    <n v="1375"/>
    <n v="330"/>
    <n v="377382"/>
    <n v="2.6"/>
    <n v="7875"/>
    <n v="2.7690774864725927E-3"/>
  </r>
  <r>
    <s v="2025-04-21"/>
    <x v="2"/>
    <n v="1147"/>
    <n v="388"/>
    <n v="333851"/>
    <n v="2.44"/>
    <n v="8471"/>
    <n v="2.2734693021737242E-3"/>
  </r>
  <r>
    <s v="2025-04-21"/>
    <x v="3"/>
    <n v="1707"/>
    <n v="74"/>
    <n v="270958"/>
    <n v="3.09"/>
    <n v="14090"/>
    <n v="6.0267642955734836E-3"/>
  </r>
  <r>
    <s v="2025-04-28"/>
    <x v="0"/>
    <n v="1693"/>
    <n v="154"/>
    <n v="445944"/>
    <n v="5.69"/>
    <n v="14216"/>
    <n v="3.4511059684624078E-3"/>
  </r>
  <r>
    <s v="2025-04-28"/>
    <x v="1"/>
    <n v="833"/>
    <n v="380"/>
    <n v="224830"/>
    <n v="3.86"/>
    <n v="3582"/>
    <n v="2.014855668727483E-3"/>
  </r>
  <r>
    <s v="2025-04-28"/>
    <x v="2"/>
    <n v="1222"/>
    <n v="274"/>
    <n v="487289"/>
    <n v="3.16"/>
    <n v="32500"/>
    <n v="1.9454574184929272E-3"/>
  </r>
  <r>
    <s v="2025-04-28"/>
    <x v="3"/>
    <n v="777"/>
    <n v="140"/>
    <n v="11435"/>
    <n v="1.6"/>
    <n v="6832"/>
    <n v="5.5706165282028861E-2"/>
  </r>
  <r>
    <s v="2025-05-05"/>
    <x v="0"/>
    <n v="1957"/>
    <n v="76"/>
    <n v="447902"/>
    <n v="6.09"/>
    <n v="33381"/>
    <n v="4.1995793722733989E-3"/>
  </r>
  <r>
    <s v="2025-05-05"/>
    <x v="1"/>
    <n v="405"/>
    <n v="66"/>
    <n v="418696"/>
    <n v="5.59"/>
    <n v="48419"/>
    <n v="8.0965664826031301E-4"/>
  </r>
  <r>
    <s v="2025-05-05"/>
    <x v="2"/>
    <n v="1581"/>
    <n v="71"/>
    <n v="484364"/>
    <n v="3.55"/>
    <n v="16149"/>
    <n v="3.1174901520344203E-3"/>
  </r>
  <r>
    <s v="2025-05-05"/>
    <x v="3"/>
    <n v="1035"/>
    <n v="171"/>
    <n v="148477"/>
    <n v="5.21"/>
    <n v="7541"/>
    <n v="5.8190830903102836E-3"/>
  </r>
  <r>
    <s v="2025-05-12"/>
    <x v="0"/>
    <n v="1765"/>
    <n v="109"/>
    <n v="468301"/>
    <n v="1.82"/>
    <n v="20042"/>
    <n v="3.5361871958419907E-3"/>
  </r>
  <r>
    <s v="2025-05-12"/>
    <x v="1"/>
    <n v="837"/>
    <n v="430"/>
    <n v="364820"/>
    <n v="4"/>
    <n v="49400"/>
    <n v="1.1156186612576065E-3"/>
  </r>
  <r>
    <s v="2025-05-12"/>
    <x v="2"/>
    <n v="337"/>
    <n v="68"/>
    <n v="456298"/>
    <n v="7.57"/>
    <n v="4007"/>
    <n v="5.8952701962314107E-4"/>
  </r>
  <r>
    <s v="2025-05-12"/>
    <x v="3"/>
    <n v="119"/>
    <n v="456"/>
    <n v="82558"/>
    <n v="6.81"/>
    <n v="12174"/>
    <n v="-4.0819787301048958E-3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9">
  <r>
    <s v="P001"/>
    <s v="Twitter"/>
    <d v="2024-12-23T00:00:00"/>
    <s v="Reel"/>
    <s v="Check out our latest reel on twitter!"/>
    <n v="1461"/>
    <n v="184"/>
    <n v="344"/>
    <n v="21915"/>
    <n v="21675"/>
    <n v="15"/>
    <s v="CybertruckLaunch"/>
    <n v="9.0759753593429152E-2"/>
    <x v="0"/>
  </r>
  <r>
    <s v="P001"/>
    <s v="Twitter"/>
    <d v="2024-12-23T00:00:00"/>
    <s v="Reel"/>
    <s v="Check out our latest reel on twitter!"/>
    <n v="1461"/>
    <n v="184"/>
    <n v="344"/>
    <n v="21915"/>
    <n v="21675"/>
    <n v="15"/>
    <s v="CybertruckLaunch"/>
    <n v="9.0759753593429152E-2"/>
    <x v="1"/>
  </r>
  <r>
    <s v="P002"/>
    <s v="Twitter"/>
    <d v="2025-04-03T00:00:00"/>
    <s v="Text"/>
    <s v="Check out our latest text on twitter!"/>
    <n v="4054"/>
    <n v="389"/>
    <n v="493"/>
    <n v="64864"/>
    <n v="64383"/>
    <n v="117"/>
    <s v="ModelYCampaign"/>
    <n v="7.6097681302417369E-2"/>
    <x v="2"/>
  </r>
  <r>
    <s v="P002"/>
    <s v="Twitter"/>
    <d v="2025-04-03T00:00:00"/>
    <s v="Text"/>
    <s v="Check out our latest text on twitter!"/>
    <n v="4054"/>
    <n v="389"/>
    <n v="493"/>
    <n v="64864"/>
    <n v="64383"/>
    <n v="117"/>
    <s v="ModelYCampaign"/>
    <n v="7.6097681302417369E-2"/>
    <x v="3"/>
  </r>
  <r>
    <s v="P003"/>
    <s v="YouTube"/>
    <d v="2025-05-12T00:00:00"/>
    <s v="Reel"/>
    <s v="Check out our latest reel on youtube!"/>
    <n v="2795"/>
    <n v="105"/>
    <n v="49"/>
    <n v="53105"/>
    <n v="52307"/>
    <n v="204"/>
    <s v="FSDUpdate"/>
    <n v="5.5531494209584788E-2"/>
    <x v="2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SustainabilityDrive"/>
    <n v="0.15105033277870217"/>
    <x v="4"/>
  </r>
  <r>
    <s v="P005"/>
    <s v="YouTube"/>
    <d v="2024-06-26T00:00:00"/>
    <s v="Reel"/>
    <s v="Check out our latest reel on youtube!"/>
    <n v="3557"/>
    <n v="687"/>
    <n v="424"/>
    <n v="71140"/>
    <n v="70701"/>
    <n v="224"/>
    <s v="CybertruckLaunch"/>
    <n v="6.5617093055946027E-2"/>
    <x v="4"/>
  </r>
  <r>
    <s v="P005"/>
    <s v="YouTube"/>
    <d v="2024-06-26T00:00:00"/>
    <s v="Reel"/>
    <s v="Check out our latest reel on youtube!"/>
    <n v="3557"/>
    <n v="687"/>
    <n v="424"/>
    <n v="71140"/>
    <n v="70701"/>
    <n v="224"/>
    <s v="CybertruckLaunch"/>
    <n v="6.5617093055946027E-2"/>
    <x v="2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ModelYCampaign"/>
    <n v="0.17954159592529711"/>
    <x v="2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ModelYCampaign"/>
    <n v="7.0272020725388601E-2"/>
    <x v="2"/>
  </r>
  <r>
    <s v="P008"/>
    <s v="YouTube"/>
    <d v="2024-07-13T00:00:00"/>
    <s v="Image"/>
    <s v="Check out our latest image on youtube!"/>
    <n v="3929"/>
    <n v="262"/>
    <n v="278"/>
    <n v="43219"/>
    <n v="42841"/>
    <n v="39"/>
    <s v="SustainabilityDrive"/>
    <n v="0.10340359564080613"/>
    <x v="4"/>
  </r>
  <r>
    <s v="P009"/>
    <s v="Facebook"/>
    <d v="2024-08-30T00:00:00"/>
    <s v="Text"/>
    <s v="Check out our latest text on facebook!"/>
    <n v="3784"/>
    <n v="808"/>
    <n v="404"/>
    <n v="56760"/>
    <n v="56343"/>
    <n v="131"/>
    <s v="ModelYCampaign"/>
    <n v="8.8019732205778717E-2"/>
    <x v="2"/>
  </r>
  <r>
    <s v="P010"/>
    <s v="Facebook"/>
    <d v="2025-03-11T00:00:00"/>
    <s v="Image"/>
    <s v="Check out our latest image on facebook!"/>
    <n v="4241"/>
    <n v="902"/>
    <n v="47"/>
    <n v="72097"/>
    <n v="71598"/>
    <n v="167"/>
    <s v="ModelYCampaign"/>
    <n v="7.198635172059864E-2"/>
    <x v="2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SustainabilityDrive"/>
    <n v="0.11571269132653061"/>
    <x v="0"/>
  </r>
  <r>
    <s v="P012"/>
    <s v="Facebook"/>
    <d v="2024-07-21T00:00:00"/>
    <s v="Reel"/>
    <s v="Check out our latest reel on facebook!"/>
    <n v="1946"/>
    <n v="686"/>
    <n v="377"/>
    <n v="23352"/>
    <n v="22982"/>
    <n v="213"/>
    <s v="FSDUpdate"/>
    <n v="0.12885405960945528"/>
    <x v="0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CybertruckLaunch"/>
    <n v="7.5868578363072495E-2"/>
    <x v="4"/>
  </r>
  <r>
    <s v="P014"/>
    <s v="Facebook"/>
    <d v="2025-02-16T00:00:00"/>
    <s v="Story"/>
    <s v="Check out our latest story on facebook!"/>
    <n v="4242"/>
    <n v="555"/>
    <n v="131"/>
    <n v="33936"/>
    <n v="33802"/>
    <n v="265"/>
    <s v="SustainabilityDrive"/>
    <n v="0.14521452145214522"/>
    <x v="0"/>
  </r>
  <r>
    <s v="P015"/>
    <s v="Facebook"/>
    <d v="2024-10-24T00:00:00"/>
    <s v="Video"/>
    <s v="Check out our latest video on facebook!"/>
    <n v="3888"/>
    <n v="604"/>
    <n v="128"/>
    <n v="77760"/>
    <n v="77167"/>
    <n v="20"/>
    <s v="CybertruckLaunch"/>
    <n v="5.941358024691358E-2"/>
    <x v="0"/>
  </r>
  <r>
    <s v="P016"/>
    <s v="Facebook"/>
    <d v="2024-08-26T00:00:00"/>
    <s v="Text"/>
    <s v="Check out our latest text on facebook!"/>
    <n v="3452"/>
    <n v="377"/>
    <n v="360"/>
    <n v="55232"/>
    <n v="55075"/>
    <n v="87"/>
    <s v="FSDUpdate"/>
    <n v="7.5843713789107758E-2"/>
    <x v="0"/>
  </r>
  <r>
    <s v="P017"/>
    <s v="Facebook"/>
    <d v="2025-05-05T00:00:00"/>
    <s v="Text"/>
    <s v="Check out our latest text on facebook!"/>
    <n v="4441"/>
    <n v="511"/>
    <n v="70"/>
    <n v="53292"/>
    <n v="53082"/>
    <n v="159"/>
    <s v="SustainabilityDrive"/>
    <n v="9.4235532537716729E-2"/>
    <x v="4"/>
  </r>
  <r>
    <s v="P018"/>
    <s v="Instagram"/>
    <d v="2024-08-19T00:00:00"/>
    <s v="Reel"/>
    <s v="Check out our latest reel on instagram!"/>
    <n v="3000"/>
    <n v="382"/>
    <n v="325"/>
    <n v="36000"/>
    <n v="35819"/>
    <n v="19"/>
    <s v="CybertruckLaunch"/>
    <n v="0.10297222222222223"/>
    <x v="0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SustainabilityDrive"/>
    <n v="0.10034235916588857"/>
    <x v="2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CybertruckLaunch"/>
    <n v="6.3809622724794221E-2"/>
    <x v="2"/>
  </r>
  <r>
    <s v="P021"/>
    <s v="Instagram"/>
    <d v="2025-01-04T00:00:00"/>
    <s v="Reel"/>
    <s v="Check out our latest reel on instagram!"/>
    <n v="4838"/>
    <n v="640"/>
    <n v="128"/>
    <n v="72570"/>
    <n v="72396"/>
    <n v="83"/>
    <s v="SustainabilityDrive"/>
    <n v="7.7249552156538517E-2"/>
    <x v="0"/>
  </r>
  <r>
    <s v="P022"/>
    <s v="Facebook"/>
    <d v="2025-02-27T00:00:00"/>
    <s v="Text"/>
    <s v="Check out our latest text on facebook!"/>
    <n v="1570"/>
    <n v="187"/>
    <n v="260"/>
    <n v="25120"/>
    <n v="24613"/>
    <n v="133"/>
    <s v="SustainabilityDrive"/>
    <n v="8.0294585987261149E-2"/>
    <x v="2"/>
  </r>
  <r>
    <s v="P023"/>
    <s v="Facebook"/>
    <d v="2024-11-06T00:00:00"/>
    <s v="Video"/>
    <s v="Check out our latest video on facebook!"/>
    <n v="1606"/>
    <n v="547"/>
    <n v="316"/>
    <n v="32120"/>
    <n v="31736"/>
    <n v="225"/>
    <s v="ModelYCampaign"/>
    <n v="7.6867995018679955E-2"/>
    <x v="2"/>
  </r>
  <r>
    <s v="P023"/>
    <s v="Facebook"/>
    <d v="2024-11-06T00:00:00"/>
    <s v="Video"/>
    <s v="Check out our latest video on facebook!"/>
    <n v="1606"/>
    <n v="547"/>
    <n v="316"/>
    <n v="32120"/>
    <n v="31736"/>
    <n v="225"/>
    <s v="ModelYCampaign"/>
    <n v="7.6867995018679955E-2"/>
    <x v="1"/>
  </r>
  <r>
    <s v="P024"/>
    <s v="Facebook"/>
    <d v="2025-01-23T00:00:00"/>
    <s v="Video"/>
    <s v="Check out our latest video on facebook!"/>
    <n v="3961"/>
    <n v="761"/>
    <n v="131"/>
    <n v="67337"/>
    <n v="66615"/>
    <n v="161"/>
    <s v="FSDUpdate"/>
    <n v="7.2070332803659209E-2"/>
    <x v="0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CybertruckLaunch"/>
    <n v="5.9496567505720827E-2"/>
    <x v="4"/>
  </r>
  <r>
    <s v="P026"/>
    <s v="YouTube"/>
    <d v="2025-04-05T00:00:00"/>
    <s v="Reel"/>
    <s v="Check out our latest reel on youtube!"/>
    <n v="3009"/>
    <n v="413"/>
    <n v="358"/>
    <n v="42126"/>
    <n v="41309"/>
    <n v="211"/>
    <s v="ModelYCampaign"/>
    <n v="8.9730807577268201E-2"/>
    <x v="0"/>
  </r>
  <r>
    <s v="P027"/>
    <s v="YouTube"/>
    <d v="2024-09-17T00:00:00"/>
    <s v="Text"/>
    <s v="Check out our latest text on youtube!"/>
    <n v="2076"/>
    <n v="195"/>
    <n v="104"/>
    <n v="33216"/>
    <n v="32244"/>
    <n v="51"/>
    <s v="SustainabilityDrive"/>
    <n v="7.1501685934489398E-2"/>
    <x v="0"/>
  </r>
  <r>
    <s v="P028"/>
    <s v="Instagram"/>
    <d v="2025-03-04T00:00:00"/>
    <s v="Video"/>
    <s v="Check out our latest video on instagram!"/>
    <n v="432"/>
    <n v="624"/>
    <n v="123"/>
    <n v="6912"/>
    <n v="6259"/>
    <n v="79"/>
    <s v="SustainabilityDrive"/>
    <n v="0.17057291666666666"/>
    <x v="0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FSDUpdate"/>
    <n v="0.21208106001558846"/>
    <x v="0"/>
  </r>
  <r>
    <s v="P030"/>
    <s v="Instagram"/>
    <d v="2025-02-25T00:00:00"/>
    <s v="Video"/>
    <s v="Check out our latest video on instagram!"/>
    <n v="3095"/>
    <n v="39"/>
    <n v="78"/>
    <n v="55710"/>
    <n v="54808"/>
    <n v="93"/>
    <s v="CybertruckLaunch"/>
    <n v="5.7655717106444085E-2"/>
    <x v="4"/>
  </r>
  <r>
    <s v="P031"/>
    <s v="Instagram"/>
    <d v="2024-12-16T00:00:00"/>
    <s v="Text"/>
    <s v="Check out our latest text on instagram!"/>
    <n v="438"/>
    <n v="153"/>
    <n v="275"/>
    <n v="3066"/>
    <n v="2701"/>
    <n v="282"/>
    <s v="ModelYCampaign"/>
    <n v="0.28245270711024134"/>
    <x v="2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CybertruckLaunch"/>
    <n v="0.19088381621305239"/>
    <x v="4"/>
  </r>
  <r>
    <s v="P033"/>
    <s v="Facebook"/>
    <d v="2024-08-21T00:00:00"/>
    <s v="Image"/>
    <s v="Check out our latest image on facebook!"/>
    <n v="1407"/>
    <n v="400"/>
    <n v="351"/>
    <n v="16884"/>
    <n v="15954"/>
    <n v="113"/>
    <s v="CybertruckLaunch"/>
    <n v="0.12781331438047855"/>
    <x v="2"/>
  </r>
  <r>
    <s v="P034"/>
    <s v="Facebook"/>
    <d v="2025-03-26T00:00:00"/>
    <s v="Text"/>
    <s v="Check out our latest text on facebook!"/>
    <n v="1652"/>
    <n v="89"/>
    <n v="357"/>
    <n v="29736"/>
    <n v="28771"/>
    <n v="215"/>
    <s v="FSDUpdate"/>
    <n v="7.055421038471886E-2"/>
    <x v="2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ModelYCampaign"/>
    <n v="0.11861662987490802"/>
    <x v="0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ModelYCampaign"/>
    <n v="7.6523535487678915E-2"/>
    <x v="4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ModelYCampaign"/>
    <n v="0.17770337301587302"/>
    <x v="4"/>
  </r>
  <r>
    <s v="P038"/>
    <s v="YouTube"/>
    <d v="2025-02-17T00:00:00"/>
    <s v="Reel"/>
    <s v="Check out our latest reel on youtube!"/>
    <n v="3138"/>
    <n v="123"/>
    <n v="291"/>
    <n v="28242"/>
    <n v="27550"/>
    <n v="87"/>
    <s v="SustainabilityDrive"/>
    <n v="0.12577012959422137"/>
    <x v="2"/>
  </r>
  <r>
    <s v="P039"/>
    <s v="Facebook"/>
    <d v="2024-11-25T00:00:00"/>
    <s v="Image"/>
    <s v="Check out our latest image on facebook!"/>
    <n v="3564"/>
    <n v="629"/>
    <n v="177"/>
    <n v="60588"/>
    <n v="59627"/>
    <n v="92"/>
    <s v="ModelYCampaign"/>
    <n v="7.2126493695121141E-2"/>
    <x v="2"/>
  </r>
  <r>
    <s v="P040"/>
    <s v="Twitter"/>
    <d v="2025-03-07T00:00:00"/>
    <s v="Image"/>
    <s v="Check out our latest image on twitter!"/>
    <n v="4750"/>
    <n v="151"/>
    <n v="415"/>
    <n v="38000"/>
    <n v="37792"/>
    <n v="299"/>
    <s v="SustainabilityDrive"/>
    <n v="0.13989473684210527"/>
    <x v="4"/>
  </r>
  <r>
    <s v="P041"/>
    <s v="Instagram"/>
    <d v="2025-03-08T00:00:00"/>
    <s v="Reel"/>
    <s v="Check out our latest reel on instagram!"/>
    <n v="456"/>
    <n v="629"/>
    <n v="428"/>
    <n v="8208"/>
    <n v="7377"/>
    <n v="205"/>
    <s v="SustainabilityDrive"/>
    <n v="0.18433235867446393"/>
    <x v="0"/>
  </r>
  <r>
    <s v="P042"/>
    <s v="YouTube"/>
    <d v="2025-03-05T00:00:00"/>
    <s v="Reel"/>
    <s v="Check out our latest reel on youtube!"/>
    <n v="1543"/>
    <n v="820"/>
    <n v="333"/>
    <n v="12344"/>
    <n v="11496"/>
    <n v="241"/>
    <s v="CybertruckLaunch"/>
    <n v="0.21840570317563188"/>
    <x v="4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FSDUpdate"/>
    <n v="0.21826126954921804"/>
    <x v="2"/>
  </r>
  <r>
    <s v="P044"/>
    <s v="Twitter"/>
    <d v="2025-03-02T00:00:00"/>
    <s v="Image"/>
    <s v="Check out our latest image on twitter!"/>
    <n v="2358"/>
    <n v="784"/>
    <n v="344"/>
    <n v="35370"/>
    <n v="34475"/>
    <n v="216"/>
    <s v="ModelYCampaign"/>
    <n v="9.8558100084817649E-2"/>
    <x v="2"/>
  </r>
  <r>
    <s v="P045"/>
    <s v="Facebook"/>
    <d v="2024-11-01T00:00:00"/>
    <s v="Video"/>
    <s v="Check out our latest video on facebook!"/>
    <n v="3371"/>
    <n v="106"/>
    <n v="327"/>
    <n v="50565"/>
    <n v="49816"/>
    <n v="176"/>
    <s v="CybertruckLaunch"/>
    <n v="7.5229902106199939E-2"/>
    <x v="0"/>
  </r>
  <r>
    <s v="P046"/>
    <s v="Twitter"/>
    <d v="2025-05-02T00:00:00"/>
    <s v="Video"/>
    <s v="Check out our latest video on twitter!"/>
    <n v="1108"/>
    <n v="177"/>
    <n v="212"/>
    <n v="8864"/>
    <n v="8710"/>
    <n v="97"/>
    <s v="SustainabilityDrive"/>
    <n v="0.16888537906137185"/>
    <x v="2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SustainabilityDrive"/>
    <n v="0.16683616863905326"/>
    <x v="0"/>
  </r>
  <r>
    <s v="P048"/>
    <s v="Twitter"/>
    <d v="2025-03-11T00:00:00"/>
    <s v="Story"/>
    <s v="Check out our latest story on twitter!"/>
    <n v="1950"/>
    <n v="295"/>
    <n v="478"/>
    <n v="37050"/>
    <n v="36272"/>
    <n v="119"/>
    <s v="ModelYCampaign"/>
    <n v="7.349527665317139E-2"/>
    <x v="2"/>
  </r>
  <r>
    <s v="P049"/>
    <s v="Twitter"/>
    <d v="2024-06-10T00:00:00"/>
    <s v="Story"/>
    <s v="Check out our latest story on twitter!"/>
    <n v="2164"/>
    <n v="549"/>
    <n v="274"/>
    <n v="28132"/>
    <n v="27361"/>
    <n v="177"/>
    <s v="SustainabilityDrive"/>
    <n v="0.10617801791554102"/>
    <x v="2"/>
  </r>
  <r>
    <s v="P050"/>
    <s v="YouTube"/>
    <d v="2024-07-03T00:00:00"/>
    <s v="Story"/>
    <s v="Check out our latest story on youtube!"/>
    <n v="2754"/>
    <n v="130"/>
    <n v="90"/>
    <n v="22032"/>
    <n v="21288"/>
    <n v="112"/>
    <s v="FSDUpdate"/>
    <n v="0.13498547567175018"/>
    <x v="2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ModelYCampaign"/>
    <n v="7.8689839572192513E-2"/>
    <x v="0"/>
  </r>
  <r>
    <s v="P052"/>
    <s v="Facebook"/>
    <d v="2025-01-03T00:00:00"/>
    <s v="Image"/>
    <s v="Check out our latest image on facebook!"/>
    <n v="947"/>
    <n v="338"/>
    <n v="350"/>
    <n v="10417"/>
    <n v="9730"/>
    <n v="34"/>
    <s v="SustainabilityDrive"/>
    <n v="0.1569549774407219"/>
    <x v="2"/>
  </r>
  <r>
    <s v="P053"/>
    <s v="YouTube"/>
    <d v="2025-02-24T00:00:00"/>
    <s v="Carousel"/>
    <s v="Check out our latest carousel on youtube!"/>
    <n v="804"/>
    <n v="639"/>
    <n v="43"/>
    <n v="4020"/>
    <n v="3144"/>
    <n v="11"/>
    <s v="CybertruckLaunch"/>
    <n v="0.36965174129353234"/>
    <x v="4"/>
  </r>
  <r>
    <s v="P053"/>
    <s v="YouTube"/>
    <d v="2025-02-24T00:00:00"/>
    <s v="Carousel"/>
    <s v="Check out our latest carousel on youtube!"/>
    <n v="804"/>
    <n v="639"/>
    <n v="43"/>
    <n v="4020"/>
    <n v="3144"/>
    <n v="11"/>
    <s v="CybertruckLaunch"/>
    <n v="0.36965174129353234"/>
    <x v="3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ModelYCampaign"/>
    <n v="0.16510298716704411"/>
    <x v="0"/>
  </r>
  <r>
    <s v="P055"/>
    <s v="Facebook"/>
    <d v="2024-06-17T00:00:00"/>
    <s v="Image"/>
    <s v="Check out our latest image on facebook!"/>
    <n v="1226"/>
    <n v="119"/>
    <n v="7"/>
    <n v="14712"/>
    <n v="14049"/>
    <n v="123"/>
    <s v="SustainabilityDrive"/>
    <n v="9.1897770527460579E-2"/>
    <x v="4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FSDUpdate"/>
    <n v="0.12936184657162253"/>
    <x v="0"/>
  </r>
  <r>
    <s v="P057"/>
    <s v="Twitter"/>
    <d v="2024-10-21T00:00:00"/>
    <s v="Video"/>
    <s v="Check out our latest video on twitter!"/>
    <n v="2825"/>
    <n v="535"/>
    <n v="295"/>
    <n v="45200"/>
    <n v="44739"/>
    <n v="169"/>
    <s v="CybertruckLaunch"/>
    <n v="8.0862831858407078E-2"/>
    <x v="2"/>
  </r>
  <r>
    <s v="P058"/>
    <s v="Instagram"/>
    <d v="2025-04-15T00:00:00"/>
    <s v="Reel"/>
    <s v="Check out our latest reel on instagram!"/>
    <n v="103"/>
    <n v="770"/>
    <n v="19"/>
    <n v="1030"/>
    <n v="410"/>
    <n v="262"/>
    <s v="SustainabilityDrive"/>
    <n v="0.86601941747572819"/>
    <x v="2"/>
  </r>
  <r>
    <s v="P059"/>
    <s v="Instagram"/>
    <d v="2024-06-22T00:00:00"/>
    <s v="Text"/>
    <s v="Check out our latest text on instagram!"/>
    <n v="2180"/>
    <n v="263"/>
    <n v="387"/>
    <n v="30520"/>
    <n v="30059"/>
    <n v="174"/>
    <s v="CybertruckLaunch"/>
    <n v="9.2726081258191345E-2"/>
    <x v="4"/>
  </r>
  <r>
    <s v="P060"/>
    <s v="Instagram"/>
    <d v="2025-01-28T00:00:00"/>
    <s v="Video"/>
    <s v="Check out our latest video on instagram!"/>
    <n v="904"/>
    <n v="973"/>
    <n v="63"/>
    <n v="11752"/>
    <n v="11580"/>
    <n v="84"/>
    <s v="FSDUpdate"/>
    <n v="0.1650782845473111"/>
    <x v="4"/>
  </r>
  <r>
    <s v="P060"/>
    <s v="Instagram"/>
    <d v="2025-01-28T00:00:00"/>
    <s v="Video"/>
    <s v="Check out our latest video on instagram!"/>
    <n v="904"/>
    <n v="973"/>
    <n v="63"/>
    <n v="11752"/>
    <n v="11580"/>
    <n v="84"/>
    <s v="FSDUpdate"/>
    <n v="0.1650782845473111"/>
    <x v="2"/>
  </r>
  <r>
    <s v="P060"/>
    <s v="Instagram"/>
    <d v="2025-01-28T00:00:00"/>
    <s v="Video"/>
    <s v="Check out our latest video on instagram!"/>
    <n v="904"/>
    <n v="973"/>
    <n v="63"/>
    <n v="11752"/>
    <n v="11580"/>
    <n v="84"/>
    <s v="FSDUpdate"/>
    <n v="0.1650782845473111"/>
    <x v="1"/>
  </r>
  <r>
    <s v="P061"/>
    <s v="Twitter"/>
    <d v="2024-09-05T00:00:00"/>
    <s v="Video"/>
    <s v="Check out our latest video on twitter!"/>
    <n v="4886"/>
    <n v="983"/>
    <n v="409"/>
    <n v="43974"/>
    <n v="43239"/>
    <n v="65"/>
    <s v="CybertruckLaunch"/>
    <n v="0.14276618001546368"/>
    <x v="2"/>
  </r>
  <r>
    <s v="P062"/>
    <s v="Twitter"/>
    <d v="2024-11-22T00:00:00"/>
    <s v="Carousel"/>
    <s v="Check out our latest carousel on twitter!"/>
    <n v="53"/>
    <n v="81"/>
    <n v="379"/>
    <n v="954"/>
    <n v="7"/>
    <n v="148"/>
    <s v="FSDUpdate"/>
    <n v="0.53773584905660377"/>
    <x v="2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FSDUpdate"/>
    <n v="5.2551586421122697E-2"/>
    <x v="0"/>
  </r>
  <r>
    <s v="P064"/>
    <s v="Facebook"/>
    <d v="2024-08-17T00:00:00"/>
    <s v="Image"/>
    <s v="Check out our latest image on facebook!"/>
    <n v="2878"/>
    <n v="248"/>
    <n v="416"/>
    <n v="43170"/>
    <n v="42667"/>
    <n v="75"/>
    <s v="FSDUpdate"/>
    <n v="8.2047718322909427E-2"/>
    <x v="0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CybertruckLaunch"/>
    <n v="0.11990720603160794"/>
    <x v="4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CybertruckLaunch"/>
    <n v="0.29199735449735448"/>
    <x v="4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FSDUpdate"/>
    <n v="6.3749764195434822E-2"/>
    <x v="4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CybertruckLaunch"/>
    <n v="0.19310344827586207"/>
    <x v="4"/>
  </r>
  <r>
    <s v="P069"/>
    <s v="Twitter"/>
    <d v="2025-03-08T00:00:00"/>
    <s v="Text"/>
    <s v="Check out our latest text on twitter!"/>
    <n v="1292"/>
    <n v="626"/>
    <n v="496"/>
    <n v="25840"/>
    <n v="24916"/>
    <n v="149"/>
    <s v="FSDUpdate"/>
    <n v="9.3421052631578946E-2"/>
    <x v="0"/>
  </r>
  <r>
    <s v="P070"/>
    <s v="Facebook"/>
    <d v="2025-04-02T00:00:00"/>
    <s v="Video"/>
    <s v="Check out our latest video on facebook!"/>
    <n v="199"/>
    <n v="772"/>
    <n v="400"/>
    <n v="3582"/>
    <n v="2988"/>
    <n v="43"/>
    <s v="ModelYCampaign"/>
    <n v="0.38274706867671693"/>
    <x v="2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ModelYCampaign"/>
    <n v="0.1199202926956749"/>
    <x v="2"/>
  </r>
  <r>
    <s v="P072"/>
    <s v="YouTube"/>
    <d v="2025-03-03T00:00:00"/>
    <s v="Reel"/>
    <s v="Check out our latest reel on youtube!"/>
    <n v="296"/>
    <n v="60"/>
    <n v="141"/>
    <n v="5624"/>
    <n v="5239"/>
    <n v="88"/>
    <s v="ModelYCampaign"/>
    <n v="8.837126600284495E-2"/>
    <x v="4"/>
  </r>
  <r>
    <s v="P073"/>
    <s v="Facebook"/>
    <d v="2024-10-18T00:00:00"/>
    <s v="Story"/>
    <s v="Check out our latest story on facebook!"/>
    <n v="4126"/>
    <n v="426"/>
    <n v="486"/>
    <n v="78394"/>
    <n v="77798"/>
    <n v="88"/>
    <s v="SustainabilityDrive"/>
    <n v="6.4265122330790625E-2"/>
    <x v="0"/>
  </r>
  <r>
    <s v="P074"/>
    <s v="YouTube"/>
    <d v="2024-10-28T00:00:00"/>
    <s v="Reel"/>
    <s v="Check out our latest reel on youtube!"/>
    <n v="1855"/>
    <n v="200"/>
    <n v="174"/>
    <n v="16695"/>
    <n v="16330"/>
    <n v="123"/>
    <s v="FSDUpdate"/>
    <n v="0.13351302785265048"/>
    <x v="2"/>
  </r>
  <r>
    <s v="P075"/>
    <s v="Instagram"/>
    <d v="2024-08-01T00:00:00"/>
    <s v="Reel"/>
    <s v="Check out our latest reel on instagram!"/>
    <n v="1674"/>
    <n v="929"/>
    <n v="37"/>
    <n v="21762"/>
    <n v="20998"/>
    <n v="255"/>
    <s v="SustainabilityDrive"/>
    <n v="0.12131237937689551"/>
    <x v="2"/>
  </r>
  <r>
    <s v="P076"/>
    <s v="Twitter"/>
    <d v="2024-11-07T00:00:00"/>
    <s v="Story"/>
    <s v="Check out our latest story on twitter!"/>
    <n v="1121"/>
    <n v="135"/>
    <n v="18"/>
    <n v="15694"/>
    <n v="14957"/>
    <n v="99"/>
    <s v="SustainabilityDrive"/>
    <n v="8.1177520071364848E-2"/>
    <x v="2"/>
  </r>
  <r>
    <s v="P077"/>
    <s v="Facebook"/>
    <d v="2025-03-04T00:00:00"/>
    <s v="Story"/>
    <s v="Check out our latest story on facebook!"/>
    <n v="1249"/>
    <n v="116"/>
    <n v="420"/>
    <n v="8743"/>
    <n v="8538"/>
    <n v="63"/>
    <s v="ModelYCampaign"/>
    <n v="0.20416333066453163"/>
    <x v="2"/>
  </r>
  <r>
    <s v="P078"/>
    <s v="Twitter"/>
    <d v="2024-06-17T00:00:00"/>
    <s v="Image"/>
    <s v="Check out our latest image on twitter!"/>
    <n v="954"/>
    <n v="324"/>
    <n v="288"/>
    <n v="19080"/>
    <n v="18859"/>
    <n v="21"/>
    <s v="SustainabilityDrive"/>
    <n v="8.2075471698113203E-2"/>
    <x v="0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ModelYCampaign"/>
    <n v="8.860696018453515E-2"/>
    <x v="4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SustainabilityDrive"/>
    <n v="7.7533348349475686E-2"/>
    <x v="0"/>
  </r>
  <r>
    <s v="P081"/>
    <s v="Instagram"/>
    <d v="2024-10-19T00:00:00"/>
    <s v="Story"/>
    <s v="Check out our latest story on instagram!"/>
    <n v="1816"/>
    <n v="29"/>
    <n v="41"/>
    <n v="19976"/>
    <n v="19262"/>
    <n v="283"/>
    <s v="FSDUpdate"/>
    <n v="9.4413295955146179E-2"/>
    <x v="2"/>
  </r>
  <r>
    <s v="P082"/>
    <s v="Instagram"/>
    <d v="2024-07-24T00:00:00"/>
    <s v="Image"/>
    <s v="Check out our latest image on instagram!"/>
    <n v="725"/>
    <n v="88"/>
    <n v="428"/>
    <n v="14500"/>
    <n v="13637"/>
    <n v="200"/>
    <s v="FSDUpdate"/>
    <n v="8.558620689655172E-2"/>
    <x v="0"/>
  </r>
  <r>
    <s v="P082"/>
    <s v="Instagram"/>
    <d v="2024-07-24T00:00:00"/>
    <s v="Image"/>
    <s v="Check out our latest image on instagram!"/>
    <n v="725"/>
    <n v="88"/>
    <n v="428"/>
    <n v="14500"/>
    <n v="13637"/>
    <n v="200"/>
    <s v="FSDUpdate"/>
    <n v="8.558620689655172E-2"/>
    <x v="2"/>
  </r>
  <r>
    <s v="P082"/>
    <s v="Instagram"/>
    <d v="2024-07-24T00:00:00"/>
    <s v="Image"/>
    <s v="Check out our latest image on instagram!"/>
    <n v="725"/>
    <n v="88"/>
    <n v="428"/>
    <n v="14500"/>
    <n v="13637"/>
    <n v="200"/>
    <s v="FSDUpdate"/>
    <n v="8.558620689655172E-2"/>
    <x v="1"/>
  </r>
  <r>
    <s v="P083"/>
    <s v="YouTube"/>
    <d v="2024-10-15T00:00:00"/>
    <s v="Video"/>
    <s v="Check out our latest video on youtube!"/>
    <n v="1094"/>
    <n v="472"/>
    <n v="21"/>
    <n v="9846"/>
    <n v="9609"/>
    <n v="112"/>
    <s v="CybertruckLaunch"/>
    <n v="0.16118220597196831"/>
    <x v="4"/>
  </r>
  <r>
    <s v="P084"/>
    <s v="Facebook"/>
    <d v="2024-12-09T00:00:00"/>
    <s v="Image"/>
    <s v="Check out our latest image on facebook!"/>
    <n v="1841"/>
    <n v="851"/>
    <n v="342"/>
    <n v="34979"/>
    <n v="34154"/>
    <n v="255"/>
    <s v="SustainabilityDrive"/>
    <n v="8.6737756939878216E-2"/>
    <x v="0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CybertruckLaunch"/>
    <n v="0.19156491900087783"/>
    <x v="0"/>
  </r>
  <r>
    <s v="P086"/>
    <s v="YouTube"/>
    <d v="2025-01-27T00:00:00"/>
    <s v="Text"/>
    <s v="Check out our latest text on youtube!"/>
    <n v="3428"/>
    <n v="305"/>
    <n v="85"/>
    <n v="58276"/>
    <n v="58052"/>
    <n v="242"/>
    <s v="SustainabilityDrive"/>
    <n v="6.5515821264328367E-2"/>
    <x v="4"/>
  </r>
  <r>
    <s v="P086"/>
    <s v="YouTube"/>
    <d v="2025-01-27T00:00:00"/>
    <s v="Text"/>
    <s v="Check out our latest text on youtube!"/>
    <n v="3428"/>
    <n v="305"/>
    <n v="85"/>
    <n v="58276"/>
    <n v="58052"/>
    <n v="242"/>
    <s v="SustainabilityDrive"/>
    <n v="6.5515821264328367E-2"/>
    <x v="3"/>
  </r>
  <r>
    <s v="P087"/>
    <s v="Twitter"/>
    <d v="2024-06-06T00:00:00"/>
    <s v="Video"/>
    <s v="Check out our latest video on twitter!"/>
    <n v="1436"/>
    <n v="765"/>
    <n v="496"/>
    <n v="12924"/>
    <n v="12701"/>
    <n v="197"/>
    <s v="FSDUpdate"/>
    <n v="0.20868152274837512"/>
    <x v="0"/>
  </r>
  <r>
    <s v="P088"/>
    <s v="Facebook"/>
    <d v="2024-07-07T00:00:00"/>
    <s v="Story"/>
    <s v="Check out our latest story on facebook!"/>
    <n v="302"/>
    <n v="47"/>
    <n v="430"/>
    <n v="5738"/>
    <n v="4890"/>
    <n v="25"/>
    <s v="SustainabilityDrive"/>
    <n v="0.13576158940397351"/>
    <x v="2"/>
  </r>
  <r>
    <s v="P089"/>
    <s v="Twitter"/>
    <d v="2025-01-10T00:00:00"/>
    <s v="Image"/>
    <s v="Check out our latest image on twitter!"/>
    <n v="2214"/>
    <n v="249"/>
    <n v="152"/>
    <n v="15498"/>
    <n v="14800"/>
    <n v="180"/>
    <s v="CybertruckLaunch"/>
    <n v="0.16873144921925409"/>
    <x v="4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SustainabilityDrive"/>
    <n v="7.0822181933293038E-2"/>
    <x v="2"/>
  </r>
  <r>
    <s v="P091"/>
    <s v="Facebook"/>
    <d v="2025-03-24T00:00:00"/>
    <s v="Image"/>
    <s v="Check out our latest image on facebook!"/>
    <n v="1263"/>
    <n v="397"/>
    <n v="357"/>
    <n v="25260"/>
    <n v="24615"/>
    <n v="137"/>
    <s v="SustainabilityDrive"/>
    <n v="7.984956452889945E-2"/>
    <x v="4"/>
  </r>
  <r>
    <s v="P092"/>
    <s v="Twitter"/>
    <d v="2024-10-21T00:00:00"/>
    <s v="Story"/>
    <s v="Check out our latest story on twitter!"/>
    <n v="3801"/>
    <n v="967"/>
    <n v="401"/>
    <n v="38010"/>
    <n v="37625"/>
    <n v="236"/>
    <s v="FSDUpdate"/>
    <n v="0.13599052880820836"/>
    <x v="0"/>
  </r>
  <r>
    <s v="P093"/>
    <s v="Instagram"/>
    <d v="2024-12-11T00:00:00"/>
    <s v="Video"/>
    <s v="Check out our latest video on instagram!"/>
    <n v="1431"/>
    <n v="951"/>
    <n v="26"/>
    <n v="8586"/>
    <n v="8396"/>
    <n v="150"/>
    <s v="FSDUpdate"/>
    <n v="0.28045655718611695"/>
    <x v="4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FSDUpdate"/>
    <n v="0.16843866371633656"/>
    <x v="0"/>
  </r>
  <r>
    <s v="P095"/>
    <s v="Instagram"/>
    <d v="2024-11-08T00:00:00"/>
    <s v="Text"/>
    <s v="Check out our latest text on instagram!"/>
    <n v="3182"/>
    <n v="559"/>
    <n v="160"/>
    <n v="57276"/>
    <n v="56890"/>
    <n v="163"/>
    <s v="SustainabilityDrive"/>
    <n v="6.8108806480899509E-2"/>
    <x v="0"/>
  </r>
  <r>
    <s v="P096"/>
    <s v="Twitter"/>
    <d v="2024-09-10T00:00:00"/>
    <s v="Image"/>
    <s v="Check out our latest image on twitter!"/>
    <n v="1238"/>
    <n v="366"/>
    <n v="444"/>
    <n v="19808"/>
    <n v="19334"/>
    <n v="123"/>
    <s v="SustainabilityDrive"/>
    <n v="0.10339256865912763"/>
    <x v="0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ModelYCampaign"/>
    <n v="8.7668609086629767E-2"/>
    <x v="2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ModelYCampaign"/>
    <n v="8.7668609086629767E-2"/>
    <x v="1"/>
  </r>
  <r>
    <s v="P098"/>
    <s v="Twitter"/>
    <d v="2024-06-10T00:00:00"/>
    <s v="Story"/>
    <s v="Check out our latest story on twitter!"/>
    <n v="1575"/>
    <n v="771"/>
    <n v="486"/>
    <n v="25200"/>
    <n v="24826"/>
    <n v="17"/>
    <s v="SustainabilityDrive"/>
    <n v="0.11238095238095239"/>
    <x v="0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FSDUpdate"/>
    <n v="7.2000119875329657E-2"/>
    <x v="0"/>
  </r>
  <r>
    <s v="P100"/>
    <s v="YouTube"/>
    <d v="2025-02-10T00:00:00"/>
    <s v="Video"/>
    <s v="Check out our latest video on youtube!"/>
    <n v="1766"/>
    <n v="92"/>
    <n v="424"/>
    <n v="24724"/>
    <n v="24333"/>
    <n v="52"/>
    <s v="CybertruckLaunch"/>
    <n v="9.2298980747451867E-2"/>
    <x v="4"/>
  </r>
  <r>
    <s v="P101"/>
    <s v="YouTube"/>
    <d v="2024-10-18T00:00:00"/>
    <s v="Video"/>
    <s v="Check out our latest video on youtube!"/>
    <n v="4450"/>
    <n v="983"/>
    <n v="143"/>
    <n v="75650"/>
    <n v="75008"/>
    <n v="12"/>
    <s v="FSDUpdate"/>
    <n v="7.3707865168539333E-2"/>
    <x v="0"/>
  </r>
  <r>
    <s v="P102"/>
    <s v="Twitter"/>
    <d v="2024-09-18T00:00:00"/>
    <s v="Reel"/>
    <s v="Check out our latest reel on twitter!"/>
    <n v="1000"/>
    <n v="978"/>
    <n v="162"/>
    <n v="6000"/>
    <n v="5221"/>
    <n v="223"/>
    <s v="ModelYCampaign"/>
    <n v="0.35666666666666669"/>
    <x v="4"/>
  </r>
  <r>
    <s v="P103"/>
    <s v="Facebook"/>
    <d v="2024-06-11T00:00:00"/>
    <s v="Image"/>
    <s v="Check out our latest image on facebook!"/>
    <n v="3689"/>
    <n v="48"/>
    <n v="306"/>
    <n v="40579"/>
    <n v="39588"/>
    <n v="212"/>
    <s v="ModelYCampaign"/>
    <n v="9.9632815002833983E-2"/>
    <x v="4"/>
  </r>
  <r>
    <s v="P104"/>
    <s v="YouTube"/>
    <d v="2025-03-23T00:00:00"/>
    <s v="Story"/>
    <s v="Check out our latest story on youtube!"/>
    <n v="3655"/>
    <n v="568"/>
    <n v="286"/>
    <n v="32895"/>
    <n v="32015"/>
    <n v="199"/>
    <s v="FSDUpdate"/>
    <n v="0.13707250341997265"/>
    <x v="2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CybertruckLaunch"/>
    <n v="0.12896028558679162"/>
    <x v="0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SustainabilityDrive"/>
    <n v="8.5718409468138843E-2"/>
    <x v="2"/>
  </r>
  <r>
    <s v="P107"/>
    <s v="YouTube"/>
    <d v="2024-06-21T00:00:00"/>
    <s v="Image"/>
    <s v="Check out our latest image on youtube!"/>
    <n v="4832"/>
    <n v="893"/>
    <n v="10"/>
    <n v="91808"/>
    <n v="91296"/>
    <n v="182"/>
    <s v="ModelYCampaign"/>
    <n v="6.2467323109097243E-2"/>
    <x v="2"/>
  </r>
  <r>
    <s v="P108"/>
    <s v="Twitter"/>
    <d v="2025-03-25T00:00:00"/>
    <s v="Video"/>
    <s v="Check out our latest video on twitter!"/>
    <n v="4050"/>
    <n v="871"/>
    <n v="347"/>
    <n v="52650"/>
    <n v="51755"/>
    <n v="209"/>
    <s v="ModelYCampaign"/>
    <n v="0.10005698005698006"/>
    <x v="2"/>
  </r>
  <r>
    <s v="P109"/>
    <s v="Twitter"/>
    <d v="2024-08-08T00:00:00"/>
    <s v="Story"/>
    <s v="Check out our latest story on twitter!"/>
    <n v="3649"/>
    <n v="215"/>
    <n v="413"/>
    <n v="25543"/>
    <n v="24963"/>
    <n v="167"/>
    <s v="FSDUpdate"/>
    <n v="0.16744313510550835"/>
    <x v="0"/>
  </r>
  <r>
    <s v="P110"/>
    <s v="Instagram"/>
    <d v="2024-07-29T00:00:00"/>
    <s v="Reel"/>
    <s v="Check out our latest reel on instagram!"/>
    <n v="3523"/>
    <n v="753"/>
    <n v="482"/>
    <n v="38753"/>
    <n v="38579"/>
    <n v="270"/>
    <s v="ModelYCampaign"/>
    <n v="0.12277759141227776"/>
    <x v="4"/>
  </r>
  <r>
    <s v="P111"/>
    <s v="YouTube"/>
    <d v="2024-11-23T00:00:00"/>
    <s v="Image"/>
    <s v="Check out our latest image on youtube!"/>
    <n v="2719"/>
    <n v="17"/>
    <n v="285"/>
    <n v="40785"/>
    <n v="40281"/>
    <n v="40"/>
    <s v="ModelYCampaign"/>
    <n v="7.4071349760941527E-2"/>
    <x v="2"/>
  </r>
  <r>
    <s v="P112"/>
    <s v="Twitter"/>
    <d v="2024-10-05T00:00:00"/>
    <s v="Story"/>
    <s v="Check out our latest story on twitter!"/>
    <n v="1957"/>
    <n v="877"/>
    <n v="238"/>
    <n v="17613"/>
    <n v="16865"/>
    <n v="297"/>
    <s v="FSDUpdate"/>
    <n v="0.17441662408448305"/>
    <x v="0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CybertruckLaunch"/>
    <n v="0.11369088028965829"/>
    <x v="4"/>
  </r>
  <r>
    <s v="P114"/>
    <s v="Twitter"/>
    <d v="2024-11-14T00:00:00"/>
    <s v="Story"/>
    <s v="Check out our latest story on twitter!"/>
    <n v="4000"/>
    <n v="689"/>
    <n v="488"/>
    <n v="40000"/>
    <n v="39569"/>
    <n v="44"/>
    <s v="CybertruckLaunch"/>
    <n v="0.12942500000000001"/>
    <x v="0"/>
  </r>
  <r>
    <s v="P115"/>
    <s v="Twitter"/>
    <d v="2025-05-11T00:00:00"/>
    <s v="Image"/>
    <s v="Check out our latest image on twitter!"/>
    <n v="2493"/>
    <n v="97"/>
    <n v="44"/>
    <n v="42381"/>
    <n v="41991"/>
    <n v="242"/>
    <s v="SustainabilityDrive"/>
    <n v="6.2150491965739366E-2"/>
    <x v="2"/>
  </r>
  <r>
    <s v="P115"/>
    <s v="Twitter"/>
    <d v="2025-05-11T00:00:00"/>
    <s v="Image"/>
    <s v="Check out our latest image on twitter!"/>
    <n v="2493"/>
    <n v="97"/>
    <n v="44"/>
    <n v="42381"/>
    <n v="41991"/>
    <n v="242"/>
    <s v="SustainabilityDrive"/>
    <n v="6.2150491965739366E-2"/>
    <x v="1"/>
  </r>
  <r>
    <s v="P116"/>
    <s v="YouTube"/>
    <d v="2025-03-18T00:00:00"/>
    <s v="Reel"/>
    <s v="Check out our latest reel on youtube!"/>
    <n v="3704"/>
    <n v="186"/>
    <n v="458"/>
    <n v="25928"/>
    <n v="25081"/>
    <n v="131"/>
    <s v="ModelYCampaign"/>
    <n v="0.16769515581610614"/>
    <x v="2"/>
  </r>
  <r>
    <s v="P117"/>
    <s v="Twitter"/>
    <d v="2024-11-04T00:00:00"/>
    <s v="Image"/>
    <s v="Check out our latest image on twitter!"/>
    <n v="1606"/>
    <n v="451"/>
    <n v="405"/>
    <n v="20878"/>
    <n v="20190"/>
    <n v="219"/>
    <s v="SustainabilityDrive"/>
    <n v="0.11792317271769326"/>
    <x v="4"/>
  </r>
  <r>
    <s v="P118"/>
    <s v="Facebook"/>
    <d v="2024-11-04T00:00:00"/>
    <s v="Image"/>
    <s v="Check out our latest image on facebook!"/>
    <n v="4551"/>
    <n v="714"/>
    <n v="207"/>
    <n v="68265"/>
    <n v="67754"/>
    <n v="57"/>
    <s v="FSDUpdate"/>
    <n v="8.0158206987475278E-2"/>
    <x v="0"/>
  </r>
  <r>
    <s v="P119"/>
    <s v="Instagram"/>
    <d v="2025-02-07T00:00:00"/>
    <s v="Reel"/>
    <s v="Check out our latest reel on instagram!"/>
    <n v="1970"/>
    <n v="675"/>
    <n v="478"/>
    <n v="9850"/>
    <n v="8924"/>
    <n v="117"/>
    <s v="SustainabilityDrive"/>
    <n v="0.31705583756345179"/>
    <x v="0"/>
  </r>
  <r>
    <s v="P120"/>
    <s v="Facebook"/>
    <d v="2024-10-21T00:00:00"/>
    <s v="Story"/>
    <s v="Check out our latest story on facebook!"/>
    <n v="780"/>
    <n v="928"/>
    <n v="301"/>
    <n v="8580"/>
    <n v="8081"/>
    <n v="91"/>
    <s v="FSDUpdate"/>
    <n v="0.23414918414918415"/>
    <x v="4"/>
  </r>
  <r>
    <s v="P121"/>
    <s v="Instagram"/>
    <d v="2024-07-29T00:00:00"/>
    <s v="Story"/>
    <s v="Check out our latest story on instagram!"/>
    <n v="498"/>
    <n v="701"/>
    <n v="412"/>
    <n v="4980"/>
    <n v="4185"/>
    <n v="185"/>
    <s v="SustainabilityDrive"/>
    <n v="0.32349397590361445"/>
    <x v="0"/>
  </r>
  <r>
    <s v="P122"/>
    <s v="Instagram"/>
    <d v="2024-10-02T00:00:00"/>
    <s v="Text"/>
    <s v="Check out our latest text on instagram!"/>
    <n v="3432"/>
    <n v="869"/>
    <n v="123"/>
    <n v="54912"/>
    <n v="53916"/>
    <n v="264"/>
    <s v="ModelYCampaign"/>
    <n v="8.0565268065268064E-2"/>
    <x v="4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CybertruckLaunch"/>
    <n v="0.23616777446710979"/>
    <x v="4"/>
  </r>
  <r>
    <s v="P124"/>
    <s v="YouTube"/>
    <d v="2025-04-06T00:00:00"/>
    <s v="Carousel"/>
    <s v="Check out our latest carousel on youtube!"/>
    <n v="736"/>
    <n v="771"/>
    <n v="225"/>
    <n v="5152"/>
    <n v="4706"/>
    <n v="19"/>
    <s v="CybertruckLaunch"/>
    <n v="0.33618012422360249"/>
    <x v="4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SustainabilityDrive"/>
    <n v="0.14265722032712325"/>
    <x v="2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SustainabilityDrive"/>
    <n v="9.9829463465827106E-2"/>
    <x v="0"/>
  </r>
  <r>
    <s v="P127"/>
    <s v="Facebook"/>
    <d v="2025-01-27T00:00:00"/>
    <s v="Reel"/>
    <s v="Check out our latest reel on facebook!"/>
    <n v="3452"/>
    <n v="652"/>
    <n v="442"/>
    <n v="65588"/>
    <n v="65049"/>
    <n v="158"/>
    <s v="FSDUpdate"/>
    <n v="6.9311459413307311E-2"/>
    <x v="0"/>
  </r>
  <r>
    <s v="P128"/>
    <s v="Twitter"/>
    <d v="2025-01-10T00:00:00"/>
    <s v="Image"/>
    <s v="Check out our latest image on twitter!"/>
    <n v="3092"/>
    <n v="106"/>
    <n v="291"/>
    <n v="27828"/>
    <n v="27217"/>
    <n v="102"/>
    <s v="SustainabilityDrive"/>
    <n v="0.12537731780940059"/>
    <x v="0"/>
  </r>
  <r>
    <s v="P129"/>
    <s v="Twitter"/>
    <d v="2024-07-21T00:00:00"/>
    <s v="Text"/>
    <s v="Check out our latest text on twitter!"/>
    <n v="2147"/>
    <n v="430"/>
    <n v="393"/>
    <n v="17176"/>
    <n v="16483"/>
    <n v="170"/>
    <s v="ModelYCampaign"/>
    <n v="0.17291569632044715"/>
    <x v="2"/>
  </r>
  <r>
    <s v="P130"/>
    <s v="YouTube"/>
    <d v="2024-09-29T00:00:00"/>
    <s v="Reel"/>
    <s v="Check out our latest reel on youtube!"/>
    <n v="2936"/>
    <n v="439"/>
    <n v="44"/>
    <n v="38168"/>
    <n v="37571"/>
    <n v="22"/>
    <s v="SustainabilityDrive"/>
    <n v="8.9577656675749323E-2"/>
    <x v="4"/>
  </r>
  <r>
    <s v="P131"/>
    <s v="Instagram"/>
    <d v="2024-10-21T00:00:00"/>
    <s v="Reel"/>
    <s v="Check out our latest reel on instagram!"/>
    <n v="4840"/>
    <n v="658"/>
    <n v="211"/>
    <n v="43560"/>
    <n v="43225"/>
    <n v="57"/>
    <s v="FSDUpdate"/>
    <n v="0.13106060606060607"/>
    <x v="0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ModelYCampaign"/>
    <n v="0.13493953401503478"/>
    <x v="0"/>
  </r>
  <r>
    <s v="P133"/>
    <s v="Facebook"/>
    <d v="2025-02-06T00:00:00"/>
    <s v="Image"/>
    <s v="Check out our latest image on facebook!"/>
    <n v="2072"/>
    <n v="532"/>
    <n v="71"/>
    <n v="37296"/>
    <n v="36467"/>
    <n v="25"/>
    <s v="SustainabilityDrive"/>
    <n v="7.172350922350923E-2"/>
    <x v="2"/>
  </r>
  <r>
    <s v="P134"/>
    <s v="Twitter"/>
    <d v="2025-04-24T00:00:00"/>
    <s v="Reel"/>
    <s v="Check out our latest reel on twitter!"/>
    <n v="3731"/>
    <n v="115"/>
    <n v="135"/>
    <n v="55965"/>
    <n v="55436"/>
    <n v="103"/>
    <s v="CybertruckLaunch"/>
    <n v="7.1133744304476013E-2"/>
    <x v="2"/>
  </r>
  <r>
    <s v="P135"/>
    <s v="Facebook"/>
    <d v="2024-11-28T00:00:00"/>
    <s v="Text"/>
    <s v="Check out our latest text on facebook!"/>
    <n v="4213"/>
    <n v="253"/>
    <n v="434"/>
    <n v="75834"/>
    <n v="75437"/>
    <n v="272"/>
    <s v="SustainabilityDrive"/>
    <n v="6.461481657304112E-2"/>
    <x v="0"/>
  </r>
  <r>
    <s v="P136"/>
    <s v="Instagram"/>
    <d v="2024-07-11T00:00:00"/>
    <s v="Text"/>
    <s v="Check out our latest text on instagram!"/>
    <n v="3134"/>
    <n v="888"/>
    <n v="444"/>
    <n v="21938"/>
    <n v="21337"/>
    <n v="130"/>
    <s v="SustainabilityDrive"/>
    <n v="0.20357370772176134"/>
    <x v="4"/>
  </r>
  <r>
    <s v="P137"/>
    <s v="Facebook"/>
    <d v="2024-07-31T00:00:00"/>
    <s v="Video"/>
    <s v="Check out our latest video on facebook!"/>
    <n v="3008"/>
    <n v="94"/>
    <n v="37"/>
    <n v="15040"/>
    <n v="14639"/>
    <n v="277"/>
    <s v="SustainabilityDrive"/>
    <n v="0.20871010638297871"/>
    <x v="0"/>
  </r>
  <r>
    <s v="P138"/>
    <s v="Twitter"/>
    <d v="2025-03-29T00:00:00"/>
    <s v="Image"/>
    <s v="Check out our latest image on twitter!"/>
    <n v="305"/>
    <n v="187"/>
    <n v="243"/>
    <n v="4575"/>
    <n v="3704"/>
    <n v="234"/>
    <s v="FSDUpdate"/>
    <n v="0.16065573770491803"/>
    <x v="0"/>
  </r>
  <r>
    <s v="P139"/>
    <s v="YouTube"/>
    <d v="2024-10-29T00:00:00"/>
    <s v="Text"/>
    <s v="Check out our latest text on youtube!"/>
    <n v="2746"/>
    <n v="156"/>
    <n v="203"/>
    <n v="32952"/>
    <n v="32147"/>
    <n v="147"/>
    <s v="CybertruckLaunch"/>
    <n v="9.422796795338674E-2"/>
    <x v="4"/>
  </r>
  <r>
    <s v="P140"/>
    <s v="Facebook"/>
    <d v="2024-07-15T00:00:00"/>
    <s v="Image"/>
    <s v="Check out our latest image on facebook!"/>
    <n v="2291"/>
    <n v="78"/>
    <n v="485"/>
    <n v="18328"/>
    <n v="18101"/>
    <n v="10"/>
    <s v="ModelYCampaign"/>
    <n v="0.15571802706241816"/>
    <x v="4"/>
  </r>
  <r>
    <s v="P140"/>
    <s v="Facebook"/>
    <d v="2024-07-15T00:00:00"/>
    <s v="Image"/>
    <s v="Check out our latest image on facebook!"/>
    <n v="2291"/>
    <n v="78"/>
    <n v="485"/>
    <n v="18328"/>
    <n v="18101"/>
    <n v="10"/>
    <s v="ModelYCampaign"/>
    <n v="0.15571802706241816"/>
    <x v="5"/>
  </r>
  <r>
    <s v="P141"/>
    <s v="Twitter"/>
    <d v="2024-08-31T00:00:00"/>
    <s v="Image"/>
    <s v="Check out our latest image on twitter!"/>
    <n v="3170"/>
    <n v="857"/>
    <n v="379"/>
    <n v="19020"/>
    <n v="18559"/>
    <n v="240"/>
    <s v="SustainabilityDrive"/>
    <n v="0.2316508937960042"/>
    <x v="0"/>
  </r>
  <r>
    <s v="P142"/>
    <s v="YouTube"/>
    <d v="2025-03-25T00:00:00"/>
    <s v="Story"/>
    <s v="Check out our latest story on youtube!"/>
    <n v="2070"/>
    <n v="275"/>
    <n v="386"/>
    <n v="39330"/>
    <n v="38627"/>
    <n v="114"/>
    <s v="SustainabilityDrive"/>
    <n v="6.9438087973557078E-2"/>
    <x v="0"/>
  </r>
  <r>
    <s v="P143"/>
    <s v="YouTube"/>
    <d v="2024-10-02T00:00:00"/>
    <s v="Carousel"/>
    <s v="Check out our latest carousel on youtube!"/>
    <n v="80"/>
    <n v="362"/>
    <n v="80"/>
    <n v="1040"/>
    <n v="349"/>
    <n v="117"/>
    <s v="FSDUpdate"/>
    <n v="0.50192307692307692"/>
    <x v="2"/>
  </r>
  <r>
    <s v="P144"/>
    <s v="YouTube"/>
    <d v="2024-10-28T00:00:00"/>
    <s v="Story"/>
    <s v="Check out our latest story on youtube!"/>
    <n v="4929"/>
    <n v="749"/>
    <n v="452"/>
    <n v="93651"/>
    <n v="92810"/>
    <n v="66"/>
    <s v="SustainabilityDrive"/>
    <n v="6.5455787978772245E-2"/>
    <x v="4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SustainabilityDrive"/>
    <n v="5.6416400425985093E-2"/>
    <x v="2"/>
  </r>
  <r>
    <s v="P146"/>
    <s v="YouTube"/>
    <d v="2024-06-05T00:00:00"/>
    <s v="Reel"/>
    <s v="Check out our latest reel on youtube!"/>
    <n v="3065"/>
    <n v="772"/>
    <n v="142"/>
    <n v="18390"/>
    <n v="17875"/>
    <n v="200"/>
    <s v="CybertruckLaunch"/>
    <n v="0.21636759108210984"/>
    <x v="4"/>
  </r>
  <r>
    <s v="P146"/>
    <s v="YouTube"/>
    <d v="2024-06-05T00:00:00"/>
    <s v="Reel"/>
    <s v="Check out our latest reel on youtube!"/>
    <n v="3065"/>
    <n v="772"/>
    <n v="142"/>
    <n v="18390"/>
    <n v="17875"/>
    <n v="200"/>
    <s v="CybertruckLaunch"/>
    <n v="0.21636759108210984"/>
    <x v="1"/>
  </r>
  <r>
    <s v="P147"/>
    <s v="Instagram"/>
    <d v="2024-10-21T00:00:00"/>
    <s v="Reel"/>
    <s v="Check out our latest reel on instagram!"/>
    <n v="3256"/>
    <n v="459"/>
    <n v="266"/>
    <n v="26048"/>
    <n v="25529"/>
    <n v="143"/>
    <s v="ModelYCampaign"/>
    <n v="0.15283323095823095"/>
    <x v="2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SustainabilityDrive"/>
    <n v="0.19864505202032423"/>
    <x v="4"/>
  </r>
  <r>
    <s v="P149"/>
    <s v="Twitter"/>
    <d v="2024-06-16T00:00:00"/>
    <s v="Video"/>
    <s v="Check out our latest video on twitter!"/>
    <n v="1702"/>
    <n v="750"/>
    <n v="179"/>
    <n v="34040"/>
    <n v="33174"/>
    <n v="76"/>
    <s v="CybertruckLaunch"/>
    <n v="7.7291421856639245E-2"/>
    <x v="4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SustainabilityDrive"/>
    <n v="6.3713620488940623E-2"/>
    <x v="2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CybertruckLaunch"/>
    <n v="0.10977802753582468"/>
    <x v="4"/>
  </r>
  <r>
    <s v="P152"/>
    <s v="Facebook"/>
    <d v="2025-04-22T00:00:00"/>
    <s v="Image"/>
    <s v="Check out our latest image on facebook!"/>
    <n v="4804"/>
    <n v="550"/>
    <n v="270"/>
    <n v="28824"/>
    <n v="28370"/>
    <n v="47"/>
    <s v="SustainabilityDrive"/>
    <n v="0.19511518179295032"/>
    <x v="4"/>
  </r>
  <r>
    <s v="P153"/>
    <s v="Twitter"/>
    <d v="2025-01-01T00:00:00"/>
    <s v="Video"/>
    <s v="Check out our latest video on twitter!"/>
    <n v="754"/>
    <n v="197"/>
    <n v="257"/>
    <n v="6786"/>
    <n v="6221"/>
    <n v="212"/>
    <s v="FSDUpdate"/>
    <n v="0.17801355732390214"/>
    <x v="2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SustainabilityDrive"/>
    <n v="0.31965192168237855"/>
    <x v="0"/>
  </r>
  <r>
    <s v="P155"/>
    <s v="YouTube"/>
    <d v="2024-12-21T00:00:00"/>
    <s v="Image"/>
    <s v="Check out our latest image on youtube!"/>
    <n v="2283"/>
    <n v="210"/>
    <n v="130"/>
    <n v="22830"/>
    <n v="22617"/>
    <n v="143"/>
    <s v="ModelYCampaign"/>
    <n v="0.11489268506351293"/>
    <x v="0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ModelYCampaign"/>
    <n v="0.1095786671562328"/>
    <x v="0"/>
  </r>
  <r>
    <s v="P157"/>
    <s v="YouTube"/>
    <d v="2024-07-23T00:00:00"/>
    <s v="Story"/>
    <s v="Check out our latest story on youtube!"/>
    <n v="4775"/>
    <n v="173"/>
    <n v="206"/>
    <n v="47750"/>
    <n v="47544"/>
    <n v="187"/>
    <s v="ModelYCampaign"/>
    <n v="0.10793717277486911"/>
    <x v="0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CybertruckLaunch"/>
    <n v="0.11307081114118571"/>
    <x v="2"/>
  </r>
  <r>
    <s v="P159"/>
    <s v="Facebook"/>
    <d v="2024-11-25T00:00:00"/>
    <s v="Story"/>
    <s v="Check out our latest story on facebook!"/>
    <n v="2120"/>
    <n v="158"/>
    <n v="488"/>
    <n v="12720"/>
    <n v="12085"/>
    <n v="17"/>
    <s v="ModelYCampaign"/>
    <n v="0.21745283018867925"/>
    <x v="0"/>
  </r>
  <r>
    <s v="P160"/>
    <s v="Twitter"/>
    <d v="2024-08-24T00:00:00"/>
    <s v="Video"/>
    <s v="Check out our latest video on twitter!"/>
    <n v="1082"/>
    <n v="209"/>
    <n v="484"/>
    <n v="19476"/>
    <n v="18654"/>
    <n v="20"/>
    <s v="ModelYCampaign"/>
    <n v="9.1137810638734856E-2"/>
    <x v="2"/>
  </r>
  <r>
    <s v="P161"/>
    <s v="Twitter"/>
    <d v="2025-02-19T00:00:00"/>
    <s v="Text"/>
    <s v="Check out our latest text on twitter!"/>
    <n v="4671"/>
    <n v="876"/>
    <n v="366"/>
    <n v="51381"/>
    <n v="50565"/>
    <n v="245"/>
    <s v="SustainabilityDrive"/>
    <n v="0.11508145034156594"/>
    <x v="2"/>
  </r>
  <r>
    <s v="P162"/>
    <s v="Facebook"/>
    <d v="2025-04-01T00:00:00"/>
    <s v="Story"/>
    <s v="Check out our latest story on facebook!"/>
    <n v="3430"/>
    <n v="566"/>
    <n v="164"/>
    <n v="48020"/>
    <n v="47305"/>
    <n v="120"/>
    <s v="SustainabilityDrive"/>
    <n v="8.6630570595585168E-2"/>
    <x v="0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ModelYCampaign"/>
    <n v="0.23101532992668297"/>
    <x v="2"/>
  </r>
  <r>
    <s v="P164"/>
    <s v="YouTube"/>
    <d v="2025-02-27T00:00:00"/>
    <s v="Text"/>
    <s v="Check out our latest text on youtube!"/>
    <n v="4934"/>
    <n v="971"/>
    <n v="156"/>
    <n v="39472"/>
    <n v="39025"/>
    <n v="169"/>
    <s v="SustainabilityDrive"/>
    <n v="0.15355188488042157"/>
    <x v="2"/>
  </r>
  <r>
    <s v="P164"/>
    <s v="YouTube"/>
    <d v="2025-02-27T00:00:00"/>
    <s v="Text"/>
    <s v="Check out our latest text on youtube!"/>
    <n v="4934"/>
    <n v="971"/>
    <n v="156"/>
    <n v="39472"/>
    <n v="39025"/>
    <n v="169"/>
    <s v="SustainabilityDrive"/>
    <n v="0.15355188488042157"/>
    <x v="1"/>
  </r>
  <r>
    <s v="P165"/>
    <s v="Twitter"/>
    <d v="2024-12-11T00:00:00"/>
    <s v="Text"/>
    <s v="Check out our latest text on twitter!"/>
    <n v="3239"/>
    <n v="43"/>
    <n v="211"/>
    <n v="22673"/>
    <n v="22171"/>
    <n v="230"/>
    <s v="ModelYCampaign"/>
    <n v="0.15405989502933004"/>
    <x v="2"/>
  </r>
  <r>
    <s v="P166"/>
    <s v="Twitter"/>
    <d v="2025-02-16T00:00:00"/>
    <s v="Reel"/>
    <s v="Check out our latest reel on twitter!"/>
    <n v="1076"/>
    <n v="313"/>
    <n v="306"/>
    <n v="11836"/>
    <n v="11596"/>
    <n v="104"/>
    <s v="CybertruckLaunch"/>
    <n v="0.14320716458262928"/>
    <x v="0"/>
  </r>
  <r>
    <s v="P167"/>
    <s v="Instagram"/>
    <d v="2024-11-28T00:00:00"/>
    <s v="Text"/>
    <s v="Check out our latest text on instagram!"/>
    <n v="4771"/>
    <n v="818"/>
    <n v="56"/>
    <n v="57252"/>
    <n v="56378"/>
    <n v="150"/>
    <s v="SustainabilityDrive"/>
    <n v="9.859917557465242E-2"/>
    <x v="0"/>
  </r>
  <r>
    <s v="P168"/>
    <s v="Facebook"/>
    <d v="2024-11-12T00:00:00"/>
    <s v="Text"/>
    <s v="Check out our latest text on facebook!"/>
    <n v="2418"/>
    <n v="754"/>
    <n v="54"/>
    <n v="43524"/>
    <n v="42743"/>
    <n v="182"/>
    <s v="CybertruckLaunch"/>
    <n v="7.412002573292896E-2"/>
    <x v="4"/>
  </r>
  <r>
    <s v="P169"/>
    <s v="YouTube"/>
    <d v="2024-12-03T00:00:00"/>
    <s v="Video"/>
    <s v="Check out our latest video on youtube!"/>
    <n v="3809"/>
    <n v="273"/>
    <n v="200"/>
    <n v="34281"/>
    <n v="33534"/>
    <n v="83"/>
    <s v="CybertruckLaunch"/>
    <n v="0.12490884163239112"/>
    <x v="4"/>
  </r>
  <r>
    <s v="P170"/>
    <s v="Twitter"/>
    <d v="2025-04-28T00:00:00"/>
    <s v="Text"/>
    <s v="Check out our latest text on twitter!"/>
    <n v="3577"/>
    <n v="596"/>
    <n v="493"/>
    <n v="67963"/>
    <n v="67839"/>
    <n v="53"/>
    <s v="FSDUpdate"/>
    <n v="6.8655003457763777E-2"/>
    <x v="2"/>
  </r>
  <r>
    <s v="P171"/>
    <s v="YouTube"/>
    <d v="2024-12-31T00:00:00"/>
    <s v="Video"/>
    <s v="Check out our latest video on youtube!"/>
    <n v="1018"/>
    <n v="447"/>
    <n v="332"/>
    <n v="18324"/>
    <n v="18164"/>
    <n v="38"/>
    <s v="ModelYCampaign"/>
    <n v="9.8068107400130972E-2"/>
    <x v="0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FSDUpdate"/>
    <n v="7.2739802071170159E-2"/>
    <x v="4"/>
  </r>
  <r>
    <s v="P173"/>
    <s v="Twitter"/>
    <d v="2024-12-05T00:00:00"/>
    <s v="Video"/>
    <s v="Check out our latest video on twitter!"/>
    <n v="1330"/>
    <n v="925"/>
    <n v="35"/>
    <n v="15960"/>
    <n v="15379"/>
    <n v="229"/>
    <s v="FSDUpdate"/>
    <n v="0.14348370927318296"/>
    <x v="0"/>
  </r>
  <r>
    <s v="P174"/>
    <s v="Facebook"/>
    <d v="2024-06-22T00:00:00"/>
    <s v="Text"/>
    <s v="Check out our latest text on facebook!"/>
    <n v="3828"/>
    <n v="148"/>
    <n v="253"/>
    <n v="30624"/>
    <n v="30229"/>
    <n v="235"/>
    <s v="CybertruckLaunch"/>
    <n v="0.13809430512016718"/>
    <x v="4"/>
  </r>
  <r>
    <s v="P175"/>
    <s v="Instagram"/>
    <d v="2025-01-17T00:00:00"/>
    <s v="Reel"/>
    <s v="Check out our latest reel on instagram!"/>
    <n v="142"/>
    <n v="784"/>
    <n v="183"/>
    <n v="1704"/>
    <n v="995"/>
    <n v="154"/>
    <s v="SustainabilityDrive"/>
    <n v="0.6508215962441315"/>
    <x v="0"/>
  </r>
  <r>
    <s v="P176"/>
    <s v="Facebook"/>
    <d v="2024-06-20T00:00:00"/>
    <s v="Video"/>
    <s v="Check out our latest video on facebook!"/>
    <n v="3798"/>
    <n v="31"/>
    <n v="279"/>
    <n v="75960"/>
    <n v="75813"/>
    <n v="266"/>
    <s v="CybertruckLaunch"/>
    <n v="5.4081095313322801E-2"/>
    <x v="2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FSDUpdate"/>
    <n v="9.1365878393951966E-2"/>
    <x v="2"/>
  </r>
  <r>
    <s v="P178"/>
    <s v="Instagram"/>
    <d v="2024-11-07T00:00:00"/>
    <s v="Video"/>
    <s v="Check out our latest video on instagram!"/>
    <n v="129"/>
    <n v="643"/>
    <n v="136"/>
    <n v="1290"/>
    <n v="839"/>
    <n v="238"/>
    <s v="SustainabilityDrive"/>
    <n v="0.70387596899224802"/>
    <x v="2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ModelYCampaign"/>
    <n v="7.5280481001673588E-2"/>
    <x v="2"/>
  </r>
  <r>
    <s v="P180"/>
    <s v="YouTube"/>
    <d v="2024-12-03T00:00:00"/>
    <s v="Text"/>
    <s v="Check out our latest text on youtube!"/>
    <n v="3711"/>
    <n v="352"/>
    <n v="290"/>
    <n v="48243"/>
    <n v="47579"/>
    <n v="11"/>
    <s v="CybertruckLaunch"/>
    <n v="9.023070704558174E-2"/>
    <x v="2"/>
  </r>
  <r>
    <s v="P181"/>
    <s v="YouTube"/>
    <d v="2025-03-21T00:00:00"/>
    <s v="Image"/>
    <s v="Check out our latest image on youtube!"/>
    <n v="606"/>
    <n v="789"/>
    <n v="470"/>
    <n v="7878"/>
    <n v="7389"/>
    <n v="239"/>
    <s v="FSDUpdate"/>
    <n v="0.23673521198273673"/>
    <x v="4"/>
  </r>
  <r>
    <s v="P182"/>
    <s v="Facebook"/>
    <d v="2024-07-31T00:00:00"/>
    <s v="Image"/>
    <s v="Check out our latest image on facebook!"/>
    <n v="4689"/>
    <n v="134"/>
    <n v="403"/>
    <n v="51579"/>
    <n v="50924"/>
    <n v="173"/>
    <s v="SustainabilityDrive"/>
    <n v="0.10132030477519921"/>
    <x v="2"/>
  </r>
  <r>
    <s v="P183"/>
    <s v="Instagram"/>
    <d v="2024-12-17T00:00:00"/>
    <s v="Story"/>
    <s v="Check out our latest story on instagram!"/>
    <n v="360"/>
    <n v="590"/>
    <n v="393"/>
    <n v="4680"/>
    <n v="4322"/>
    <n v="208"/>
    <s v="ModelYCampaign"/>
    <n v="0.28696581196581195"/>
    <x v="0"/>
  </r>
  <r>
    <s v="P184"/>
    <s v="Twitter"/>
    <d v="2024-07-28T00:00:00"/>
    <s v="Image"/>
    <s v="Check out our latest image on twitter!"/>
    <n v="3215"/>
    <n v="960"/>
    <n v="202"/>
    <n v="32150"/>
    <n v="31404"/>
    <n v="251"/>
    <s v="CybertruckLaunch"/>
    <n v="0.13614307931570763"/>
    <x v="4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CybertruckLaunch"/>
    <n v="9.5290736237010829E-2"/>
    <x v="4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FSDUpdate"/>
    <n v="8.4862714173059003E-2"/>
    <x v="4"/>
  </r>
  <r>
    <s v="P187"/>
    <s v="Twitter"/>
    <d v="2024-12-22T00:00:00"/>
    <s v="Reel"/>
    <s v="Check out our latest reel on twitter!"/>
    <n v="1644"/>
    <n v="546"/>
    <n v="150"/>
    <n v="27948"/>
    <n v="27184"/>
    <n v="300"/>
    <s v="FSDUpdate"/>
    <n v="8.3726921425504502E-2"/>
    <x v="4"/>
  </r>
  <r>
    <s v="P188"/>
    <s v="YouTube"/>
    <d v="2024-06-06T00:00:00"/>
    <s v="Reel"/>
    <s v="Check out our latest reel on youtube!"/>
    <n v="2728"/>
    <n v="533"/>
    <n v="215"/>
    <n v="40920"/>
    <n v="40816"/>
    <n v="137"/>
    <s v="ModelYCampaign"/>
    <n v="8.4946236559139784E-2"/>
    <x v="0"/>
  </r>
  <r>
    <s v="P189"/>
    <s v="Facebook"/>
    <d v="2025-03-24T00:00:00"/>
    <s v="Reel"/>
    <s v="Check out our latest reel on facebook!"/>
    <n v="3360"/>
    <n v="525"/>
    <n v="500"/>
    <n v="60480"/>
    <n v="59610"/>
    <n v="192"/>
    <s v="CybertruckLaunch"/>
    <n v="7.2503306878306875E-2"/>
    <x v="2"/>
  </r>
  <r>
    <s v="P190"/>
    <s v="YouTube"/>
    <d v="2024-10-04T00:00:00"/>
    <s v="Text"/>
    <s v="Check out our latest text on youtube!"/>
    <n v="1963"/>
    <n v="213"/>
    <n v="19"/>
    <n v="39260"/>
    <n v="38771"/>
    <n v="145"/>
    <s v="SustainabilityDrive"/>
    <n v="5.5909322465613857E-2"/>
    <x v="0"/>
  </r>
  <r>
    <s v="P191"/>
    <s v="YouTube"/>
    <d v="2024-12-03T00:00:00"/>
    <s v="Story"/>
    <s v="Check out our latest story on youtube!"/>
    <n v="4285"/>
    <n v="886"/>
    <n v="376"/>
    <n v="55705"/>
    <n v="55556"/>
    <n v="51"/>
    <s v="FSDUpdate"/>
    <n v="9.9578134817341346E-2"/>
    <x v="0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CybertruckLaunch"/>
    <n v="0.1441326530612245"/>
    <x v="4"/>
  </r>
  <r>
    <s v="P193"/>
    <s v="Twitter"/>
    <d v="2024-09-11T00:00:00"/>
    <s v="Image"/>
    <s v="Check out our latest image on twitter!"/>
    <n v="4858"/>
    <n v="317"/>
    <n v="129"/>
    <n v="53438"/>
    <n v="52687"/>
    <n v="223"/>
    <s v="FSDUpdate"/>
    <n v="9.9255211647142488E-2"/>
    <x v="4"/>
  </r>
  <r>
    <s v="P194"/>
    <s v="YouTube"/>
    <d v="2024-10-02T00:00:00"/>
    <s v="Story"/>
    <s v="Check out our latest story on youtube!"/>
    <n v="4350"/>
    <n v="771"/>
    <n v="7"/>
    <n v="60900"/>
    <n v="60592"/>
    <n v="195"/>
    <s v="CybertruckLaunch"/>
    <n v="8.4203612479474554E-2"/>
    <x v="4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SustainabilityDrive"/>
    <n v="0.13667732704931829"/>
    <x v="0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SustainabilityDrive"/>
    <n v="0.13667732704931829"/>
    <x v="2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SustainabilityDrive"/>
    <n v="0.13667732704931829"/>
    <x v="1"/>
  </r>
  <r>
    <s v="P196"/>
    <s v="Instagram"/>
    <d v="2024-12-19T00:00:00"/>
    <s v="Text"/>
    <s v="Check out our latest text on instagram!"/>
    <n v="1813"/>
    <n v="623"/>
    <n v="72"/>
    <n v="19943"/>
    <n v="18959"/>
    <n v="85"/>
    <s v="FSDUpdate"/>
    <n v="0.12575841147269717"/>
    <x v="4"/>
  </r>
  <r>
    <s v="P197"/>
    <s v="Twitter"/>
    <d v="2024-10-22T00:00:00"/>
    <s v="Reel"/>
    <s v="Check out our latest reel on twitter!"/>
    <n v="4782"/>
    <n v="721"/>
    <n v="82"/>
    <n v="86076"/>
    <n v="85339"/>
    <n v="19"/>
    <s v="CybertruckLaunch"/>
    <n v="6.4884520656164318E-2"/>
    <x v="4"/>
  </r>
  <r>
    <s v="P198"/>
    <s v="Twitter"/>
    <d v="2024-09-14T00:00:00"/>
    <s v="Image"/>
    <s v="Check out our latest image on twitter!"/>
    <n v="1048"/>
    <n v="374"/>
    <n v="450"/>
    <n v="9432"/>
    <n v="8882"/>
    <n v="158"/>
    <s v="FSDUpdate"/>
    <n v="0.19847328244274809"/>
    <x v="2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ModelYCampaign"/>
    <n v="8.5520696919660646E-2"/>
    <x v="2"/>
  </r>
  <r>
    <s v="P200"/>
    <s v="Facebook"/>
    <d v="2025-04-07T00:00:00"/>
    <s v="Reel"/>
    <s v="Check out our latest reel on facebook!"/>
    <n v="3718"/>
    <n v="385"/>
    <n v="310"/>
    <n v="70642"/>
    <n v="69749"/>
    <n v="233"/>
    <s v="ModelYCampaign"/>
    <n v="6.246991874522239E-2"/>
    <x v="2"/>
  </r>
  <r>
    <s v="P201"/>
    <s v="Twitter"/>
    <d v="2025-01-15T00:00:00"/>
    <s v="Reel"/>
    <s v="Check out our latest reel on twitter!"/>
    <n v="802"/>
    <n v="262"/>
    <n v="244"/>
    <n v="14436"/>
    <n v="14280"/>
    <n v="49"/>
    <s v="CybertruckLaunch"/>
    <n v="9.0606816292601824E-2"/>
    <x v="4"/>
  </r>
  <r>
    <s v="P202"/>
    <s v="Facebook"/>
    <d v="2024-06-02T00:00:00"/>
    <s v="Image"/>
    <s v="Check out our latest image on facebook!"/>
    <n v="1871"/>
    <n v="252"/>
    <n v="335"/>
    <n v="29936"/>
    <n v="29576"/>
    <n v="288"/>
    <s v="FSDUpdate"/>
    <n v="8.2108498129342594E-2"/>
    <x v="4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CybertruckLaunch"/>
    <n v="5.7332570758993957E-2"/>
    <x v="0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FSDUpdate"/>
    <n v="0.29713518352730528"/>
    <x v="0"/>
  </r>
  <r>
    <s v="P205"/>
    <s v="Twitter"/>
    <d v="2025-04-24T00:00:00"/>
    <s v="Video"/>
    <s v="Check out our latest video on twitter!"/>
    <n v="3820"/>
    <n v="697"/>
    <n v="268"/>
    <n v="45840"/>
    <n v="45631"/>
    <n v="171"/>
    <s v="SustainabilityDrive"/>
    <n v="0.1043848167539267"/>
    <x v="2"/>
  </r>
  <r>
    <s v="P205"/>
    <s v="Twitter"/>
    <d v="2025-04-24T00:00:00"/>
    <s v="Video"/>
    <s v="Check out our latest video on twitter!"/>
    <n v="3820"/>
    <n v="697"/>
    <n v="268"/>
    <n v="45840"/>
    <n v="45631"/>
    <n v="171"/>
    <s v="SustainabilityDrive"/>
    <n v="0.1043848167539267"/>
    <x v="5"/>
  </r>
  <r>
    <s v="P206"/>
    <s v="Twitter"/>
    <d v="2024-06-24T00:00:00"/>
    <s v="Text"/>
    <s v="Check out our latest text on twitter!"/>
    <n v="941"/>
    <n v="121"/>
    <n v="458"/>
    <n v="14115"/>
    <n v="13838"/>
    <n v="87"/>
    <s v="CybertruckLaunch"/>
    <n v="0.10768685795253277"/>
    <x v="4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FSDUpdate"/>
    <n v="0.14316214319138981"/>
    <x v="2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FSDUpdate"/>
    <n v="0.14316214319138981"/>
    <x v="5"/>
  </r>
  <r>
    <s v="P208"/>
    <s v="YouTube"/>
    <d v="2024-06-24T00:00:00"/>
    <s v="Video"/>
    <s v="Check out our latest video on youtube!"/>
    <n v="2949"/>
    <n v="476"/>
    <n v="403"/>
    <n v="44235"/>
    <n v="43705"/>
    <n v="135"/>
    <s v="ModelYCampaign"/>
    <n v="8.6537809426924378E-2"/>
    <x v="2"/>
  </r>
  <r>
    <s v="P209"/>
    <s v="Twitter"/>
    <d v="2025-03-19T00:00:00"/>
    <s v="Video"/>
    <s v="Check out our latest video on twitter!"/>
    <n v="3160"/>
    <n v="204"/>
    <n v="297"/>
    <n v="44240"/>
    <n v="43666"/>
    <n v="49"/>
    <s v="SustainabilityDrive"/>
    <n v="8.2753164556962022E-2"/>
    <x v="0"/>
  </r>
  <r>
    <s v="P209"/>
    <s v="Twitter"/>
    <d v="2025-03-19T00:00:00"/>
    <s v="Video"/>
    <s v="Check out our latest video on twitter!"/>
    <n v="3160"/>
    <n v="204"/>
    <n v="297"/>
    <n v="44240"/>
    <n v="43666"/>
    <n v="49"/>
    <s v="SustainabilityDrive"/>
    <n v="8.2753164556962022E-2"/>
    <x v="1"/>
  </r>
  <r>
    <s v="P210"/>
    <s v="YouTube"/>
    <d v="2025-02-19T00:00:00"/>
    <s v="Image"/>
    <s v="Check out our latest image on youtube!"/>
    <n v="257"/>
    <n v="966"/>
    <n v="398"/>
    <n v="3341"/>
    <n v="2753"/>
    <n v="287"/>
    <s v="CybertruckLaunch"/>
    <n v="0.48518407662376534"/>
    <x v="0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SustainabilityDrive"/>
    <n v="0.18632075471698112"/>
    <x v="0"/>
  </r>
  <r>
    <s v="P212"/>
    <s v="YouTube"/>
    <d v="2025-03-03T00:00:00"/>
    <s v="Video"/>
    <s v="Check out our latest video on youtube!"/>
    <n v="3874"/>
    <n v="884"/>
    <n v="19"/>
    <n v="38740"/>
    <n v="38552"/>
    <n v="219"/>
    <s v="ModelYCampaign"/>
    <n v="0.123309241094476"/>
    <x v="2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SustainabilityDrive"/>
    <n v="8.21914819340199E-2"/>
    <x v="4"/>
  </r>
  <r>
    <s v="P214"/>
    <s v="Instagram"/>
    <d v="2024-12-23T00:00:00"/>
    <s v="Image"/>
    <s v="Check out our latest image on instagram!"/>
    <n v="521"/>
    <n v="746"/>
    <n v="315"/>
    <n v="4168"/>
    <n v="3399"/>
    <n v="282"/>
    <s v="ModelYCampaign"/>
    <n v="0.37955854126679461"/>
    <x v="0"/>
  </r>
  <r>
    <s v="P215"/>
    <s v="Facebook"/>
    <d v="2025-05-06T00:00:00"/>
    <s v="Image"/>
    <s v="Check out our latest image on facebook!"/>
    <n v="4872"/>
    <n v="925"/>
    <n v="176"/>
    <n v="82824"/>
    <n v="82543"/>
    <n v="89"/>
    <s v="ModelYCampaign"/>
    <n v="7.2116777745580993E-2"/>
    <x v="4"/>
  </r>
  <r>
    <s v="P216"/>
    <s v="YouTube"/>
    <d v="2024-07-29T00:00:00"/>
    <s v="Story"/>
    <s v="Check out our latest story on youtube!"/>
    <n v="1509"/>
    <n v="88"/>
    <n v="163"/>
    <n v="30180"/>
    <n v="29689"/>
    <n v="119"/>
    <s v="ModelYCampaign"/>
    <n v="5.8316766070245198E-2"/>
    <x v="4"/>
  </r>
  <r>
    <s v="P217"/>
    <s v="Facebook"/>
    <d v="2024-12-03T00:00:00"/>
    <s v="Image"/>
    <s v="Check out our latest image on facebook!"/>
    <n v="4606"/>
    <n v="931"/>
    <n v="230"/>
    <n v="92120"/>
    <n v="91440"/>
    <n v="56"/>
    <s v="ModelYCampaign"/>
    <n v="6.2603126356925748E-2"/>
    <x v="2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SustainabilityDrive"/>
    <n v="0.18806848582129482"/>
    <x v="2"/>
  </r>
  <r>
    <s v="P219"/>
    <s v="Twitter"/>
    <d v="2025-01-28T00:00:00"/>
    <s v="Reel"/>
    <s v="Check out our latest reel on twitter!"/>
    <n v="1188"/>
    <n v="470"/>
    <n v="174"/>
    <n v="7128"/>
    <n v="6145"/>
    <n v="270"/>
    <s v="SustainabilityDrive"/>
    <n v="0.25701459034792368"/>
    <x v="2"/>
  </r>
  <r>
    <s v="P220"/>
    <s v="Instagram"/>
    <d v="2024-06-02T00:00:00"/>
    <s v="Story"/>
    <s v="Check out our latest story on instagram!"/>
    <n v="84"/>
    <n v="897"/>
    <n v="85"/>
    <n v="588"/>
    <n v="8"/>
    <n v="12"/>
    <s v="CybertruckLaunch"/>
    <n v="1.8129251700680271"/>
    <x v="4"/>
  </r>
  <r>
    <s v="P221"/>
    <s v="Facebook"/>
    <d v="2025-03-23T00:00:00"/>
    <s v="Video"/>
    <s v="Check out our latest video on facebook!"/>
    <n v="4453"/>
    <n v="111"/>
    <n v="420"/>
    <n v="31171"/>
    <n v="30565"/>
    <n v="23"/>
    <s v="ModelYCampaign"/>
    <n v="0.15989220750056141"/>
    <x v="2"/>
  </r>
  <r>
    <s v="P222"/>
    <s v="Facebook"/>
    <d v="2024-10-08T00:00:00"/>
    <s v="Reel"/>
    <s v="Check out our latest reel on facebook!"/>
    <n v="1814"/>
    <n v="653"/>
    <n v="363"/>
    <n v="25396"/>
    <n v="25286"/>
    <n v="39"/>
    <s v="CybertruckLaunch"/>
    <n v="0.11143487163332809"/>
    <x v="0"/>
  </r>
  <r>
    <s v="P222"/>
    <s v="Facebook"/>
    <d v="2024-10-08T00:00:00"/>
    <s v="Reel"/>
    <s v="Check out our latest reel on facebook!"/>
    <n v="1814"/>
    <n v="653"/>
    <n v="363"/>
    <n v="25396"/>
    <n v="25286"/>
    <n v="39"/>
    <s v="CybertruckLaunch"/>
    <n v="0.11143487163332809"/>
    <x v="5"/>
  </r>
  <r>
    <s v="P223"/>
    <s v="Twitter"/>
    <d v="2024-11-12T00:00:00"/>
    <s v="Image"/>
    <s v="Check out our latest image on twitter!"/>
    <n v="3338"/>
    <n v="277"/>
    <n v="118"/>
    <n v="60084"/>
    <n v="59842"/>
    <n v="252"/>
    <s v="ModelYCampaign"/>
    <n v="6.2129685107516146E-2"/>
    <x v="2"/>
  </r>
  <r>
    <s v="P224"/>
    <s v="Facebook"/>
    <d v="2025-05-13T00:00:00"/>
    <s v="Image"/>
    <s v="Check out our latest image on facebook!"/>
    <n v="602"/>
    <n v="594"/>
    <n v="156"/>
    <n v="4214"/>
    <n v="3363"/>
    <n v="164"/>
    <s v="FSDUpdate"/>
    <n v="0.32083531086853345"/>
    <x v="2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CybertruckLaunch"/>
    <n v="5.6653298485940883E-2"/>
    <x v="4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ModelYCampaign"/>
    <n v="0.25537047673750718"/>
    <x v="2"/>
  </r>
  <r>
    <s v="P227"/>
    <s v="Instagram"/>
    <d v="2024-06-12T00:00:00"/>
    <s v="Text"/>
    <s v="Check out our latest text on instagram!"/>
    <n v="246"/>
    <n v="149"/>
    <n v="130"/>
    <n v="4674"/>
    <n v="4390"/>
    <n v="217"/>
    <s v="FSDUpdate"/>
    <n v="0.11232349165596919"/>
    <x v="0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CybertruckLaunch"/>
    <n v="8.1808097615085965E-2"/>
    <x v="4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ModelYCampaign"/>
    <n v="0.13387048227640017"/>
    <x v="2"/>
  </r>
  <r>
    <s v="P230"/>
    <s v="Facebook"/>
    <d v="2024-07-15T00:00:00"/>
    <s v="Reel"/>
    <s v="Check out our latest reel on facebook!"/>
    <n v="3663"/>
    <n v="17"/>
    <n v="295"/>
    <n v="51282"/>
    <n v="50567"/>
    <n v="84"/>
    <s v="FSDUpdate"/>
    <n v="7.7512577512577507E-2"/>
    <x v="4"/>
  </r>
  <r>
    <s v="P231"/>
    <s v="Instagram"/>
    <d v="2025-05-01T00:00:00"/>
    <s v="Text"/>
    <s v="Check out our latest text on instagram!"/>
    <n v="1430"/>
    <n v="376"/>
    <n v="33"/>
    <n v="21450"/>
    <n v="20509"/>
    <n v="251"/>
    <s v="CybertruckLaunch"/>
    <n v="8.5734265734265735E-2"/>
    <x v="0"/>
  </r>
  <r>
    <s v="P232"/>
    <s v="Twitter"/>
    <d v="2025-04-29T00:00:00"/>
    <s v="Story"/>
    <s v="Check out our latest story on twitter!"/>
    <n v="249"/>
    <n v="592"/>
    <n v="230"/>
    <n v="1494"/>
    <n v="1044"/>
    <n v="201"/>
    <s v="SustainabilityDrive"/>
    <n v="0.7168674698795181"/>
    <x v="4"/>
  </r>
  <r>
    <s v="P233"/>
    <s v="Facebook"/>
    <d v="2025-03-08T00:00:00"/>
    <s v="Image"/>
    <s v="Check out our latest image on facebook!"/>
    <n v="2382"/>
    <n v="265"/>
    <n v="134"/>
    <n v="38112"/>
    <n v="37437"/>
    <n v="249"/>
    <s v="SustainabilityDrive"/>
    <n v="7.2969143576826198E-2"/>
    <x v="0"/>
  </r>
  <r>
    <s v="P234"/>
    <s v="Facebook"/>
    <d v="2024-06-01T00:00:00"/>
    <s v="Text"/>
    <s v="Check out our latest text on facebook!"/>
    <n v="1272"/>
    <n v="465"/>
    <n v="99"/>
    <n v="24168"/>
    <n v="23719"/>
    <n v="42"/>
    <s v="ModelYCampaign"/>
    <n v="7.5968222442899705E-2"/>
    <x v="2"/>
  </r>
  <r>
    <s v="P235"/>
    <s v="Facebook"/>
    <d v="2024-12-22T00:00:00"/>
    <s v="Image"/>
    <s v="Check out our latest image on facebook!"/>
    <n v="3196"/>
    <n v="941"/>
    <n v="376"/>
    <n v="35156"/>
    <n v="34444"/>
    <n v="241"/>
    <s v="FSDUpdate"/>
    <n v="0.1283706906360223"/>
    <x v="2"/>
  </r>
  <r>
    <s v="P236"/>
    <s v="Facebook"/>
    <d v="2024-08-19T00:00:00"/>
    <s v="Text"/>
    <s v="Check out our latest text on facebook!"/>
    <n v="1257"/>
    <n v="19"/>
    <n v="351"/>
    <n v="12570"/>
    <n v="11660"/>
    <n v="194"/>
    <s v="ModelYCampaign"/>
    <n v="0.12943516308671441"/>
    <x v="0"/>
  </r>
  <r>
    <s v="P236"/>
    <s v="Facebook"/>
    <d v="2024-08-19T00:00:00"/>
    <s v="Text"/>
    <s v="Check out our latest text on facebook!"/>
    <n v="1257"/>
    <n v="19"/>
    <n v="351"/>
    <n v="12570"/>
    <n v="11660"/>
    <n v="194"/>
    <s v="ModelYCampaign"/>
    <n v="0.12943516308671441"/>
    <x v="1"/>
  </r>
  <r>
    <s v="P236"/>
    <s v="Facebook"/>
    <d v="2024-08-19T00:00:00"/>
    <s v="Text"/>
    <s v="Check out our latest text on facebook!"/>
    <n v="1257"/>
    <n v="19"/>
    <n v="351"/>
    <n v="12570"/>
    <n v="11660"/>
    <n v="194"/>
    <s v="ModelYCampaign"/>
    <n v="0.12943516308671441"/>
    <x v="4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CybertruckLaunch"/>
    <n v="6.7234398994834563E-2"/>
    <x v="0"/>
  </r>
  <r>
    <s v="P238"/>
    <s v="Twitter"/>
    <d v="2024-07-16T00:00:00"/>
    <s v="Text"/>
    <s v="Check out our latest text on twitter!"/>
    <n v="4725"/>
    <n v="400"/>
    <n v="362"/>
    <n v="75600"/>
    <n v="74927"/>
    <n v="43"/>
    <s v="SustainabilityDrive"/>
    <n v="7.2579365079365077E-2"/>
    <x v="0"/>
  </r>
  <r>
    <s v="P239"/>
    <s v="YouTube"/>
    <d v="2025-02-24T00:00:00"/>
    <s v="Text"/>
    <s v="Check out our latest text on youtube!"/>
    <n v="4188"/>
    <n v="942"/>
    <n v="118"/>
    <n v="20940"/>
    <n v="20471"/>
    <n v="102"/>
    <s v="SustainabilityDrive"/>
    <n v="0.25062082139446035"/>
    <x v="0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FSDUpdate"/>
    <n v="8.6293505561535699E-2"/>
    <x v="4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FSDUpdate"/>
    <n v="8.6293505561535699E-2"/>
    <x v="2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FSDUpdate"/>
    <n v="8.6293505561535699E-2"/>
    <x v="1"/>
  </r>
  <r>
    <s v="P241"/>
    <s v="Facebook"/>
    <d v="2025-01-18T00:00:00"/>
    <s v="Story"/>
    <s v="Check out our latest story on facebook!"/>
    <n v="4321"/>
    <n v="874"/>
    <n v="172"/>
    <n v="30247"/>
    <n v="29254"/>
    <n v="122"/>
    <s v="SustainabilityDrive"/>
    <n v="0.17743908486792079"/>
    <x v="2"/>
  </r>
  <r>
    <s v="P242"/>
    <s v="Facebook"/>
    <d v="2024-07-07T00:00:00"/>
    <s v="Reel"/>
    <s v="Check out our latest reel on facebook!"/>
    <n v="4767"/>
    <n v="190"/>
    <n v="340"/>
    <n v="28602"/>
    <n v="28044"/>
    <n v="210"/>
    <s v="FSDUpdate"/>
    <n v="0.18519683938186141"/>
    <x v="4"/>
  </r>
  <r>
    <s v="P243"/>
    <s v="Twitter"/>
    <d v="2025-03-06T00:00:00"/>
    <s v="Image"/>
    <s v="Check out our latest image on twitter!"/>
    <n v="3592"/>
    <n v="911"/>
    <n v="375"/>
    <n v="50288"/>
    <n v="49490"/>
    <n v="32"/>
    <s v="SustainabilityDrive"/>
    <n v="9.7001272669424113E-2"/>
    <x v="0"/>
  </r>
  <r>
    <s v="P244"/>
    <s v="YouTube"/>
    <d v="2024-10-25T00:00:00"/>
    <s v="Video"/>
    <s v="Check out our latest video on youtube!"/>
    <n v="4661"/>
    <n v="935"/>
    <n v="433"/>
    <n v="23305"/>
    <n v="22583"/>
    <n v="63"/>
    <s v="FSDUpdate"/>
    <n v="0.25869984981763572"/>
    <x v="0"/>
  </r>
  <r>
    <s v="P245"/>
    <s v="Facebook"/>
    <d v="2025-01-12T00:00:00"/>
    <s v="Reel"/>
    <s v="Check out our latest reel on facebook!"/>
    <n v="4134"/>
    <n v="824"/>
    <n v="99"/>
    <n v="41340"/>
    <n v="41050"/>
    <n v="177"/>
    <s v="CybertruckLaunch"/>
    <n v="0.12232704402515723"/>
    <x v="4"/>
  </r>
  <r>
    <s v="P246"/>
    <s v="Facebook"/>
    <d v="2024-10-11T00:00:00"/>
    <s v="Image"/>
    <s v="Check out our latest image on facebook!"/>
    <n v="400"/>
    <n v="680"/>
    <n v="434"/>
    <n v="6400"/>
    <n v="5472"/>
    <n v="160"/>
    <s v="ModelYCampaign"/>
    <n v="0.23656250000000001"/>
    <x v="0"/>
  </r>
  <r>
    <s v="P247"/>
    <s v="Facebook"/>
    <d v="2024-08-27T00:00:00"/>
    <s v="Reel"/>
    <s v="Check out our latest reel on facebook!"/>
    <n v="3960"/>
    <n v="266"/>
    <n v="8"/>
    <n v="35640"/>
    <n v="34850"/>
    <n v="208"/>
    <s v="CybertruckLaunch"/>
    <n v="0.11879910213243547"/>
    <x v="0"/>
  </r>
  <r>
    <s v="P247"/>
    <s v="Facebook"/>
    <d v="2024-08-27T00:00:00"/>
    <s v="Reel"/>
    <s v="Check out our latest reel on facebook!"/>
    <n v="3960"/>
    <n v="266"/>
    <n v="8"/>
    <n v="35640"/>
    <n v="34850"/>
    <n v="208"/>
    <s v="CybertruckLaunch"/>
    <n v="0.11879910213243547"/>
    <x v="4"/>
  </r>
  <r>
    <s v="P247"/>
    <s v="Facebook"/>
    <d v="2024-08-27T00:00:00"/>
    <s v="Reel"/>
    <s v="Check out our latest reel on facebook!"/>
    <n v="3960"/>
    <n v="266"/>
    <n v="8"/>
    <n v="35640"/>
    <n v="34850"/>
    <n v="208"/>
    <s v="CybertruckLaunch"/>
    <n v="0.11879910213243547"/>
    <x v="3"/>
  </r>
  <r>
    <s v="P248"/>
    <s v="Facebook"/>
    <d v="2025-02-02T00:00:00"/>
    <s v="Story"/>
    <s v="Check out our latest story on facebook!"/>
    <n v="886"/>
    <n v="126"/>
    <n v="153"/>
    <n v="4430"/>
    <n v="4037"/>
    <n v="212"/>
    <s v="CybertruckLaunch"/>
    <n v="0.26297968397291194"/>
    <x v="4"/>
  </r>
  <r>
    <s v="P249"/>
    <s v="Twitter"/>
    <d v="2024-07-18T00:00:00"/>
    <s v="Image"/>
    <s v="Check out our latest image on twitter!"/>
    <n v="827"/>
    <n v="77"/>
    <n v="402"/>
    <n v="14886"/>
    <n v="14129"/>
    <n v="254"/>
    <s v="ModelYCampaign"/>
    <n v="8.7733440816874911E-2"/>
    <x v="4"/>
  </r>
  <r>
    <s v="P250"/>
    <s v="Facebook"/>
    <d v="2024-06-22T00:00:00"/>
    <s v="Reel"/>
    <s v="Check out our latest reel on facebook!"/>
    <n v="3813"/>
    <n v="935"/>
    <n v="274"/>
    <n v="68634"/>
    <n v="68488"/>
    <n v="251"/>
    <s v="SustainabilityDrive"/>
    <n v="7.3170731707317069E-2"/>
    <x v="0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SustainabilityDrive"/>
    <n v="0.11619462599854757"/>
    <x v="0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FSDUpdate"/>
    <n v="0.15761129727142173"/>
    <x v="0"/>
  </r>
  <r>
    <s v="P253"/>
    <s v="Twitter"/>
    <d v="2024-08-03T00:00:00"/>
    <s v="Reel"/>
    <s v="Check out our latest reel on twitter!"/>
    <n v="3791"/>
    <n v="593"/>
    <n v="228"/>
    <n v="53074"/>
    <n v="52613"/>
    <n v="205"/>
    <s v="CybertruckLaunch"/>
    <n v="8.6897539284772202E-2"/>
    <x v="4"/>
  </r>
  <r>
    <s v="P254"/>
    <s v="Twitter"/>
    <d v="2025-01-14T00:00:00"/>
    <s v="Image"/>
    <s v="Check out our latest image on twitter!"/>
    <n v="2692"/>
    <n v="115"/>
    <n v="64"/>
    <n v="21536"/>
    <n v="21120"/>
    <n v="224"/>
    <s v="ModelYCampaign"/>
    <n v="0.13331166419019316"/>
    <x v="0"/>
  </r>
  <r>
    <s v="P255"/>
    <s v="Facebook"/>
    <d v="2025-04-03T00:00:00"/>
    <s v="Story"/>
    <s v="Check out our latest story on facebook!"/>
    <n v="3767"/>
    <n v="514"/>
    <n v="238"/>
    <n v="37670"/>
    <n v="36807"/>
    <n v="226"/>
    <s v="SustainabilityDrive"/>
    <n v="0.11996283514733209"/>
    <x v="0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ModelYCampaign"/>
    <n v="5.7936488444630008E-2"/>
    <x v="4"/>
  </r>
  <r>
    <s v="P257"/>
    <s v="Facebook"/>
    <d v="2025-04-06T00:00:00"/>
    <s v="Image"/>
    <s v="Check out our latest image on facebook!"/>
    <n v="3090"/>
    <n v="697"/>
    <n v="164"/>
    <n v="49440"/>
    <n v="48524"/>
    <n v="25"/>
    <s v="ModelYCampaign"/>
    <n v="7.9915048543689318E-2"/>
    <x v="4"/>
  </r>
  <r>
    <s v="P257"/>
    <s v="Facebook"/>
    <d v="2025-04-06T00:00:00"/>
    <s v="Image"/>
    <s v="Check out our latest image on facebook!"/>
    <n v="3090"/>
    <n v="697"/>
    <n v="164"/>
    <n v="49440"/>
    <n v="48524"/>
    <n v="25"/>
    <s v="ModelYCampaign"/>
    <n v="7.9915048543689318E-2"/>
    <x v="4"/>
  </r>
  <r>
    <s v="P257"/>
    <s v="Facebook"/>
    <d v="2025-04-06T00:00:00"/>
    <s v="Image"/>
    <s v="Check out our latest image on facebook!"/>
    <n v="3090"/>
    <n v="697"/>
    <n v="164"/>
    <n v="49440"/>
    <n v="48524"/>
    <n v="25"/>
    <s v="ModelYCampaign"/>
    <n v="7.9915048543689318E-2"/>
    <x v="3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ModelYCampaign"/>
    <n v="0.2023049153013052"/>
    <x v="4"/>
  </r>
  <r>
    <s v="P259"/>
    <s v="Facebook"/>
    <d v="2025-02-10T00:00:00"/>
    <s v="Text"/>
    <s v="Check out our latest text on facebook!"/>
    <n v="562"/>
    <n v="158"/>
    <n v="149"/>
    <n v="3372"/>
    <n v="2940"/>
    <n v="93"/>
    <s v="CybertruckLaunch"/>
    <n v="0.25771055753262156"/>
    <x v="2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FSDUpdate"/>
    <n v="8.7752275425405618E-2"/>
    <x v="2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FSDUpdate"/>
    <n v="8.7752275425405618E-2"/>
    <x v="4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FSDUpdate"/>
    <n v="8.7752275425405618E-2"/>
    <x v="3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CybertruckLaunch"/>
    <n v="8.2835359571399134E-2"/>
    <x v="4"/>
  </r>
  <r>
    <s v="P262"/>
    <s v="YouTube"/>
    <d v="2025-01-18T00:00:00"/>
    <s v="Image"/>
    <s v="Check out our latest image on youtube!"/>
    <n v="1206"/>
    <n v="238"/>
    <n v="36"/>
    <n v="9648"/>
    <n v="9417"/>
    <n v="237"/>
    <s v="ModelYCampaign"/>
    <n v="0.15339966832504145"/>
    <x v="2"/>
  </r>
  <r>
    <s v="P263"/>
    <s v="Instagram"/>
    <d v="2024-08-20T00:00:00"/>
    <s v="Reel"/>
    <s v="Check out our latest reel on instagram!"/>
    <n v="2603"/>
    <n v="690"/>
    <n v="205"/>
    <n v="13015"/>
    <n v="12130"/>
    <n v="20"/>
    <s v="ModelYCampaign"/>
    <n v="0.26876680752977333"/>
    <x v="0"/>
  </r>
  <r>
    <s v="P264"/>
    <s v="Twitter"/>
    <d v="2025-01-30T00:00:00"/>
    <s v="Image"/>
    <s v="Check out our latest image on twitter!"/>
    <n v="59"/>
    <n v="163"/>
    <n v="93"/>
    <n v="590"/>
    <n v="475"/>
    <n v="293"/>
    <s v="ModelYCampaign"/>
    <n v="0.53389830508474578"/>
    <x v="2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SustainabilityDrive"/>
    <n v="0.25279701651571657"/>
    <x v="4"/>
  </r>
  <r>
    <s v="P266"/>
    <s v="Facebook"/>
    <d v="2024-11-25T00:00:00"/>
    <s v="Story"/>
    <s v="Check out our latest story on facebook!"/>
    <n v="4182"/>
    <n v="640"/>
    <n v="240"/>
    <n v="50184"/>
    <n v="49351"/>
    <n v="10"/>
    <s v="FSDUpdate"/>
    <n v="0.10086880280567512"/>
    <x v="2"/>
  </r>
  <r>
    <s v="P267"/>
    <s v="Twitter"/>
    <d v="2024-10-04T00:00:00"/>
    <s v="Reel"/>
    <s v="Check out our latest reel on twitter!"/>
    <n v="4187"/>
    <n v="66"/>
    <n v="31"/>
    <n v="66992"/>
    <n v="66614"/>
    <n v="62"/>
    <s v="SustainabilityDrive"/>
    <n v="6.3947934081681396E-2"/>
    <x v="0"/>
  </r>
  <r>
    <s v="P268"/>
    <s v="Instagram"/>
    <d v="2025-04-13T00:00:00"/>
    <s v="Reel"/>
    <s v="Check out our latest reel on instagram!"/>
    <n v="4579"/>
    <n v="125"/>
    <n v="300"/>
    <n v="59527"/>
    <n v="59400"/>
    <n v="269"/>
    <s v="CybertruckLaunch"/>
    <n v="8.4062694239588759E-2"/>
    <x v="4"/>
  </r>
  <r>
    <s v="P269"/>
    <s v="Instagram"/>
    <d v="2024-11-05T00:00:00"/>
    <s v="Video"/>
    <s v="Check out our latest video on instagram!"/>
    <n v="4561"/>
    <n v="51"/>
    <n v="441"/>
    <n v="22805"/>
    <n v="21890"/>
    <n v="45"/>
    <s v="ModelYCampaign"/>
    <n v="0.22157421618066214"/>
    <x v="2"/>
  </r>
  <r>
    <s v="P270"/>
    <s v="YouTube"/>
    <d v="2025-01-15T00:00:00"/>
    <s v="Reel"/>
    <s v="Check out our latest reel on youtube!"/>
    <n v="3774"/>
    <n v="239"/>
    <n v="39"/>
    <n v="60384"/>
    <n v="59490"/>
    <n v="241"/>
    <s v="FSDUpdate"/>
    <n v="6.7103868574456813E-2"/>
    <x v="2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ModelYCampaign"/>
    <n v="0.20675990675990677"/>
    <x v="4"/>
  </r>
  <r>
    <s v="P272"/>
    <s v="Instagram"/>
    <d v="2025-03-27T00:00:00"/>
    <s v="Text"/>
    <s v="Check out our latest text on instagram!"/>
    <n v="4941"/>
    <n v="414"/>
    <n v="266"/>
    <n v="39528"/>
    <n v="39154"/>
    <n v="217"/>
    <s v="FSDUpdate"/>
    <n v="0.14220299534507186"/>
    <x v="2"/>
  </r>
  <r>
    <s v="P273"/>
    <s v="YouTube"/>
    <d v="2024-10-12T00:00:00"/>
    <s v="Story"/>
    <s v="Check out our latest story on youtube!"/>
    <n v="3641"/>
    <n v="226"/>
    <n v="46"/>
    <n v="40051"/>
    <n v="39319"/>
    <n v="296"/>
    <s v="SustainabilityDrive"/>
    <n v="9.7700431949264685E-2"/>
    <x v="4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SustainabilityDrive"/>
    <n v="7.8849599245638849E-2"/>
    <x v="2"/>
  </r>
  <r>
    <s v="P275"/>
    <s v="Facebook"/>
    <d v="2024-08-05T00:00:00"/>
    <s v="Reel"/>
    <s v="Check out our latest reel on facebook!"/>
    <n v="1741"/>
    <n v="831"/>
    <n v="345"/>
    <n v="17410"/>
    <n v="16844"/>
    <n v="58"/>
    <s v="FSDUpdate"/>
    <n v="0.16754738655944859"/>
    <x v="4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ModelYCampaign"/>
    <n v="0.2015852613538989"/>
    <x v="2"/>
  </r>
  <r>
    <s v="P277"/>
    <s v="Facebook"/>
    <d v="2025-04-06T00:00:00"/>
    <s v="Image"/>
    <s v="Check out our latest image on facebook!"/>
    <n v="4236"/>
    <n v="711"/>
    <n v="298"/>
    <n v="21180"/>
    <n v="20516"/>
    <n v="238"/>
    <s v="CybertruckLaunch"/>
    <n v="0.24763928234183191"/>
    <x v="0"/>
  </r>
  <r>
    <s v="P278"/>
    <s v="Twitter"/>
    <d v="2024-11-26T00:00:00"/>
    <s v="Text"/>
    <s v="Check out our latest text on twitter!"/>
    <n v="4516"/>
    <n v="836"/>
    <n v="169"/>
    <n v="49676"/>
    <n v="49257"/>
    <n v="282"/>
    <s v="SustainabilityDrive"/>
    <n v="0.11114018842096787"/>
    <x v="4"/>
  </r>
  <r>
    <s v="P279"/>
    <s v="YouTube"/>
    <d v="2024-09-02T00:00:00"/>
    <s v="Image"/>
    <s v="Check out our latest image on youtube!"/>
    <n v="4905"/>
    <n v="845"/>
    <n v="129"/>
    <n v="98100"/>
    <n v="97772"/>
    <n v="279"/>
    <s v="ModelYCampaign"/>
    <n v="5.9928644240570844E-2"/>
    <x v="2"/>
  </r>
  <r>
    <s v="P280"/>
    <s v="YouTube"/>
    <d v="2024-10-21T00:00:00"/>
    <s v="Video"/>
    <s v="Check out our latest video on youtube!"/>
    <n v="4275"/>
    <n v="680"/>
    <n v="385"/>
    <n v="64125"/>
    <n v="63650"/>
    <n v="104"/>
    <s v="SustainabilityDrive"/>
    <n v="8.3274853801169585E-2"/>
    <x v="4"/>
  </r>
  <r>
    <s v="P280"/>
    <s v="YouTube"/>
    <d v="2024-10-21T00:00:00"/>
    <s v="Video"/>
    <s v="Check out our latest video on youtube!"/>
    <n v="4275"/>
    <n v="680"/>
    <n v="385"/>
    <n v="64125"/>
    <n v="63650"/>
    <n v="104"/>
    <s v="SustainabilityDrive"/>
    <n v="8.3274853801169585E-2"/>
    <x v="2"/>
  </r>
  <r>
    <s v="P280"/>
    <s v="YouTube"/>
    <d v="2024-10-21T00:00:00"/>
    <s v="Video"/>
    <s v="Check out our latest video on youtube!"/>
    <n v="4275"/>
    <n v="680"/>
    <n v="385"/>
    <n v="64125"/>
    <n v="63650"/>
    <n v="104"/>
    <s v="SustainabilityDrive"/>
    <n v="8.3274853801169585E-2"/>
    <x v="1"/>
  </r>
  <r>
    <s v="P281"/>
    <s v="YouTube"/>
    <d v="2025-03-22T00:00:00"/>
    <s v="Image"/>
    <s v="Check out our latest image on youtube!"/>
    <n v="3166"/>
    <n v="90"/>
    <n v="341"/>
    <n v="56988"/>
    <n v="56125"/>
    <n v="135"/>
    <s v="ModelYCampaign"/>
    <n v="6.3118551273952411E-2"/>
    <x v="4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FSDUpdate"/>
    <n v="0.1071650124069479"/>
    <x v="0"/>
  </r>
  <r>
    <s v="P283"/>
    <s v="Twitter"/>
    <d v="2025-05-09T00:00:00"/>
    <s v="Reel"/>
    <s v="Check out our latest reel on twitter!"/>
    <n v="3367"/>
    <n v="302"/>
    <n v="57"/>
    <n v="63973"/>
    <n v="63789"/>
    <n v="157"/>
    <s v="ModelYCampaign"/>
    <n v="5.8243321401216137E-2"/>
    <x v="0"/>
  </r>
  <r>
    <s v="P284"/>
    <s v="Twitter"/>
    <d v="2024-09-17T00:00:00"/>
    <s v="Text"/>
    <s v="Check out our latest text on twitter!"/>
    <n v="571"/>
    <n v="190"/>
    <n v="352"/>
    <n v="9707"/>
    <n v="9418"/>
    <n v="231"/>
    <s v="SustainabilityDrive"/>
    <n v="0.11465952405480581"/>
    <x v="2"/>
  </r>
  <r>
    <s v="P285"/>
    <s v="YouTube"/>
    <d v="2024-07-18T00:00:00"/>
    <s v="Text"/>
    <s v="Check out our latest text on youtube!"/>
    <n v="4021"/>
    <n v="794"/>
    <n v="77"/>
    <n v="36189"/>
    <n v="35505"/>
    <n v="174"/>
    <s v="CybertruckLaunch"/>
    <n v="0.13517919809886983"/>
    <x v="4"/>
  </r>
  <r>
    <s v="P286"/>
    <s v="YouTube"/>
    <d v="2024-09-25T00:00:00"/>
    <s v="Video"/>
    <s v="Check out our latest video on youtube!"/>
    <n v="3389"/>
    <n v="344"/>
    <n v="229"/>
    <n v="20334"/>
    <n v="19443"/>
    <n v="228"/>
    <s v="FSDUpdate"/>
    <n v="0.19484607062063539"/>
    <x v="0"/>
  </r>
  <r>
    <s v="P287"/>
    <s v="Instagram"/>
    <d v="2024-08-15T00:00:00"/>
    <s v="Reel"/>
    <s v="Check out our latest reel on instagram!"/>
    <n v="1164"/>
    <n v="616"/>
    <n v="324"/>
    <n v="6984"/>
    <n v="6636"/>
    <n v="82"/>
    <s v="CybertruckLaunch"/>
    <n v="0.30126002290950743"/>
    <x v="4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FSDUpdate"/>
    <n v="6.800325430032543E-2"/>
    <x v="0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SustainabilityDrive"/>
    <n v="7.3018902217375503E-2"/>
    <x v="0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SustainabilityDrive"/>
    <n v="8.3921940869371006E-2"/>
    <x v="4"/>
  </r>
  <r>
    <s v="P291"/>
    <s v="Facebook"/>
    <d v="2024-11-06T00:00:00"/>
    <s v="Video"/>
    <s v="Check out our latest video on facebook!"/>
    <n v="4663"/>
    <n v="145"/>
    <n v="225"/>
    <n v="69945"/>
    <n v="69596"/>
    <n v="35"/>
    <s v="SustainabilityDrive"/>
    <n v="7.1956537279290869E-2"/>
    <x v="4"/>
  </r>
  <r>
    <s v="P292"/>
    <s v="Facebook"/>
    <d v="2024-11-17T00:00:00"/>
    <s v="Text"/>
    <s v="Check out our latest text on facebook!"/>
    <n v="880"/>
    <n v="297"/>
    <n v="345"/>
    <n v="12320"/>
    <n v="11978"/>
    <n v="238"/>
    <s v="ModelYCampaign"/>
    <n v="0.12353896103896105"/>
    <x v="2"/>
  </r>
  <r>
    <s v="P292"/>
    <s v="Facebook"/>
    <d v="2024-11-17T00:00:00"/>
    <s v="Text"/>
    <s v="Check out our latest text on facebook!"/>
    <n v="880"/>
    <n v="297"/>
    <n v="345"/>
    <n v="12320"/>
    <n v="11978"/>
    <n v="238"/>
    <s v="ModelYCampaign"/>
    <n v="0.12353896103896105"/>
    <x v="1"/>
  </r>
  <r>
    <s v="P293"/>
    <s v="Facebook"/>
    <d v="2025-05-14T00:00:00"/>
    <s v="Text"/>
    <s v="Check out our latest text on facebook!"/>
    <n v="2634"/>
    <n v="726"/>
    <n v="241"/>
    <n v="28974"/>
    <n v="28102"/>
    <n v="277"/>
    <s v="CybertruckLaunch"/>
    <n v="0.12428384068475185"/>
    <x v="4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FSDUpdate"/>
    <n v="0.18248432325794406"/>
    <x v="4"/>
  </r>
  <r>
    <s v="P295"/>
    <s v="Twitter"/>
    <d v="2025-05-06T00:00:00"/>
    <s v="Image"/>
    <s v="Check out our latest image on twitter!"/>
    <n v="1952"/>
    <n v="344"/>
    <n v="287"/>
    <n v="15616"/>
    <n v="15403"/>
    <n v="235"/>
    <s v="ModelYCampaign"/>
    <n v="0.16540727459016394"/>
    <x v="0"/>
  </r>
  <r>
    <s v="P295"/>
    <s v="Twitter"/>
    <d v="2025-05-06T00:00:00"/>
    <s v="Image"/>
    <s v="Check out our latest image on twitter!"/>
    <n v="1952"/>
    <n v="344"/>
    <n v="287"/>
    <n v="15616"/>
    <n v="15403"/>
    <n v="235"/>
    <s v="ModelYCampaign"/>
    <n v="0.16540727459016394"/>
    <x v="2"/>
  </r>
  <r>
    <s v="P295"/>
    <s v="Twitter"/>
    <d v="2025-05-06T00:00:00"/>
    <s v="Image"/>
    <s v="Check out our latest image on twitter!"/>
    <n v="1952"/>
    <n v="344"/>
    <n v="287"/>
    <n v="15616"/>
    <n v="15403"/>
    <n v="235"/>
    <s v="ModelYCampaign"/>
    <n v="0.16540727459016394"/>
    <x v="1"/>
  </r>
  <r>
    <s v="P296"/>
    <s v="Twitter"/>
    <d v="2025-02-11T00:00:00"/>
    <s v="Video"/>
    <s v="Check out our latest video on twitter!"/>
    <n v="3440"/>
    <n v="13"/>
    <n v="20"/>
    <n v="58480"/>
    <n v="58146"/>
    <n v="210"/>
    <s v="SustainabilityDrive"/>
    <n v="5.9387824897400819E-2"/>
    <x v="2"/>
  </r>
  <r>
    <s v="P296"/>
    <s v="Twitter"/>
    <d v="2025-02-11T00:00:00"/>
    <s v="Video"/>
    <s v="Check out our latest video on twitter!"/>
    <n v="3440"/>
    <n v="13"/>
    <n v="20"/>
    <n v="58480"/>
    <n v="58146"/>
    <n v="210"/>
    <s v="SustainabilityDrive"/>
    <n v="5.9387824897400819E-2"/>
    <x v="5"/>
  </r>
  <r>
    <s v="P297"/>
    <s v="Twitter"/>
    <d v="2024-12-24T00:00:00"/>
    <s v="Text"/>
    <s v="Check out our latest text on twitter!"/>
    <n v="2166"/>
    <n v="354"/>
    <n v="117"/>
    <n v="10830"/>
    <n v="10245"/>
    <n v="24"/>
    <s v="SustainabilityDrive"/>
    <n v="0.24349030470914126"/>
    <x v="4"/>
  </r>
  <r>
    <s v="P298"/>
    <s v="Facebook"/>
    <d v="2024-10-24T00:00:00"/>
    <s v="Image"/>
    <s v="Check out our latest image on facebook!"/>
    <n v="4303"/>
    <n v="451"/>
    <n v="286"/>
    <n v="86060"/>
    <n v="85823"/>
    <n v="14"/>
    <s v="FSDUpdate"/>
    <n v="5.8563792702765516E-2"/>
    <x v="2"/>
  </r>
  <r>
    <s v="P299"/>
    <s v="Facebook"/>
    <d v="2024-08-26T00:00:00"/>
    <s v="Image"/>
    <s v="Check out our latest image on facebook!"/>
    <n v="2581"/>
    <n v="517"/>
    <n v="117"/>
    <n v="23229"/>
    <n v="22331"/>
    <n v="70"/>
    <s v="FSDUpdate"/>
    <n v="0.13840458048129492"/>
    <x v="0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CybertruckLaunch"/>
    <n v="8.3539958039290485E-2"/>
    <x v="2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CybertruckLaunch"/>
    <n v="8.3539958039290485E-2"/>
    <x v="4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CybertruckLaunch"/>
    <n v="8.3539958039290485E-2"/>
    <x v="3"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#FutureOfDriving"/>
    <s v="#AnytimeIsTeslaTime"/>
    <m/>
    <s v="CybertruckLaunch"/>
    <x v="0"/>
    <x v="0"/>
    <n v="2004"/>
  </r>
  <r>
    <s v="P002"/>
    <s v="Twitter"/>
    <d v="2025-04-03T00:00:00"/>
    <s v="Text"/>
    <s v="Check out our latest text on twitter!"/>
    <n v="4054"/>
    <n v="389"/>
    <n v="493"/>
    <n v="64864"/>
    <n v="64383"/>
    <n v="117"/>
    <s v="#TeslaCoInnovation"/>
    <s v="#BetterWithTesla"/>
    <m/>
    <s v="ModelYCampaign"/>
    <x v="1"/>
    <x v="0"/>
    <n v="5053"/>
  </r>
  <r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m/>
    <m/>
    <s v="FSDUpdate"/>
    <x v="2"/>
    <x v="0"/>
    <n v="3153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m/>
    <m/>
    <s v="SustainabilityDrive"/>
    <x v="3"/>
    <x v="0"/>
    <n v="3033"/>
  </r>
  <r>
    <s v="P005"/>
    <s v="YouTube"/>
    <d v="2024-06-26T00:00:00"/>
    <s v="Reel"/>
    <s v="Check out our latest reel on youtube!"/>
    <n v="3557"/>
    <n v="687"/>
    <n v="424"/>
    <n v="71140"/>
    <n v="70701"/>
    <n v="224"/>
    <s v="#EVRevolution"/>
    <s v="#TeslaCoInnovation"/>
    <m/>
    <s v="CybertruckLaunch"/>
    <x v="0"/>
    <x v="0"/>
    <n v="4892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m/>
    <m/>
    <s v="ModelYCampaign"/>
    <x v="1"/>
    <x v="0"/>
    <n v="4486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TeslaCoInnovation"/>
    <m/>
    <m/>
    <s v="ModelYCampaign"/>
    <x v="1"/>
    <x v="0"/>
    <n v="4575"/>
  </r>
  <r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m/>
    <m/>
    <s v="SustainabilityDrive"/>
    <x v="3"/>
    <x v="0"/>
    <n v="4508"/>
  </r>
  <r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m/>
    <m/>
    <s v="ModelYCampaign"/>
    <x v="1"/>
    <x v="0"/>
    <n v="5127"/>
  </r>
  <r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m/>
    <m/>
    <s v="ModelYCampaign"/>
    <x v="1"/>
    <x v="0"/>
    <n v="5357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m/>
    <m/>
    <s v="SustainabilityDrive"/>
    <x v="3"/>
    <x v="0"/>
    <n v="2968"/>
  </r>
  <r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m/>
    <m/>
    <s v="FSDUpdate"/>
    <x v="2"/>
    <x v="0"/>
    <n v="3222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m/>
    <m/>
    <s v="CybertruckLaunch"/>
    <x v="0"/>
    <x v="0"/>
    <n v="1802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m/>
    <m/>
    <m/>
    <x v="3"/>
    <x v="0"/>
    <n v="5193"/>
  </r>
  <r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m/>
    <m/>
    <s v="CybertruckLaunch"/>
    <x v="0"/>
    <x v="0"/>
    <n v="4640"/>
  </r>
  <r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m/>
    <m/>
    <s v="FSDUpdate"/>
    <x v="2"/>
    <x v="0"/>
    <n v="4276"/>
  </r>
  <r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m/>
    <m/>
    <s v="SustainabilityDrive"/>
    <x v="3"/>
    <x v="0"/>
    <n v="5181"/>
  </r>
  <r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m/>
    <m/>
    <s v="CybertruckLaunch"/>
    <x v="0"/>
    <x v="0"/>
    <n v="3726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m/>
    <m/>
    <s v="SustainabilityDrive"/>
    <x v="3"/>
    <x v="0"/>
    <n v="1715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m/>
    <m/>
    <s v="CybertruckLaunch"/>
    <x v="0"/>
    <x v="0"/>
    <n v="4940"/>
  </r>
  <r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m/>
    <m/>
    <s v="SustainabilityDrive"/>
    <x v="3"/>
    <x v="0"/>
    <n v="5689"/>
  </r>
  <r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m/>
    <m/>
    <s v="SustainabilityDrive"/>
    <x v="3"/>
    <x v="0"/>
    <n v="2150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"/>
    <s v="#AnytimeIsTeslaTime"/>
    <m/>
    <s v="ModelYCampaign"/>
    <x v="1"/>
    <x v="0"/>
    <n v="2694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m/>
    <m/>
    <s v="FSDUpdate"/>
    <x v="2"/>
    <x v="0"/>
    <n v="5014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EVRevolution"/>
    <m/>
    <m/>
    <m/>
    <x v="0"/>
    <x v="0"/>
    <n v="3774"/>
  </r>
  <r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m/>
    <m/>
    <s v="ModelYCampaign"/>
    <x v="1"/>
    <x v="0"/>
    <n v="3991"/>
  </r>
  <r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m/>
    <m/>
    <s v="SustainabilityDrive"/>
    <x v="3"/>
    <x v="0"/>
    <n v="2426"/>
  </r>
  <r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m/>
    <m/>
    <s v="SustainabilityDrive"/>
    <x v="3"/>
    <x v="0"/>
    <n v="1258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m/>
    <m/>
    <s v="FSDUpdate"/>
    <x v="2"/>
    <x v="0"/>
    <n v="2942"/>
  </r>
  <r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m/>
    <m/>
    <m/>
    <x v="0"/>
    <x v="0"/>
    <n v="3305"/>
  </r>
  <r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m/>
    <m/>
    <s v="ModelYCampaign"/>
    <x v="1"/>
    <x v="0"/>
    <n v="1148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EVRevolution"/>
    <m/>
    <m/>
    <s v="CybertruckLaunch"/>
    <x v="0"/>
    <x v="0"/>
    <n v="2884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m/>
    <m/>
    <s v="CybertruckLaunch"/>
    <x v="0"/>
    <x v="0"/>
    <n v="2271"/>
  </r>
  <r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m/>
    <m/>
    <s v="FSDUpdate"/>
    <x v="2"/>
    <x v="0"/>
    <n v="2313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m/>
    <m/>
    <s v="ModelYCampaign"/>
    <x v="1"/>
    <x v="0"/>
    <n v="4301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m/>
    <m/>
    <s v="ModelYCampaign"/>
    <x v="1"/>
    <x v="0"/>
    <n v="5217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m/>
    <m/>
    <s v="ModelYCampaign"/>
    <x v="1"/>
    <x v="0"/>
    <n v="4335"/>
  </r>
  <r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m/>
    <m/>
    <s v="SustainabilityDrive"/>
    <x v="3"/>
    <x v="0"/>
    <n v="3639"/>
  </r>
  <r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m/>
    <m/>
    <m/>
    <x v="1"/>
    <x v="0"/>
    <n v="4462"/>
  </r>
  <r>
    <s v="P040"/>
    <s v="Twitter"/>
    <d v="2025-03-07T00:00:00"/>
    <s v="Image"/>
    <s v="Check out our latest image on twitter!"/>
    <n v="4750"/>
    <n v="151"/>
    <n v="415"/>
    <n v="38000"/>
    <n v="37792"/>
    <n v="299"/>
    <s v="#EVRevolution"/>
    <m/>
    <m/>
    <s v="SustainabilityDrive"/>
    <x v="3"/>
    <x v="0"/>
    <n v="5615"/>
  </r>
  <r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m/>
    <m/>
    <s v="SustainabilityDrive"/>
    <x v="3"/>
    <x v="0"/>
    <n v="1718"/>
  </r>
  <r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m/>
    <m/>
    <m/>
    <x v="0"/>
    <x v="0"/>
    <n v="2937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m/>
    <m/>
    <s v="FSDUpdate"/>
    <x v="2"/>
    <x v="0"/>
    <n v="2984"/>
  </r>
  <r>
    <s v="P044"/>
    <s v="Twitter"/>
    <d v="2025-03-02T00:00:00"/>
    <s v="Image"/>
    <s v="Check out our latest image on twitter!"/>
    <n v="2358"/>
    <n v="784"/>
    <n v="344"/>
    <n v="35370"/>
    <n v="34475"/>
    <n v="216"/>
    <s v="#TeslaCoInnovation"/>
    <m/>
    <m/>
    <m/>
    <x v="1"/>
    <x v="0"/>
    <n v="3702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m/>
    <m/>
    <s v="CybertruckLaunch"/>
    <x v="0"/>
    <x v="0"/>
    <n v="3980"/>
  </r>
  <r>
    <s v="P046"/>
    <s v="Twitter"/>
    <d v="2025-05-02T00:00:00"/>
    <s v="Video"/>
    <s v="Check out our latest video on twitter!"/>
    <n v="1108"/>
    <n v="177"/>
    <n v="212"/>
    <n v="8864"/>
    <n v="8710"/>
    <n v="97"/>
    <s v="#TeslaCoInnovation"/>
    <m/>
    <m/>
    <s v="SustainabilityDrive"/>
    <x v="3"/>
    <x v="0"/>
    <n v="1594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FutureOfDriving"/>
    <m/>
    <m/>
    <m/>
    <x v="3"/>
    <x v="0"/>
    <n v="3736"/>
  </r>
  <r>
    <s v="P048"/>
    <s v="Twitter"/>
    <d v="2025-03-11T00:00:00"/>
    <s v="Story"/>
    <s v="Check out our latest story on twitter!"/>
    <n v="1950"/>
    <n v="295"/>
    <n v="478"/>
    <n v="37050"/>
    <n v="36272"/>
    <n v="119"/>
    <s v="#TeslaCoInnovation"/>
    <m/>
    <m/>
    <m/>
    <x v="1"/>
    <x v="0"/>
    <n v="2842"/>
  </r>
  <r>
    <s v="P049"/>
    <s v="Twitter"/>
    <d v="2024-06-10T00:00:00"/>
    <s v="Story"/>
    <s v="Check out our latest story on twitter!"/>
    <n v="2164"/>
    <n v="549"/>
    <n v="274"/>
    <n v="28132"/>
    <n v="27361"/>
    <n v="177"/>
    <s v="#TeslaCoInnovation"/>
    <m/>
    <m/>
    <s v="SustainabilityDrive"/>
    <x v="3"/>
    <x v="0"/>
    <n v="3164"/>
  </r>
  <r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m/>
    <m/>
    <s v="FSDUpdate"/>
    <x v="2"/>
    <x v="0"/>
    <n v="3086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m/>
    <m/>
    <s v="ModelYCampaign"/>
    <x v="1"/>
    <x v="0"/>
    <n v="3168"/>
  </r>
  <r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m/>
    <m/>
    <s v="SustainabilityDrive"/>
    <x v="3"/>
    <x v="0"/>
    <n v="1669"/>
  </r>
  <r>
    <s v="P053"/>
    <s v="YouTube"/>
    <d v="2025-02-24T00:00:00"/>
    <s v="Carousel"/>
    <s v="Check out our latest carousel on youtube!"/>
    <n v="804"/>
    <n v="639"/>
    <n v="43"/>
    <n v="4020"/>
    <n v="3144"/>
    <n v="11"/>
    <s v="#EVRevolution"/>
    <s v="#BetterWithTesla"/>
    <m/>
    <m/>
    <x v="0"/>
    <x v="0"/>
    <n v="1497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m/>
    <m/>
    <s v="ModelYCampaign"/>
    <x v="1"/>
    <x v="0"/>
    <n v="3114"/>
  </r>
  <r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m/>
    <m/>
    <s v="SustainabilityDrive"/>
    <x v="3"/>
    <x v="0"/>
    <n v="1475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m/>
    <m/>
    <s v="FSDUpdate"/>
    <x v="2"/>
    <x v="0"/>
    <n v="3871"/>
  </r>
  <r>
    <s v="P057"/>
    <s v="Twitter"/>
    <d v="2024-10-21T00:00:00"/>
    <s v="Video"/>
    <s v="Check out our latest video on twitter!"/>
    <n v="2825"/>
    <n v="535"/>
    <n v="295"/>
    <n v="45200"/>
    <n v="44739"/>
    <n v="169"/>
    <s v="#TeslaCoInnovation"/>
    <m/>
    <m/>
    <s v="CybertruckLaunch"/>
    <x v="0"/>
    <x v="0"/>
    <n v="3824"/>
  </r>
  <r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m/>
    <m/>
    <s v="SustainabilityDrive"/>
    <x v="3"/>
    <x v="0"/>
    <n v="1154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m/>
    <m/>
    <m/>
    <x v="0"/>
    <x v="0"/>
    <n v="3004"/>
  </r>
  <r>
    <s v="P060"/>
    <s v="Instagram"/>
    <d v="2025-01-28T00:00:00"/>
    <s v="Video"/>
    <s v="Check out our latest video on instagram!"/>
    <n v="904"/>
    <n v="973"/>
    <n v="63"/>
    <n v="11752"/>
    <n v="11580"/>
    <n v="84"/>
    <s v="#EVRevolution"/>
    <s v="#TeslaCoInnovation"/>
    <s v="#AnytimeIsTeslaTime"/>
    <s v="FSDUpdate"/>
    <x v="2"/>
    <x v="0"/>
    <n v="2024"/>
  </r>
  <r>
    <s v="P061"/>
    <s v="Twitter"/>
    <d v="2024-09-05T00:00:00"/>
    <s v="Video"/>
    <s v="Check out our latest video on twitter!"/>
    <n v="4886"/>
    <n v="983"/>
    <n v="409"/>
    <n v="43974"/>
    <n v="43239"/>
    <n v="65"/>
    <s v="#TeslaCoInnovation"/>
    <m/>
    <m/>
    <s v="CybertruckLaunch"/>
    <x v="0"/>
    <x v="0"/>
    <n v="6343"/>
  </r>
  <r>
    <s v="P062"/>
    <s v="Twitter"/>
    <d v="2024-11-22T00:00:00"/>
    <s v="Carousel"/>
    <s v="Check out our latest carousel on twitter!"/>
    <n v="53"/>
    <n v="81"/>
    <n v="379"/>
    <n v="954"/>
    <n v="7"/>
    <n v="148"/>
    <s v="#TeslaCoInnovation"/>
    <m/>
    <m/>
    <s v="FSDUpdate"/>
    <x v="2"/>
    <x v="0"/>
    <n v="661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FutureOfDriving"/>
    <m/>
    <m/>
    <s v="FSDUpdate"/>
    <x v="2"/>
    <x v="0"/>
    <n v="4862"/>
  </r>
  <r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m/>
    <m/>
    <s v="FSDUpdate"/>
    <x v="2"/>
    <x v="0"/>
    <n v="3617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m/>
    <m/>
    <m/>
    <x v="0"/>
    <x v="0"/>
    <n v="2770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EVRevolution"/>
    <m/>
    <m/>
    <s v="CybertruckLaunch"/>
    <x v="0"/>
    <x v="0"/>
    <n v="1067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m/>
    <m/>
    <s v="FSDUpdate"/>
    <x v="2"/>
    <x v="0"/>
    <n v="5507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m/>
    <m/>
    <m/>
    <x v="0"/>
    <x v="0"/>
    <n v="3097"/>
  </r>
  <r>
    <s v="P069"/>
    <s v="Twitter"/>
    <d v="2025-03-08T00:00:00"/>
    <s v="Text"/>
    <s v="Check out our latest text on twitter!"/>
    <n v="1292"/>
    <n v="626"/>
    <n v="496"/>
    <n v="25840"/>
    <n v="24916"/>
    <n v="149"/>
    <s v="#FutureOfDriving"/>
    <m/>
    <m/>
    <s v="FSDUpdate"/>
    <x v="2"/>
    <x v="0"/>
    <n v="2563"/>
  </r>
  <r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m/>
    <m/>
    <m/>
    <x v="1"/>
    <x v="0"/>
    <n v="1414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m/>
    <m/>
    <s v="ModelYCampaign"/>
    <x v="1"/>
    <x v="0"/>
    <n v="3898"/>
  </r>
  <r>
    <s v="P072"/>
    <s v="YouTube"/>
    <d v="2025-03-03T00:00:00"/>
    <s v="Reel"/>
    <s v="Check out our latest reel on youtube!"/>
    <n v="296"/>
    <n v="60"/>
    <n v="141"/>
    <n v="5624"/>
    <n v="5239"/>
    <n v="88"/>
    <s v="#EVRevolution"/>
    <m/>
    <m/>
    <s v="ModelYCampaign"/>
    <x v="1"/>
    <x v="0"/>
    <n v="585"/>
  </r>
  <r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m/>
    <m/>
    <s v="SustainabilityDrive"/>
    <x v="3"/>
    <x v="0"/>
    <n v="5126"/>
  </r>
  <r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m/>
    <m/>
    <s v="FSDUpdate"/>
    <x v="2"/>
    <x v="0"/>
    <n v="2352"/>
  </r>
  <r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m/>
    <m/>
    <s v="SustainabilityDrive"/>
    <x v="3"/>
    <x v="0"/>
    <n v="2895"/>
  </r>
  <r>
    <s v="P076"/>
    <s v="Twitter"/>
    <d v="2024-11-07T00:00:00"/>
    <s v="Story"/>
    <s v="Check out our latest story on twitter!"/>
    <n v="1121"/>
    <n v="135"/>
    <n v="18"/>
    <n v="15694"/>
    <n v="14957"/>
    <n v="99"/>
    <s v="#TeslaCoInnovation"/>
    <m/>
    <m/>
    <s v="SustainabilityDrive"/>
    <x v="3"/>
    <x v="0"/>
    <n v="1373"/>
  </r>
  <r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m/>
    <m/>
    <m/>
    <x v="1"/>
    <x v="0"/>
    <n v="1848"/>
  </r>
  <r>
    <s v="P078"/>
    <s v="Twitter"/>
    <d v="2024-06-17T00:00:00"/>
    <s v="Image"/>
    <s v="Check out our latest image on twitter!"/>
    <n v="954"/>
    <n v="324"/>
    <n v="288"/>
    <n v="19080"/>
    <n v="18859"/>
    <n v="21"/>
    <s v="#FutureOfDriving"/>
    <m/>
    <m/>
    <s v="SustainabilityDrive"/>
    <x v="3"/>
    <x v="0"/>
    <n v="1587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m/>
    <m/>
    <s v="ModelYCampaign"/>
    <x v="1"/>
    <x v="0"/>
    <n v="3800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m/>
    <m/>
    <m/>
    <x v="3"/>
    <x v="0"/>
    <n v="3126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m/>
    <m/>
    <s v="FSDUpdate"/>
    <x v="2"/>
    <x v="0"/>
    <n v="2169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"/>
    <s v="#TeslaCoInnovation"/>
    <s v="#AnytimeIsTeslaTime"/>
    <s v="FSDUpdate"/>
    <x v="2"/>
    <x v="0"/>
    <n v="1441"/>
  </r>
  <r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m/>
    <m/>
    <m/>
    <x v="0"/>
    <x v="0"/>
    <n v="1699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m/>
    <m/>
    <s v="SustainabilityDrive"/>
    <x v="3"/>
    <x v="0"/>
    <n v="3289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m/>
    <m/>
    <s v="CybertruckLaunch"/>
    <x v="0"/>
    <x v="0"/>
    <n v="5031"/>
  </r>
  <r>
    <s v="P086"/>
    <s v="YouTube"/>
    <d v="2025-01-27T00:00:00"/>
    <s v="Text"/>
    <s v="Check out our latest text on youtube!"/>
    <n v="3428"/>
    <n v="305"/>
    <n v="85"/>
    <n v="58276"/>
    <n v="58052"/>
    <n v="242"/>
    <s v="#EVRevolution"/>
    <s v="#BetterWithTesla"/>
    <m/>
    <s v="SustainabilityDrive"/>
    <x v="3"/>
    <x v="0"/>
    <n v="4060"/>
  </r>
  <r>
    <s v="P087"/>
    <s v="Twitter"/>
    <d v="2024-06-06T00:00:00"/>
    <s v="Video"/>
    <s v="Check out our latest video on twitter!"/>
    <n v="1436"/>
    <n v="765"/>
    <n v="496"/>
    <n v="12924"/>
    <n v="12701"/>
    <n v="197"/>
    <s v="#FutureOfDriving"/>
    <m/>
    <m/>
    <s v="FSDUpdate"/>
    <x v="2"/>
    <x v="0"/>
    <n v="2894"/>
  </r>
  <r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m/>
    <m/>
    <s v="SustainabilityDrive"/>
    <x v="3"/>
    <x v="0"/>
    <n v="804"/>
  </r>
  <r>
    <s v="P089"/>
    <s v="Twitter"/>
    <d v="2025-01-10T00:00:00"/>
    <s v="Image"/>
    <s v="Check out our latest image on twitter!"/>
    <n v="2214"/>
    <n v="249"/>
    <n v="152"/>
    <n v="15498"/>
    <n v="14800"/>
    <n v="180"/>
    <s v="#EVRevolution"/>
    <m/>
    <m/>
    <m/>
    <x v="0"/>
    <x v="0"/>
    <n v="2795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m/>
    <m/>
    <s v="SustainabilityDrive"/>
    <x v="3"/>
    <x v="0"/>
    <n v="5219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m/>
    <m/>
    <s v="SustainabilityDrive"/>
    <x v="3"/>
    <x v="0"/>
    <n v="2154"/>
  </r>
  <r>
    <s v="P092"/>
    <s v="Twitter"/>
    <d v="2024-10-21T00:00:00"/>
    <s v="Story"/>
    <s v="Check out our latest story on twitter!"/>
    <n v="3801"/>
    <n v="967"/>
    <n v="401"/>
    <n v="38010"/>
    <n v="37625"/>
    <n v="236"/>
    <s v="#FutureOfDriving"/>
    <m/>
    <m/>
    <s v="FSDUpdate"/>
    <x v="2"/>
    <x v="0"/>
    <n v="5405"/>
  </r>
  <r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m/>
    <m/>
    <s v="FSDUpdate"/>
    <x v="2"/>
    <x v="0"/>
    <n v="2558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m/>
    <m/>
    <s v="FSDUpdate"/>
    <x v="2"/>
    <x v="0"/>
    <n v="3167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m/>
    <m/>
    <s v="SustainabilityDrive"/>
    <x v="3"/>
    <x v="0"/>
    <n v="4064"/>
  </r>
  <r>
    <s v="P096"/>
    <s v="Twitter"/>
    <d v="2024-09-10T00:00:00"/>
    <s v="Image"/>
    <s v="Check out our latest image on twitter!"/>
    <n v="1238"/>
    <n v="366"/>
    <n v="444"/>
    <n v="19808"/>
    <n v="19334"/>
    <n v="123"/>
    <s v="#FutureOfDriving"/>
    <m/>
    <m/>
    <m/>
    <x v="3"/>
    <x v="0"/>
    <n v="2171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"/>
    <s v="#AnytimeIsTeslaTime"/>
    <m/>
    <s v="ModelYCampaign"/>
    <x v="1"/>
    <x v="0"/>
    <n v="5437"/>
  </r>
  <r>
    <s v="P098"/>
    <s v="Twitter"/>
    <d v="2024-06-10T00:00:00"/>
    <s v="Story"/>
    <s v="Check out our latest story on twitter!"/>
    <n v="1575"/>
    <n v="771"/>
    <n v="486"/>
    <n v="25200"/>
    <n v="24826"/>
    <n v="17"/>
    <s v="#FutureOfDriving"/>
    <m/>
    <m/>
    <s v="SustainabilityDrive"/>
    <x v="3"/>
    <x v="0"/>
    <n v="2849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m/>
    <m/>
    <s v="FSDUpdate"/>
    <x v="2"/>
    <x v="0"/>
    <n v="4978"/>
  </r>
  <r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m/>
    <m/>
    <m/>
    <x v="0"/>
    <x v="0"/>
    <n v="2334"/>
  </r>
  <r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m/>
    <m/>
    <s v="FSDUpdate"/>
    <x v="2"/>
    <x v="0"/>
    <n v="5588"/>
  </r>
  <r>
    <s v="P102"/>
    <s v="Twitter"/>
    <d v="2024-09-18T00:00:00"/>
    <s v="Reel"/>
    <s v="Check out our latest reel on twitter!"/>
    <n v="1000"/>
    <n v="978"/>
    <n v="162"/>
    <n v="6000"/>
    <n v="5221"/>
    <n v="223"/>
    <s v="#EVRevolution"/>
    <m/>
    <m/>
    <s v="ModelYCampaign"/>
    <x v="1"/>
    <x v="0"/>
    <n v="2363"/>
  </r>
  <r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m/>
    <m/>
    <s v="ModelYCampaign"/>
    <x v="1"/>
    <x v="0"/>
    <n v="4255"/>
  </r>
  <r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m/>
    <m/>
    <s v="FSDUpdate"/>
    <x v="2"/>
    <x v="0"/>
    <n v="4708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m/>
    <m/>
    <s v="CybertruckLaunch"/>
    <x v="0"/>
    <x v="0"/>
    <n v="610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m/>
    <m/>
    <s v="SustainabilityDrive"/>
    <x v="3"/>
    <x v="0"/>
    <n v="6237"/>
  </r>
  <r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m/>
    <m/>
    <m/>
    <x v="1"/>
    <x v="0"/>
    <n v="5917"/>
  </r>
  <r>
    <s v="P108"/>
    <s v="Twitter"/>
    <d v="2025-03-25T00:00:00"/>
    <s v="Video"/>
    <s v="Check out our latest video on twitter!"/>
    <n v="4050"/>
    <n v="871"/>
    <n v="347"/>
    <n v="52650"/>
    <n v="51755"/>
    <n v="209"/>
    <s v="#TeslaCoInnovation"/>
    <m/>
    <m/>
    <s v="ModelYCampaign"/>
    <x v="1"/>
    <x v="0"/>
    <n v="5477"/>
  </r>
  <r>
    <s v="P109"/>
    <s v="Twitter"/>
    <d v="2024-08-08T00:00:00"/>
    <s v="Story"/>
    <s v="Check out our latest story on twitter!"/>
    <n v="3649"/>
    <n v="215"/>
    <n v="413"/>
    <n v="25543"/>
    <n v="24963"/>
    <n v="167"/>
    <s v="#FutureOfDriving"/>
    <m/>
    <m/>
    <s v="FSDUpdate"/>
    <x v="2"/>
    <x v="0"/>
    <n v="4444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m/>
    <m/>
    <s v="ModelYCampaign"/>
    <x v="1"/>
    <x v="0"/>
    <n v="5028"/>
  </r>
  <r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m/>
    <m/>
    <s v="ModelYCampaign"/>
    <x v="1"/>
    <x v="0"/>
    <n v="3061"/>
  </r>
  <r>
    <s v="P112"/>
    <s v="Twitter"/>
    <d v="2024-10-05T00:00:00"/>
    <s v="Story"/>
    <s v="Check out our latest story on twitter!"/>
    <n v="1957"/>
    <n v="877"/>
    <n v="238"/>
    <n v="17613"/>
    <n v="16865"/>
    <n v="297"/>
    <s v="#FutureOfDriving"/>
    <m/>
    <m/>
    <s v="FSDUpdate"/>
    <x v="2"/>
    <x v="0"/>
    <n v="3369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EVRevolution"/>
    <m/>
    <m/>
    <s v="CybertruckLaunch"/>
    <x v="0"/>
    <x v="0"/>
    <n v="5034"/>
  </r>
  <r>
    <s v="P114"/>
    <s v="Twitter"/>
    <d v="2024-11-14T00:00:00"/>
    <s v="Story"/>
    <s v="Check out our latest story on twitter!"/>
    <n v="4000"/>
    <n v="689"/>
    <n v="488"/>
    <n v="40000"/>
    <n v="39569"/>
    <n v="44"/>
    <s v="#FutureOfDriving"/>
    <m/>
    <m/>
    <s v="CybertruckLaunch"/>
    <x v="0"/>
    <x v="0"/>
    <n v="5221"/>
  </r>
  <r>
    <s v="P115"/>
    <s v="Twitter"/>
    <d v="2025-05-11T00:00:00"/>
    <s v="Image"/>
    <s v="Check out our latest image on twitter!"/>
    <n v="2493"/>
    <n v="97"/>
    <n v="44"/>
    <n v="42381"/>
    <n v="41991"/>
    <n v="242"/>
    <s v="#TeslaCoInnovation"/>
    <s v="#AnytimeIsTeslaTime"/>
    <m/>
    <s v="SustainabilityDrive"/>
    <x v="3"/>
    <x v="0"/>
    <n v="2876"/>
  </r>
  <r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m/>
    <m/>
    <m/>
    <x v="1"/>
    <x v="0"/>
    <n v="4479"/>
  </r>
  <r>
    <s v="P117"/>
    <s v="Twitter"/>
    <d v="2024-11-04T00:00:00"/>
    <s v="Image"/>
    <s v="Check out our latest image on twitter!"/>
    <n v="1606"/>
    <n v="451"/>
    <n v="405"/>
    <n v="20878"/>
    <n v="20190"/>
    <n v="219"/>
    <s v="#EVRevolution"/>
    <m/>
    <m/>
    <s v="SustainabilityDrive"/>
    <x v="3"/>
    <x v="0"/>
    <n v="2681"/>
  </r>
  <r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m/>
    <m/>
    <s v="FSDUpdate"/>
    <x v="2"/>
    <x v="0"/>
    <n v="5529"/>
  </r>
  <r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m/>
    <m/>
    <m/>
    <x v="3"/>
    <x v="0"/>
    <n v="3240"/>
  </r>
  <r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m/>
    <m/>
    <s v="FSDUpdate"/>
    <x v="2"/>
    <x v="0"/>
    <n v="2100"/>
  </r>
  <r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m/>
    <m/>
    <m/>
    <x v="3"/>
    <x v="0"/>
    <n v="1796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m/>
    <m/>
    <s v="ModelYCampaign"/>
    <x v="1"/>
    <x v="0"/>
    <n v="4688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m/>
    <m/>
    <s v="CybertruckLaunch"/>
    <x v="0"/>
    <x v="0"/>
    <n v="5309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m/>
    <m/>
    <s v="CybertruckLaunch"/>
    <x v="0"/>
    <x v="0"/>
    <n v="1751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TeslaCoInnovation"/>
    <m/>
    <m/>
    <s v="SustainabilityDrive"/>
    <x v="3"/>
    <x v="0"/>
    <n v="5126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m/>
    <m/>
    <m/>
    <x v="3"/>
    <x v="0"/>
    <n v="4708"/>
  </r>
  <r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m/>
    <m/>
    <s v="FSDUpdate"/>
    <x v="2"/>
    <x v="0"/>
    <n v="4704"/>
  </r>
  <r>
    <s v="P128"/>
    <s v="Twitter"/>
    <d v="2025-01-10T00:00:00"/>
    <s v="Image"/>
    <s v="Check out our latest image on twitter!"/>
    <n v="3092"/>
    <n v="106"/>
    <n v="291"/>
    <n v="27828"/>
    <n v="27217"/>
    <n v="102"/>
    <s v="#FutureOfDriving"/>
    <m/>
    <m/>
    <m/>
    <x v="3"/>
    <x v="0"/>
    <n v="3591"/>
  </r>
  <r>
    <s v="P129"/>
    <s v="Twitter"/>
    <d v="2024-07-21T00:00:00"/>
    <s v="Text"/>
    <s v="Check out our latest text on twitter!"/>
    <n v="2147"/>
    <n v="430"/>
    <n v="393"/>
    <n v="17176"/>
    <n v="16483"/>
    <n v="170"/>
    <s v="#TeslaCoInnovation"/>
    <m/>
    <m/>
    <m/>
    <x v="1"/>
    <x v="0"/>
    <n v="3140"/>
  </r>
  <r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m/>
    <m/>
    <s v="SustainabilityDrive"/>
    <x v="3"/>
    <x v="0"/>
    <n v="3441"/>
  </r>
  <r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m/>
    <m/>
    <s v="FSDUpdate"/>
    <x v="2"/>
    <x v="0"/>
    <n v="5766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m/>
    <m/>
    <s v="ModelYCampaign"/>
    <x v="1"/>
    <x v="0"/>
    <n v="3076"/>
  </r>
  <r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m/>
    <m/>
    <s v="SustainabilityDrive"/>
    <x v="3"/>
    <x v="0"/>
    <n v="2700"/>
  </r>
  <r>
    <s v="P134"/>
    <s v="Twitter"/>
    <d v="2025-04-24T00:00:00"/>
    <s v="Reel"/>
    <s v="Check out our latest reel on twitter!"/>
    <n v="3731"/>
    <n v="115"/>
    <n v="135"/>
    <n v="55965"/>
    <n v="55436"/>
    <n v="103"/>
    <s v="#TeslaCoInnovation"/>
    <m/>
    <m/>
    <s v="CybertruckLaunch"/>
    <x v="0"/>
    <x v="0"/>
    <n v="4084"/>
  </r>
  <r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m/>
    <m/>
    <s v="SustainabilityDrive"/>
    <x v="3"/>
    <x v="0"/>
    <n v="5172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m/>
    <m/>
    <s v="SustainabilityDrive"/>
    <x v="3"/>
    <x v="0"/>
    <n v="4596"/>
  </r>
  <r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m/>
    <m/>
    <m/>
    <x v="3"/>
    <x v="0"/>
    <n v="3416"/>
  </r>
  <r>
    <s v="P138"/>
    <s v="Twitter"/>
    <d v="2025-03-29T00:00:00"/>
    <s v="Image"/>
    <s v="Check out our latest image on twitter!"/>
    <n v="305"/>
    <n v="187"/>
    <n v="243"/>
    <n v="4575"/>
    <n v="3704"/>
    <n v="234"/>
    <s v="#FutureOfDriving"/>
    <m/>
    <m/>
    <s v="FSDUpdate"/>
    <x v="2"/>
    <x v="0"/>
    <n v="969"/>
  </r>
  <r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m/>
    <m/>
    <s v="CybertruckLaunch"/>
    <x v="0"/>
    <x v="0"/>
    <n v="3252"/>
  </r>
  <r>
    <s v="P140"/>
    <s v="Facebook"/>
    <d v="2024-07-15T00:00:00"/>
    <s v="Image"/>
    <s v="Check out our latest image on facebook!"/>
    <n v="2291"/>
    <n v="78"/>
    <n v="485"/>
    <n v="18328"/>
    <n v="18101"/>
    <n v="10"/>
    <s v="#EVRevolution"/>
    <s v="#SmoothLikeNitroTesla"/>
    <m/>
    <s v="ModelYCampaign"/>
    <x v="1"/>
    <x v="0"/>
    <n v="2864"/>
  </r>
  <r>
    <s v="P141"/>
    <s v="Twitter"/>
    <d v="2024-08-31T00:00:00"/>
    <s v="Image"/>
    <s v="Check out our latest image on twitter!"/>
    <n v="3170"/>
    <n v="857"/>
    <n v="379"/>
    <n v="19020"/>
    <n v="18559"/>
    <n v="240"/>
    <s v="#FutureOfDriving"/>
    <m/>
    <m/>
    <m/>
    <x v="3"/>
    <x v="0"/>
    <n v="4646"/>
  </r>
  <r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m/>
    <m/>
    <s v="SustainabilityDrive"/>
    <x v="3"/>
    <x v="0"/>
    <n v="2845"/>
  </r>
  <r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m/>
    <m/>
    <s v="FSDUpdate"/>
    <x v="2"/>
    <x v="0"/>
    <n v="639"/>
  </r>
  <r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m/>
    <m/>
    <s v="SustainabilityDrive"/>
    <x v="3"/>
    <x v="0"/>
    <n v="6196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m/>
    <m/>
    <s v="SustainabilityDrive"/>
    <x v="3"/>
    <x v="0"/>
    <n v="2261"/>
  </r>
  <r>
    <s v="P146"/>
    <s v="YouTube"/>
    <d v="2024-06-05T00:00:00"/>
    <s v="Reel"/>
    <s v="Check out our latest reel on youtube!"/>
    <n v="3065"/>
    <n v="772"/>
    <n v="142"/>
    <n v="18390"/>
    <n v="17875"/>
    <n v="200"/>
    <s v="#EVRevolution"/>
    <s v="#AnytimeIsTeslaTime"/>
    <m/>
    <m/>
    <x v="0"/>
    <x v="0"/>
    <n v="4179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m/>
    <m/>
    <s v="ModelYCampaign"/>
    <x v="1"/>
    <x v="0"/>
    <n v="4124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m/>
    <m/>
    <s v="SustainabilityDrive"/>
    <x v="3"/>
    <x v="0"/>
    <n v="5102"/>
  </r>
  <r>
    <s v="P149"/>
    <s v="Twitter"/>
    <d v="2024-06-16T00:00:00"/>
    <s v="Video"/>
    <s v="Check out our latest video on twitter!"/>
    <n v="1702"/>
    <n v="750"/>
    <n v="179"/>
    <n v="34040"/>
    <n v="33174"/>
    <n v="76"/>
    <s v="#EVRevolution"/>
    <m/>
    <m/>
    <s v="CybertruckLaunch"/>
    <x v="0"/>
    <x v="0"/>
    <n v="2707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m/>
    <m/>
    <s v="SustainabilityDrive"/>
    <x v="3"/>
    <x v="0"/>
    <n v="5763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m/>
    <m/>
    <s v="CybertruckLaunch"/>
    <x v="0"/>
    <x v="0"/>
    <n v="4029"/>
  </r>
  <r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m/>
    <m/>
    <s v="SustainabilityDrive"/>
    <x v="3"/>
    <x v="0"/>
    <n v="5671"/>
  </r>
  <r>
    <s v="P153"/>
    <s v="Twitter"/>
    <d v="2025-01-01T00:00:00"/>
    <s v="Video"/>
    <s v="Check out our latest video on twitter!"/>
    <n v="754"/>
    <n v="197"/>
    <n v="257"/>
    <n v="6786"/>
    <n v="6221"/>
    <n v="212"/>
    <s v="#TeslaCoInnovation"/>
    <m/>
    <m/>
    <s v="FSDUpdate"/>
    <x v="2"/>
    <x v="0"/>
    <n v="1420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m/>
    <m/>
    <s v="SustainabilityDrive"/>
    <x v="3"/>
    <x v="0"/>
    <n v="2268"/>
  </r>
  <r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m/>
    <m/>
    <s v="ModelYCampaign"/>
    <x v="1"/>
    <x v="0"/>
    <n v="2766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m/>
    <m/>
    <s v="ModelYCampaign"/>
    <x v="1"/>
    <x v="0"/>
    <n v="5015"/>
  </r>
  <r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m/>
    <m/>
    <s v="ModelYCampaign"/>
    <x v="1"/>
    <x v="0"/>
    <n v="5341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m/>
    <m/>
    <s v="CybertruckLaunch"/>
    <x v="0"/>
    <x v="0"/>
    <n v="2615"/>
  </r>
  <r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m/>
    <m/>
    <s v="ModelYCampaign"/>
    <x v="1"/>
    <x v="0"/>
    <n v="2783"/>
  </r>
  <r>
    <s v="P160"/>
    <s v="Twitter"/>
    <d v="2024-08-24T00:00:00"/>
    <s v="Video"/>
    <s v="Check out our latest video on twitter!"/>
    <n v="1082"/>
    <n v="209"/>
    <n v="484"/>
    <n v="19476"/>
    <n v="18654"/>
    <n v="20"/>
    <s v="#TeslaCoInnovation"/>
    <m/>
    <m/>
    <m/>
    <x v="1"/>
    <x v="0"/>
    <n v="1795"/>
  </r>
  <r>
    <s v="P161"/>
    <s v="Twitter"/>
    <d v="2025-02-19T00:00:00"/>
    <s v="Text"/>
    <s v="Check out our latest text on twitter!"/>
    <n v="4671"/>
    <n v="876"/>
    <n v="366"/>
    <n v="51381"/>
    <n v="50565"/>
    <n v="245"/>
    <s v="#TeslaCoInnovation"/>
    <m/>
    <m/>
    <s v="SustainabilityDrive"/>
    <x v="3"/>
    <x v="0"/>
    <n v="6158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m/>
    <m/>
    <m/>
    <x v="3"/>
    <x v="0"/>
    <n v="4280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m/>
    <m/>
    <s v="ModelYCampaign"/>
    <x v="1"/>
    <x v="0"/>
    <n v="5331"/>
  </r>
  <r>
    <s v="P164"/>
    <s v="YouTube"/>
    <d v="2025-02-27T00:00:00"/>
    <s v="Text"/>
    <s v="Check out our latest text on youtube!"/>
    <n v="4934"/>
    <n v="971"/>
    <n v="156"/>
    <n v="39472"/>
    <n v="39025"/>
    <n v="169"/>
    <s v="#TeslaCoInnovation"/>
    <s v="#AnytimeIsTeslaTime"/>
    <m/>
    <s v="SustainabilityDrive"/>
    <x v="3"/>
    <x v="0"/>
    <n v="6230"/>
  </r>
  <r>
    <s v="P165"/>
    <s v="Twitter"/>
    <d v="2024-12-11T00:00:00"/>
    <s v="Text"/>
    <s v="Check out our latest text on twitter!"/>
    <n v="3239"/>
    <n v="43"/>
    <n v="211"/>
    <n v="22673"/>
    <n v="22171"/>
    <n v="230"/>
    <s v="#TeslaCoInnovation"/>
    <m/>
    <m/>
    <s v="ModelYCampaign"/>
    <x v="1"/>
    <x v="0"/>
    <n v="3723"/>
  </r>
  <r>
    <s v="P166"/>
    <s v="Twitter"/>
    <d v="2025-02-16T00:00:00"/>
    <s v="Reel"/>
    <s v="Check out our latest reel on twitter!"/>
    <n v="1076"/>
    <n v="313"/>
    <n v="306"/>
    <n v="11836"/>
    <n v="11596"/>
    <n v="104"/>
    <s v="#FutureOfDriving"/>
    <m/>
    <m/>
    <s v="CybertruckLaunch"/>
    <x v="0"/>
    <x v="0"/>
    <n v="1799"/>
  </r>
  <r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m/>
    <m/>
    <m/>
    <x v="3"/>
    <x v="0"/>
    <n v="5795"/>
  </r>
  <r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m/>
    <m/>
    <s v="CybertruckLaunch"/>
    <x v="0"/>
    <x v="0"/>
    <n v="3408"/>
  </r>
  <r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m/>
    <m/>
    <s v="CybertruckLaunch"/>
    <x v="0"/>
    <x v="0"/>
    <n v="4365"/>
  </r>
  <r>
    <s v="P170"/>
    <s v="Twitter"/>
    <d v="2025-04-28T00:00:00"/>
    <s v="Text"/>
    <s v="Check out our latest text on twitter!"/>
    <n v="3577"/>
    <n v="596"/>
    <n v="493"/>
    <n v="67963"/>
    <n v="67839"/>
    <n v="53"/>
    <s v="#TeslaCoInnovation"/>
    <m/>
    <m/>
    <s v="FSDUpdate"/>
    <x v="2"/>
    <x v="0"/>
    <n v="4719"/>
  </r>
  <r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m/>
    <m/>
    <s v="ModelYCampaign"/>
    <x v="1"/>
    <x v="0"/>
    <n v="1835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m/>
    <m/>
    <s v="FSDUpdate"/>
    <x v="2"/>
    <x v="0"/>
    <n v="4046"/>
  </r>
  <r>
    <s v="P173"/>
    <s v="Twitter"/>
    <d v="2024-12-05T00:00:00"/>
    <s v="Video"/>
    <s v="Check out our latest video on twitter!"/>
    <n v="1330"/>
    <n v="925"/>
    <n v="35"/>
    <n v="15960"/>
    <n v="15379"/>
    <n v="229"/>
    <s v="#FutureOfDriving"/>
    <m/>
    <m/>
    <s v="FSDUpdate"/>
    <x v="2"/>
    <x v="0"/>
    <n v="2519"/>
  </r>
  <r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m/>
    <m/>
    <m/>
    <x v="0"/>
    <x v="0"/>
    <n v="4464"/>
  </r>
  <r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m/>
    <m/>
    <s v="SustainabilityDrive"/>
    <x v="3"/>
    <x v="0"/>
    <n v="1263"/>
  </r>
  <r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m/>
    <m/>
    <s v="CybertruckLaunch"/>
    <x v="0"/>
    <x v="0"/>
    <n v="4374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m/>
    <m/>
    <s v="FSDUpdate"/>
    <x v="2"/>
    <x v="0"/>
    <n v="4016"/>
  </r>
  <r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m/>
    <m/>
    <s v="SustainabilityDrive"/>
    <x v="3"/>
    <x v="0"/>
    <n v="1146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m/>
    <m/>
    <m/>
    <x v="1"/>
    <x v="0"/>
    <n v="5150"/>
  </r>
  <r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m/>
    <m/>
    <s v="CybertruckLaunch"/>
    <x v="0"/>
    <x v="0"/>
    <n v="4364"/>
  </r>
  <r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m/>
    <m/>
    <s v="FSDUpdate"/>
    <x v="2"/>
    <x v="0"/>
    <n v="2104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m/>
    <m/>
    <s v="SustainabilityDrive"/>
    <x v="3"/>
    <x v="0"/>
    <n v="5399"/>
  </r>
  <r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m/>
    <m/>
    <s v="ModelYCampaign"/>
    <x v="1"/>
    <x v="0"/>
    <n v="1551"/>
  </r>
  <r>
    <s v="P184"/>
    <s v="Twitter"/>
    <d v="2024-07-28T00:00:00"/>
    <s v="Image"/>
    <s v="Check out our latest image on twitter!"/>
    <n v="3215"/>
    <n v="960"/>
    <n v="202"/>
    <n v="32150"/>
    <n v="31404"/>
    <n v="251"/>
    <s v="#EVRevolution"/>
    <m/>
    <m/>
    <s v="CybertruckLaunch"/>
    <x v="0"/>
    <x v="0"/>
    <n v="4628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m/>
    <m/>
    <m/>
    <x v="0"/>
    <x v="0"/>
    <n v="4812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m/>
    <m/>
    <s v="FSDUpdate"/>
    <x v="2"/>
    <x v="0"/>
    <n v="4999"/>
  </r>
  <r>
    <s v="P187"/>
    <s v="Twitter"/>
    <d v="2024-12-22T00:00:00"/>
    <s v="Reel"/>
    <s v="Check out our latest reel on twitter!"/>
    <n v="1644"/>
    <n v="546"/>
    <n v="150"/>
    <n v="27948"/>
    <n v="27184"/>
    <n v="300"/>
    <s v="#EVRevolution"/>
    <m/>
    <m/>
    <s v="FSDUpdate"/>
    <x v="2"/>
    <x v="0"/>
    <n v="2640"/>
  </r>
  <r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m/>
    <m/>
    <s v="ModelYCampaign"/>
    <x v="1"/>
    <x v="0"/>
    <n v="3613"/>
  </r>
  <r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m/>
    <m/>
    <s v="CybertruckLaunch"/>
    <x v="0"/>
    <x v="0"/>
    <n v="4577"/>
  </r>
  <r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m/>
    <m/>
    <m/>
    <x v="3"/>
    <x v="0"/>
    <n v="2340"/>
  </r>
  <r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m/>
    <m/>
    <s v="FSDUpdate"/>
    <x v="2"/>
    <x v="0"/>
    <n v="5598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m/>
    <m/>
    <m/>
    <x v="0"/>
    <x v="0"/>
    <n v="2306"/>
  </r>
  <r>
    <s v="P193"/>
    <s v="Twitter"/>
    <d v="2024-09-11T00:00:00"/>
    <s v="Image"/>
    <s v="Check out our latest image on twitter!"/>
    <n v="4858"/>
    <n v="317"/>
    <n v="129"/>
    <n v="53438"/>
    <n v="52687"/>
    <n v="223"/>
    <s v="#EVRevolution"/>
    <m/>
    <m/>
    <s v="FSDUpdate"/>
    <x v="2"/>
    <x v="0"/>
    <n v="5527"/>
  </r>
  <r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m/>
    <m/>
    <s v="CybertruckLaunch"/>
    <x v="0"/>
    <x v="0"/>
    <n v="5323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"/>
    <s v="#TeslaCoInnovation"/>
    <s v="#AnytimeIsTeslaTime"/>
    <s v="SustainabilityDrive"/>
    <x v="3"/>
    <x v="0"/>
    <n v="1906"/>
  </r>
  <r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m/>
    <m/>
    <s v="FSDUpdate"/>
    <x v="2"/>
    <x v="0"/>
    <n v="2593"/>
  </r>
  <r>
    <s v="P197"/>
    <s v="Twitter"/>
    <d v="2024-10-22T00:00:00"/>
    <s v="Reel"/>
    <s v="Check out our latest reel on twitter!"/>
    <n v="4782"/>
    <n v="721"/>
    <n v="82"/>
    <n v="86076"/>
    <n v="85339"/>
    <n v="19"/>
    <s v="#EVRevolution"/>
    <m/>
    <m/>
    <s v="CybertruckLaunch"/>
    <x v="0"/>
    <x v="0"/>
    <n v="5604"/>
  </r>
  <r>
    <s v="P198"/>
    <s v="Twitter"/>
    <d v="2024-09-14T00:00:00"/>
    <s v="Image"/>
    <s v="Check out our latest image on twitter!"/>
    <n v="1048"/>
    <n v="374"/>
    <n v="450"/>
    <n v="9432"/>
    <n v="8882"/>
    <n v="158"/>
    <s v="#TeslaCoInnovation"/>
    <m/>
    <m/>
    <s v="FSDUpdate"/>
    <x v="2"/>
    <x v="0"/>
    <n v="2030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m/>
    <m/>
    <s v="ModelYCampaign"/>
    <x v="1"/>
    <x v="0"/>
    <n v="3281"/>
  </r>
  <r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m/>
    <m/>
    <s v="ModelYCampaign"/>
    <x v="1"/>
    <x v="0"/>
    <n v="4646"/>
  </r>
  <r>
    <s v="P201"/>
    <s v="Twitter"/>
    <d v="2025-01-15T00:00:00"/>
    <s v="Reel"/>
    <s v="Check out our latest reel on twitter!"/>
    <n v="802"/>
    <n v="262"/>
    <n v="244"/>
    <n v="14436"/>
    <n v="14280"/>
    <n v="49"/>
    <s v="#EVRevolution"/>
    <m/>
    <m/>
    <s v="CybertruckLaunch"/>
    <x v="0"/>
    <x v="0"/>
    <n v="1357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m/>
    <m/>
    <s v="FSDUpdate"/>
    <x v="2"/>
    <x v="0"/>
    <n v="2746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m/>
    <m/>
    <s v="CybertruckLaunch"/>
    <x v="0"/>
    <x v="0"/>
    <n v="4396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m/>
    <m/>
    <s v="FSDUpdate"/>
    <x v="2"/>
    <x v="0"/>
    <n v="3517"/>
  </r>
  <r>
    <s v="P205"/>
    <s v="Twitter"/>
    <d v="2025-04-24T00:00:00"/>
    <s v="Video"/>
    <s v="Check out our latest video on twitter!"/>
    <n v="3820"/>
    <n v="697"/>
    <n v="268"/>
    <n v="45840"/>
    <n v="45631"/>
    <n v="171"/>
    <s v="#TeslaCoInnovation"/>
    <s v="#SmoothLikeNitroTesla"/>
    <m/>
    <s v="SustainabilityDrive"/>
    <x v="3"/>
    <x v="0"/>
    <n v="4956"/>
  </r>
  <r>
    <s v="P206"/>
    <s v="Twitter"/>
    <d v="2024-06-24T00:00:00"/>
    <s v="Text"/>
    <s v="Check out our latest text on twitter!"/>
    <n v="941"/>
    <n v="121"/>
    <n v="458"/>
    <n v="14115"/>
    <n v="13838"/>
    <n v="87"/>
    <s v="#EVRevolution"/>
    <m/>
    <m/>
    <s v="CybertruckLaunch"/>
    <x v="0"/>
    <x v="0"/>
    <n v="1607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TeslaCoInnovation"/>
    <s v="#SmoothLikeNitroTesla"/>
    <m/>
    <s v="FSDUpdate"/>
    <x v="2"/>
    <x v="0"/>
    <n v="5024"/>
  </r>
  <r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m/>
    <m/>
    <s v="ModelYCampaign"/>
    <x v="1"/>
    <x v="0"/>
    <n v="3963"/>
  </r>
  <r>
    <s v="P209"/>
    <s v="Twitter"/>
    <d v="2025-03-19T00:00:00"/>
    <s v="Video"/>
    <s v="Check out our latest video on twitter!"/>
    <n v="3160"/>
    <n v="204"/>
    <n v="297"/>
    <n v="44240"/>
    <n v="43666"/>
    <n v="49"/>
    <s v="#FutureOfDriving"/>
    <s v="#AnytimeIsTeslaTime"/>
    <m/>
    <s v="SustainabilityDrive"/>
    <x v="3"/>
    <x v="0"/>
    <n v="3710"/>
  </r>
  <r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m/>
    <m/>
    <s v="CybertruckLaunch"/>
    <x v="0"/>
    <x v="0"/>
    <n v="1908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FutureOfDriving"/>
    <m/>
    <m/>
    <s v="SustainabilityDrive"/>
    <x v="3"/>
    <x v="0"/>
    <n v="2391"/>
  </r>
  <r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m/>
    <m/>
    <s v="ModelYCampaign"/>
    <x v="1"/>
    <x v="0"/>
    <n v="4996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m/>
    <m/>
    <s v="SustainabilityDrive"/>
    <x v="3"/>
    <x v="0"/>
    <n v="4015"/>
  </r>
  <r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m/>
    <m/>
    <s v="ModelYCampaign"/>
    <x v="1"/>
    <x v="0"/>
    <n v="1864"/>
  </r>
  <r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m/>
    <m/>
    <s v="ModelYCampaign"/>
    <x v="1"/>
    <x v="0"/>
    <n v="6062"/>
  </r>
  <r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m/>
    <m/>
    <s v="ModelYCampaign"/>
    <x v="1"/>
    <x v="0"/>
    <n v="1879"/>
  </r>
  <r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m/>
    <m/>
    <m/>
    <x v="1"/>
    <x v="0"/>
    <n v="5823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m/>
    <m/>
    <s v="SustainabilityDrive"/>
    <x v="3"/>
    <x v="0"/>
    <n v="3087"/>
  </r>
  <r>
    <s v="P219"/>
    <s v="Twitter"/>
    <d v="2025-01-28T00:00:00"/>
    <s v="Reel"/>
    <s v="Check out our latest reel on twitter!"/>
    <n v="1188"/>
    <n v="470"/>
    <n v="174"/>
    <n v="7128"/>
    <n v="6145"/>
    <n v="270"/>
    <s v="#TeslaCoInnovation"/>
    <m/>
    <m/>
    <s v="SustainabilityDrive"/>
    <x v="3"/>
    <x v="0"/>
    <n v="2102"/>
  </r>
  <r>
    <s v="P220"/>
    <s v="Instagram"/>
    <d v="2024-06-02T00:00:00"/>
    <s v="Story"/>
    <s v="Check out our latest story on instagram!"/>
    <n v="84"/>
    <n v="897"/>
    <n v="85"/>
    <n v="588"/>
    <n v="8"/>
    <n v="12"/>
    <s v="#EVRevolution"/>
    <m/>
    <m/>
    <m/>
    <x v="0"/>
    <x v="0"/>
    <n v="1078"/>
  </r>
  <r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m/>
    <m/>
    <m/>
    <x v="1"/>
    <x v="0"/>
    <n v="5007"/>
  </r>
  <r>
    <s v="P222"/>
    <s v="Facebook"/>
    <d v="2024-10-08T00:00:00"/>
    <s v="Reel"/>
    <s v="Check out our latest reel on facebook!"/>
    <n v="1814"/>
    <n v="653"/>
    <n v="363"/>
    <n v="25396"/>
    <n v="25286"/>
    <n v="39"/>
    <s v="#FutureOfDriving"/>
    <s v="#SmoothLikeNitroTesla"/>
    <m/>
    <s v="CybertruckLaunch"/>
    <x v="0"/>
    <x v="0"/>
    <n v="2869"/>
  </r>
  <r>
    <s v="P223"/>
    <s v="Twitter"/>
    <d v="2024-11-12T00:00:00"/>
    <s v="Image"/>
    <s v="Check out our latest image on twitter!"/>
    <n v="3338"/>
    <n v="277"/>
    <n v="118"/>
    <n v="60084"/>
    <n v="59842"/>
    <n v="252"/>
    <s v="#TeslaCoInnovation"/>
    <m/>
    <m/>
    <m/>
    <x v="1"/>
    <x v="0"/>
    <n v="3985"/>
  </r>
  <r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m/>
    <m/>
    <s v="FSDUpdate"/>
    <x v="2"/>
    <x v="0"/>
    <n v="1516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EVRevolution"/>
    <m/>
    <m/>
    <m/>
    <x v="0"/>
    <x v="0"/>
    <n v="5147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m/>
    <m/>
    <m/>
    <x v="1"/>
    <x v="0"/>
    <n v="2344"/>
  </r>
  <r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m/>
    <m/>
    <s v="FSDUpdate"/>
    <x v="2"/>
    <x v="0"/>
    <n v="742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m/>
    <m/>
    <s v="CybertruckLaunch"/>
    <x v="0"/>
    <x v="0"/>
    <n v="6095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m/>
    <m/>
    <m/>
    <x v="1"/>
    <x v="0"/>
    <n v="5900"/>
  </r>
  <r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m/>
    <m/>
    <s v="FSDUpdate"/>
    <x v="2"/>
    <x v="0"/>
    <n v="4059"/>
  </r>
  <r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m/>
    <m/>
    <s v="CybertruckLaunch"/>
    <x v="0"/>
    <x v="0"/>
    <n v="2090"/>
  </r>
  <r>
    <s v="P232"/>
    <s v="Twitter"/>
    <d v="2025-04-29T00:00:00"/>
    <s v="Story"/>
    <s v="Check out our latest story on twitter!"/>
    <n v="249"/>
    <n v="592"/>
    <n v="230"/>
    <n v="1494"/>
    <n v="1044"/>
    <n v="201"/>
    <s v="#EVRevolution"/>
    <m/>
    <m/>
    <s v="SustainabilityDrive"/>
    <x v="3"/>
    <x v="0"/>
    <n v="1272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m/>
    <m/>
    <s v="SustainabilityDrive"/>
    <x v="3"/>
    <x v="0"/>
    <n v="3030"/>
  </r>
  <r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m/>
    <m/>
    <m/>
    <x v="1"/>
    <x v="0"/>
    <n v="1878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m/>
    <m/>
    <s v="FSDUpdate"/>
    <x v="2"/>
    <x v="0"/>
    <n v="4754"/>
  </r>
  <r>
    <s v="P236"/>
    <s v="Facebook"/>
    <d v="2024-08-19T00:00:00"/>
    <s v="Text"/>
    <s v="Check out our latest text on facebook!"/>
    <n v="1257"/>
    <n v="19"/>
    <n v="351"/>
    <n v="12570"/>
    <n v="11660"/>
    <n v="194"/>
    <s v="#FutureOfDriving"/>
    <s v="#AnytimeIsTeslaTime"/>
    <s v="#EVRevolution"/>
    <s v="ModelYCampaign"/>
    <x v="1"/>
    <x v="0"/>
    <n v="1821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m/>
    <m/>
    <s v="CybertruckLaunch"/>
    <x v="0"/>
    <x v="0"/>
    <n v="4892"/>
  </r>
  <r>
    <s v="P238"/>
    <s v="Twitter"/>
    <d v="2024-07-16T00:00:00"/>
    <s v="Text"/>
    <s v="Check out our latest text on twitter!"/>
    <n v="4725"/>
    <n v="400"/>
    <n v="362"/>
    <n v="75600"/>
    <n v="74927"/>
    <n v="43"/>
    <s v="#FutureOfDriving"/>
    <m/>
    <m/>
    <s v="SustainabilityDrive"/>
    <x v="3"/>
    <x v="0"/>
    <n v="5530"/>
  </r>
  <r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m/>
    <m/>
    <m/>
    <x v="3"/>
    <x v="0"/>
    <n v="5350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EVRevolution"/>
    <s v="#TeslaCoInnovation"/>
    <s v="#AnytimeIsTeslaTime"/>
    <s v="FSDUpdate"/>
    <x v="2"/>
    <x v="0"/>
    <n v="1588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m/>
    <m/>
    <s v="SustainabilityDrive"/>
    <x v="3"/>
    <x v="0"/>
    <n v="5489"/>
  </r>
  <r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m/>
    <m/>
    <s v="FSDUpdate"/>
    <x v="2"/>
    <x v="0"/>
    <n v="5507"/>
  </r>
  <r>
    <s v="P243"/>
    <s v="Twitter"/>
    <d v="2025-03-06T00:00:00"/>
    <s v="Image"/>
    <s v="Check out our latest image on twitter!"/>
    <n v="3592"/>
    <n v="911"/>
    <n v="375"/>
    <n v="50288"/>
    <n v="49490"/>
    <n v="32"/>
    <s v="#FutureOfDriving"/>
    <m/>
    <m/>
    <s v="SustainabilityDrive"/>
    <x v="3"/>
    <x v="0"/>
    <n v="4910"/>
  </r>
  <r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m/>
    <m/>
    <s v="FSDUpdate"/>
    <x v="2"/>
    <x v="0"/>
    <n v="6092"/>
  </r>
  <r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m/>
    <m/>
    <s v="CybertruckLaunch"/>
    <x v="0"/>
    <x v="0"/>
    <n v="5234"/>
  </r>
  <r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m/>
    <m/>
    <s v="ModelYCampaign"/>
    <x v="1"/>
    <x v="0"/>
    <n v="1674"/>
  </r>
  <r>
    <s v="P247"/>
    <s v="Facebook"/>
    <d v="2024-08-27T00:00:00"/>
    <s v="Reel"/>
    <s v="Check out our latest reel on facebook!"/>
    <n v="3960"/>
    <n v="266"/>
    <n v="8"/>
    <n v="35640"/>
    <n v="34850"/>
    <n v="208"/>
    <s v="#FutureOfDriving"/>
    <s v="#EVRevolution"/>
    <s v="#BetterWithTesla"/>
    <m/>
    <x v="0"/>
    <x v="0"/>
    <n v="4442"/>
  </r>
  <r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m/>
    <m/>
    <m/>
    <x v="0"/>
    <x v="0"/>
    <n v="1377"/>
  </r>
  <r>
    <s v="P249"/>
    <s v="Twitter"/>
    <d v="2024-07-18T00:00:00"/>
    <s v="Image"/>
    <s v="Check out our latest image on twitter!"/>
    <n v="827"/>
    <n v="77"/>
    <n v="402"/>
    <n v="14886"/>
    <n v="14129"/>
    <n v="254"/>
    <s v="#EVRevolution"/>
    <m/>
    <m/>
    <s v="ModelYCampaign"/>
    <x v="1"/>
    <x v="0"/>
    <n v="1560"/>
  </r>
  <r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m/>
    <m/>
    <m/>
    <x v="3"/>
    <x v="0"/>
    <n v="5273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m/>
    <m/>
    <m/>
    <x v="3"/>
    <x v="0"/>
    <n v="2749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m/>
    <m/>
    <s v="FSDUpdate"/>
    <x v="2"/>
    <x v="0"/>
    <n v="2698"/>
  </r>
  <r>
    <s v="P253"/>
    <s v="Twitter"/>
    <d v="2024-08-03T00:00:00"/>
    <s v="Reel"/>
    <s v="Check out our latest reel on twitter!"/>
    <n v="3791"/>
    <n v="593"/>
    <n v="228"/>
    <n v="53074"/>
    <n v="52613"/>
    <n v="205"/>
    <s v="#EVRevolution"/>
    <m/>
    <m/>
    <m/>
    <x v="0"/>
    <x v="0"/>
    <n v="4817"/>
  </r>
  <r>
    <s v="P254"/>
    <s v="Twitter"/>
    <d v="2025-01-14T00:00:00"/>
    <s v="Image"/>
    <s v="Check out our latest image on twitter!"/>
    <n v="2692"/>
    <n v="115"/>
    <n v="64"/>
    <n v="21536"/>
    <n v="21120"/>
    <n v="224"/>
    <s v="#FutureOfDriving"/>
    <m/>
    <m/>
    <s v="ModelYCampaign"/>
    <x v="1"/>
    <x v="0"/>
    <n v="3095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m/>
    <m/>
    <s v="SustainabilityDrive"/>
    <x v="3"/>
    <x v="0"/>
    <n v="4745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m/>
    <m/>
    <s v="ModelYCampaign"/>
    <x v="1"/>
    <x v="0"/>
    <n v="2607"/>
  </r>
  <r>
    <s v="P257"/>
    <s v="Facebook"/>
    <d v="2025-04-06T00:00:00"/>
    <s v="Image"/>
    <s v="Check out our latest image on facebook!"/>
    <n v="3090"/>
    <n v="697"/>
    <n v="164"/>
    <n v="49440"/>
    <n v="48524"/>
    <n v="25"/>
    <s v="#EVRevolution"/>
    <s v="#EVRevolution"/>
    <s v="#BetterWithTesla"/>
    <s v="ModelYCampaign"/>
    <x v="1"/>
    <x v="0"/>
    <n v="3976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m/>
    <m/>
    <s v="ModelYCampaign"/>
    <x v="1"/>
    <x v="0"/>
    <n v="4543"/>
  </r>
  <r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m/>
    <m/>
    <s v="CybertruckLaunch"/>
    <x v="0"/>
    <x v="0"/>
    <n v="962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"/>
    <s v="#EVRevolution"/>
    <s v="#BetterWithTesla"/>
    <s v="FSDUpdate"/>
    <x v="2"/>
    <x v="0"/>
    <n v="5332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m/>
    <m/>
    <s v="CybertruckLaunch"/>
    <x v="0"/>
    <x v="0"/>
    <n v="6200"/>
  </r>
  <r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m/>
    <m/>
    <m/>
    <x v="1"/>
    <x v="0"/>
    <n v="1717"/>
  </r>
  <r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m/>
    <m/>
    <s v="ModelYCampaign"/>
    <x v="1"/>
    <x v="0"/>
    <n v="3518"/>
  </r>
  <r>
    <s v="P264"/>
    <s v="Twitter"/>
    <d v="2025-01-30T00:00:00"/>
    <s v="Image"/>
    <s v="Check out our latest image on twitter!"/>
    <n v="59"/>
    <n v="163"/>
    <n v="93"/>
    <n v="590"/>
    <n v="475"/>
    <n v="293"/>
    <s v="#TeslaCoInnovation"/>
    <m/>
    <m/>
    <s v="ModelYCampaign"/>
    <x v="1"/>
    <x v="0"/>
    <n v="608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EVRevolution"/>
    <m/>
    <m/>
    <s v="SustainabilityDrive"/>
    <x v="3"/>
    <x v="0"/>
    <n v="2888"/>
  </r>
  <r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m/>
    <m/>
    <s v="FSDUpdate"/>
    <x v="2"/>
    <x v="0"/>
    <n v="5072"/>
  </r>
  <r>
    <s v="P267"/>
    <s v="Twitter"/>
    <d v="2024-10-04T00:00:00"/>
    <s v="Reel"/>
    <s v="Check out our latest reel on twitter!"/>
    <n v="4187"/>
    <n v="66"/>
    <n v="31"/>
    <n v="66992"/>
    <n v="66614"/>
    <n v="62"/>
    <s v="#FutureOfDriving"/>
    <m/>
    <m/>
    <m/>
    <x v="3"/>
    <x v="0"/>
    <n v="4346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m/>
    <m/>
    <s v="CybertruckLaunch"/>
    <x v="0"/>
    <x v="0"/>
    <n v="5273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m/>
    <m/>
    <s v="ModelYCampaign"/>
    <x v="1"/>
    <x v="0"/>
    <n v="5098"/>
  </r>
  <r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m/>
    <m/>
    <s v="FSDUpdate"/>
    <x v="2"/>
    <x v="0"/>
    <n v="4293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m/>
    <m/>
    <s v="ModelYCampaign"/>
    <x v="1"/>
    <x v="0"/>
    <n v="4630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m/>
    <m/>
    <s v="FSDUpdate"/>
    <x v="2"/>
    <x v="0"/>
    <n v="5838"/>
  </r>
  <r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m/>
    <m/>
    <s v="SustainabilityDrive"/>
    <x v="3"/>
    <x v="0"/>
    <n v="4209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TeslaCoInnovation"/>
    <m/>
    <m/>
    <s v="SustainabilityDrive"/>
    <x v="3"/>
    <x v="0"/>
    <n v="4225"/>
  </r>
  <r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m/>
    <m/>
    <s v="FSDUpdate"/>
    <x v="2"/>
    <x v="0"/>
    <n v="2975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TeslaCoInnovation"/>
    <m/>
    <m/>
    <s v="ModelYCampaign"/>
    <x v="1"/>
    <x v="0"/>
    <n v="2019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m/>
    <m/>
    <s v="CybertruckLaunch"/>
    <x v="0"/>
    <x v="0"/>
    <n v="5483"/>
  </r>
  <r>
    <s v="P278"/>
    <s v="Twitter"/>
    <d v="2024-11-26T00:00:00"/>
    <s v="Text"/>
    <s v="Check out our latest text on twitter!"/>
    <n v="4516"/>
    <n v="836"/>
    <n v="169"/>
    <n v="49676"/>
    <n v="49257"/>
    <n v="282"/>
    <s v="#EVRevolution"/>
    <m/>
    <m/>
    <s v="SustainabilityDrive"/>
    <x v="3"/>
    <x v="0"/>
    <n v="5803"/>
  </r>
  <r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m/>
    <m/>
    <s v="ModelYCampaign"/>
    <x v="1"/>
    <x v="0"/>
    <n v="6158"/>
  </r>
  <r>
    <s v="P280"/>
    <s v="YouTube"/>
    <d v="2024-10-21T00:00:00"/>
    <s v="Video"/>
    <s v="Check out our latest video on youtube!"/>
    <n v="4275"/>
    <n v="680"/>
    <n v="385"/>
    <n v="64125"/>
    <n v="63650"/>
    <n v="104"/>
    <s v="#EVRevolution"/>
    <s v="#TeslaCoInnovation"/>
    <s v="#AnytimeIsTeslaTime"/>
    <s v="SustainabilityDrive"/>
    <x v="3"/>
    <x v="0"/>
    <n v="5444"/>
  </r>
  <r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m/>
    <m/>
    <s v="ModelYCampaign"/>
    <x v="1"/>
    <x v="0"/>
    <n v="3732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m/>
    <m/>
    <s v="FSDUpdate"/>
    <x v="2"/>
    <x v="0"/>
    <n v="2103"/>
  </r>
  <r>
    <s v="P283"/>
    <s v="Twitter"/>
    <d v="2025-05-09T00:00:00"/>
    <s v="Reel"/>
    <s v="Check out our latest reel on twitter!"/>
    <n v="3367"/>
    <n v="302"/>
    <n v="57"/>
    <n v="63973"/>
    <n v="63789"/>
    <n v="157"/>
    <s v="#FutureOfDriving"/>
    <m/>
    <m/>
    <s v="ModelYCampaign"/>
    <x v="1"/>
    <x v="0"/>
    <n v="3883"/>
  </r>
  <r>
    <s v="P284"/>
    <s v="Twitter"/>
    <d v="2024-09-17T00:00:00"/>
    <s v="Text"/>
    <s v="Check out our latest text on twitter!"/>
    <n v="571"/>
    <n v="190"/>
    <n v="352"/>
    <n v="9707"/>
    <n v="9418"/>
    <n v="231"/>
    <s v="#TeslaCoInnovation"/>
    <m/>
    <m/>
    <s v="SustainabilityDrive"/>
    <x v="3"/>
    <x v="0"/>
    <n v="1344"/>
  </r>
  <r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m/>
    <m/>
    <m/>
    <x v="0"/>
    <x v="0"/>
    <n v="5066"/>
  </r>
  <r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m/>
    <m/>
    <s v="FSDUpdate"/>
    <x v="2"/>
    <x v="0"/>
    <n v="4190"/>
  </r>
  <r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m/>
    <m/>
    <s v="CybertruckLaunch"/>
    <x v="0"/>
    <x v="0"/>
    <n v="2186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m/>
    <m/>
    <s v="FSDUpdate"/>
    <x v="2"/>
    <x v="0"/>
    <n v="6113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m/>
    <m/>
    <m/>
    <x v="3"/>
    <x v="0"/>
    <n v="3343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m/>
    <m/>
    <s v="SustainabilityDrive"/>
    <x v="3"/>
    <x v="0"/>
    <n v="3197"/>
  </r>
  <r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m/>
    <m/>
    <s v="SustainabilityDrive"/>
    <x v="3"/>
    <x v="0"/>
    <n v="5068"/>
  </r>
  <r>
    <s v="P292"/>
    <s v="Facebook"/>
    <d v="2024-11-17T00:00:00"/>
    <s v="Text"/>
    <s v="Check out our latest text on facebook!"/>
    <n v="880"/>
    <n v="297"/>
    <n v="345"/>
    <n v="12320"/>
    <n v="11978"/>
    <n v="238"/>
    <s v="#TeslaCoInnovation"/>
    <s v="#AnytimeIsTeslaTime"/>
    <m/>
    <m/>
    <x v="1"/>
    <x v="0"/>
    <n v="1760"/>
  </r>
  <r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m/>
    <m/>
    <s v="CybertruckLaunch"/>
    <x v="0"/>
    <x v="0"/>
    <n v="3878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m/>
    <m/>
    <s v="FSDUpdate"/>
    <x v="2"/>
    <x v="0"/>
    <n v="5269"/>
  </r>
  <r>
    <s v="P295"/>
    <s v="Twitter"/>
    <d v="2025-05-06T00:00:00"/>
    <s v="Image"/>
    <s v="Check out our latest image on twitter!"/>
    <n v="1952"/>
    <n v="344"/>
    <n v="287"/>
    <n v="15616"/>
    <n v="15403"/>
    <n v="235"/>
    <s v="#FutureOfDriving"/>
    <s v="#TeslaCoInnovation"/>
    <s v="#AnytimeIsTeslaTime"/>
    <s v="ModelYCampaign"/>
    <x v="1"/>
    <x v="0"/>
    <n v="2818"/>
  </r>
  <r>
    <s v="P296"/>
    <s v="Twitter"/>
    <d v="2025-02-11T00:00:00"/>
    <s v="Video"/>
    <s v="Check out our latest video on twitter!"/>
    <n v="3440"/>
    <n v="13"/>
    <n v="20"/>
    <n v="58480"/>
    <n v="58146"/>
    <n v="210"/>
    <s v="#TeslaCoInnovation"/>
    <s v="#SmoothLikeNitroTesla"/>
    <m/>
    <s v="SustainabilityDrive"/>
    <x v="3"/>
    <x v="0"/>
    <n v="3683"/>
  </r>
  <r>
    <s v="P297"/>
    <s v="Twitter"/>
    <d v="2024-12-24T00:00:00"/>
    <s v="Text"/>
    <s v="Check out our latest text on twitter!"/>
    <n v="2166"/>
    <n v="354"/>
    <n v="117"/>
    <n v="10830"/>
    <n v="10245"/>
    <n v="24"/>
    <s v="#EVRevolution"/>
    <m/>
    <m/>
    <s v="SustainabilityDrive"/>
    <x v="3"/>
    <x v="0"/>
    <n v="2661"/>
  </r>
  <r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m/>
    <m/>
    <s v="FSDUpdate"/>
    <x v="2"/>
    <x v="0"/>
    <n v="5054"/>
  </r>
  <r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m/>
    <m/>
    <s v="FSDUpdate"/>
    <x v="2"/>
    <x v="0"/>
    <n v="3285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TeslaCoInnovation"/>
    <s v="#EVRevolution"/>
    <s v="#BetterWithTesla"/>
    <s v="CybertruckLaunch"/>
    <x v="0"/>
    <x v="0"/>
    <n v="5447"/>
  </r>
</pivotCacheRecords>
</file>

<file path=xl/pivotCache/pivotCacheRecords7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00">
  <r>
    <s v="P001"/>
    <s v="Twitter"/>
    <d v="2024-12-23T00:00:00"/>
    <s v="Reel"/>
    <s v="Check out our latest reel on twitter!"/>
    <n v="1461"/>
    <n v="184"/>
    <n v="344"/>
    <n v="21915"/>
    <n v="21675"/>
    <n v="15"/>
    <s v="#FutureOfDriving"/>
    <s v="#AnytimeIsTeslaTime"/>
    <m/>
    <s v="CybertruckLaunch"/>
    <x v="0"/>
    <n v="9.0759753593429152E-2"/>
    <n v="1989"/>
  </r>
  <r>
    <s v="P002"/>
    <s v="Twitter"/>
    <d v="2025-04-03T00:00:00"/>
    <s v="Text"/>
    <s v="Check out our latest text on twitter!"/>
    <n v="4054"/>
    <n v="389"/>
    <n v="493"/>
    <n v="64864"/>
    <n v="64383"/>
    <n v="117"/>
    <s v="#TeslaCoInnovation"/>
    <s v="#BetterWithTesla"/>
    <m/>
    <s v="ModelYCampaign"/>
    <x v="1"/>
    <n v="7.6097681302417369E-2"/>
    <n v="4936"/>
  </r>
  <r>
    <s v="P003"/>
    <s v="YouTube"/>
    <d v="2025-05-12T00:00:00"/>
    <s v="Reel"/>
    <s v="Check out our latest reel on youtube!"/>
    <n v="2795"/>
    <n v="105"/>
    <n v="49"/>
    <n v="53105"/>
    <n v="52307"/>
    <n v="204"/>
    <s v="#TeslaCoInnovation"/>
    <m/>
    <m/>
    <s v="FSDUpdate"/>
    <x v="2"/>
    <n v="5.5531494209584788E-2"/>
    <n v="2949"/>
  </r>
  <r>
    <s v="P004"/>
    <s v="Instagram"/>
    <d v="2024-08-12T00:00:00"/>
    <s v="Story"/>
    <s v="Check out our latest story on instagram!"/>
    <n v="2404"/>
    <n v="363"/>
    <n v="138"/>
    <n v="19232"/>
    <n v="18636"/>
    <n v="128"/>
    <s v="#EVRevolution"/>
    <m/>
    <m/>
    <s v="SustainabilityDrive"/>
    <x v="3"/>
    <n v="0.15105033277870217"/>
    <n v="2905"/>
  </r>
  <r>
    <s v="P005"/>
    <s v="YouTube"/>
    <d v="2024-06-26T00:00:00"/>
    <s v="Reel"/>
    <s v="Check out our latest reel on youtube!"/>
    <n v="3557"/>
    <n v="687"/>
    <n v="424"/>
    <n v="71140"/>
    <n v="70701"/>
    <n v="224"/>
    <s v="#EVRevolution"/>
    <s v="#TeslaCoInnovation"/>
    <m/>
    <s v="CybertruckLaunch"/>
    <x v="0"/>
    <n v="6.5617093055946027E-2"/>
    <n v="4668"/>
  </r>
  <r>
    <s v="P006"/>
    <s v="Facebook"/>
    <d v="2024-10-31T00:00:00"/>
    <s v="Carousel"/>
    <s v="Check out our latest carousel on facebook!"/>
    <n v="2945"/>
    <n v="930"/>
    <n v="355"/>
    <n v="23560"/>
    <n v="23275"/>
    <n v="256"/>
    <s v="#TeslaCoInnovation"/>
    <m/>
    <m/>
    <s v="ModelYCampaign"/>
    <x v="1"/>
    <n v="0.17954159592529711"/>
    <n v="4230"/>
  </r>
  <r>
    <s v="P007"/>
    <s v="Twitter"/>
    <d v="2024-06-24T00:00:00"/>
    <s v="Carousel"/>
    <s v="Check out our latest carousel on twitter!"/>
    <n v="3860"/>
    <n v="201"/>
    <n v="279"/>
    <n v="61760"/>
    <n v="61660"/>
    <n v="235"/>
    <s v="#TeslaCoInnovation"/>
    <m/>
    <m/>
    <s v="ModelYCampaign"/>
    <x v="1"/>
    <n v="7.0272020725388601E-2"/>
    <n v="4340"/>
  </r>
  <r>
    <s v="P008"/>
    <s v="YouTube"/>
    <d v="2024-07-13T00:00:00"/>
    <s v="Image"/>
    <s v="Check out our latest image on youtube!"/>
    <n v="3929"/>
    <n v="262"/>
    <n v="278"/>
    <n v="43219"/>
    <n v="42841"/>
    <n v="39"/>
    <s v="#EVRevolution"/>
    <m/>
    <m/>
    <s v="SustainabilityDrive"/>
    <x v="3"/>
    <n v="0.10340359564080613"/>
    <n v="4469"/>
  </r>
  <r>
    <s v="P009"/>
    <s v="Facebook"/>
    <d v="2024-08-30T00:00:00"/>
    <s v="Text"/>
    <s v="Check out our latest text on facebook!"/>
    <n v="3784"/>
    <n v="808"/>
    <n v="404"/>
    <n v="56760"/>
    <n v="56343"/>
    <n v="131"/>
    <s v="#TeslaCoInnovation"/>
    <m/>
    <m/>
    <s v="ModelYCampaign"/>
    <x v="1"/>
    <n v="8.8019732205778717E-2"/>
    <n v="4996"/>
  </r>
  <r>
    <s v="P010"/>
    <s v="Facebook"/>
    <d v="2025-03-11T00:00:00"/>
    <s v="Image"/>
    <s v="Check out our latest image on facebook!"/>
    <n v="4241"/>
    <n v="902"/>
    <n v="47"/>
    <n v="72097"/>
    <n v="71598"/>
    <n v="167"/>
    <s v="#TeslaCoInnovation"/>
    <m/>
    <m/>
    <s v="ModelYCampaign"/>
    <x v="1"/>
    <n v="7.198635172059864E-2"/>
    <n v="5190"/>
  </r>
  <r>
    <s v="P011"/>
    <s v="Instagram"/>
    <d v="2025-02-02T00:00:00"/>
    <s v="Story"/>
    <s v="Check out our latest story on instagram!"/>
    <n v="1792"/>
    <n v="614"/>
    <n v="497"/>
    <n v="25088"/>
    <n v="24675"/>
    <n v="65"/>
    <s v="#FutureOfDriving"/>
    <m/>
    <m/>
    <s v="SustainabilityDrive"/>
    <x v="3"/>
    <n v="0.11571269132653061"/>
    <n v="2903"/>
  </r>
  <r>
    <s v="P012"/>
    <s v="Facebook"/>
    <d v="2024-07-21T00:00:00"/>
    <s v="Reel"/>
    <s v="Check out our latest reel on facebook!"/>
    <n v="1946"/>
    <n v="686"/>
    <n v="377"/>
    <n v="23352"/>
    <n v="22982"/>
    <n v="213"/>
    <s v="#FutureOfDriving"/>
    <m/>
    <m/>
    <s v="FSDUpdate"/>
    <x v="2"/>
    <n v="0.12885405960945528"/>
    <n v="3009"/>
  </r>
  <r>
    <s v="P013"/>
    <s v="YouTube"/>
    <d v="2024-11-18T00:00:00"/>
    <s v="Carousel"/>
    <s v="Check out our latest carousel on youtube!"/>
    <n v="1171"/>
    <n v="286"/>
    <n v="231"/>
    <n v="22249"/>
    <n v="21282"/>
    <n v="114"/>
    <s v="#EVRevolution"/>
    <m/>
    <m/>
    <s v="CybertruckLaunch"/>
    <x v="0"/>
    <n v="7.5868578363072495E-2"/>
    <n v="1688"/>
  </r>
  <r>
    <s v="P014"/>
    <s v="Facebook"/>
    <d v="2025-02-16T00:00:00"/>
    <s v="Story"/>
    <s v="Check out our latest story on facebook!"/>
    <n v="4242"/>
    <n v="555"/>
    <n v="131"/>
    <n v="33936"/>
    <n v="33802"/>
    <n v="265"/>
    <s v="#FutureOfDriving"/>
    <m/>
    <m/>
    <m/>
    <x v="3"/>
    <n v="0.14521452145214522"/>
    <n v="4928"/>
  </r>
  <r>
    <s v="P015"/>
    <s v="Facebook"/>
    <d v="2024-10-24T00:00:00"/>
    <s v="Video"/>
    <s v="Check out our latest video on facebook!"/>
    <n v="3888"/>
    <n v="604"/>
    <n v="128"/>
    <n v="77760"/>
    <n v="77167"/>
    <n v="20"/>
    <s v="#FutureOfDriving"/>
    <m/>
    <m/>
    <s v="CybertruckLaunch"/>
    <x v="0"/>
    <n v="5.941358024691358E-2"/>
    <n v="4620"/>
  </r>
  <r>
    <s v="P016"/>
    <s v="Facebook"/>
    <d v="2024-08-26T00:00:00"/>
    <s v="Text"/>
    <s v="Check out our latest text on facebook!"/>
    <n v="3452"/>
    <n v="377"/>
    <n v="360"/>
    <n v="55232"/>
    <n v="55075"/>
    <n v="87"/>
    <s v="#FutureOfDriving"/>
    <m/>
    <m/>
    <s v="FSDUpdate"/>
    <x v="2"/>
    <n v="7.5843713789107758E-2"/>
    <n v="4189"/>
  </r>
  <r>
    <s v="P017"/>
    <s v="Facebook"/>
    <d v="2025-05-05T00:00:00"/>
    <s v="Text"/>
    <s v="Check out our latest text on facebook!"/>
    <n v="4441"/>
    <n v="511"/>
    <n v="70"/>
    <n v="53292"/>
    <n v="53082"/>
    <n v="159"/>
    <s v="#EVRevolution"/>
    <m/>
    <m/>
    <s v="SustainabilityDrive"/>
    <x v="3"/>
    <n v="9.4235532537716729E-2"/>
    <n v="5022"/>
  </r>
  <r>
    <s v="P018"/>
    <s v="Instagram"/>
    <d v="2024-08-19T00:00:00"/>
    <s v="Reel"/>
    <s v="Check out our latest reel on instagram!"/>
    <n v="3000"/>
    <n v="382"/>
    <n v="325"/>
    <n v="36000"/>
    <n v="35819"/>
    <n v="19"/>
    <s v="#FutureOfDriving"/>
    <m/>
    <m/>
    <s v="CybertruckLaunch"/>
    <x v="0"/>
    <n v="0.10297222222222223"/>
    <n v="3707"/>
  </r>
  <r>
    <s v="P019"/>
    <s v="Instagram"/>
    <d v="2024-06-23T00:00:00"/>
    <s v="Video"/>
    <s v="Check out our latest video on instagram!"/>
    <n v="1071"/>
    <n v="519"/>
    <n v="22"/>
    <n v="16065"/>
    <n v="15865"/>
    <n v="103"/>
    <s v="#TeslaCoInnovation"/>
    <m/>
    <m/>
    <s v="SustainabilityDrive"/>
    <x v="3"/>
    <n v="0.10034235916588857"/>
    <n v="1612"/>
  </r>
  <r>
    <s v="P020"/>
    <s v="Instagram"/>
    <d v="2024-09-09T00:00:00"/>
    <s v="Carousel"/>
    <s v="Check out our latest carousel on instagram!"/>
    <n v="4054"/>
    <n v="488"/>
    <n v="373"/>
    <n v="77026"/>
    <n v="76881"/>
    <n v="25"/>
    <s v="#TeslaCoInnovation"/>
    <m/>
    <m/>
    <s v="CybertruckLaunch"/>
    <x v="0"/>
    <n v="6.3809622724794221E-2"/>
    <n v="4915"/>
  </r>
  <r>
    <s v="P021"/>
    <s v="Instagram"/>
    <d v="2025-01-04T00:00:00"/>
    <s v="Reel"/>
    <s v="Check out our latest reel on instagram!"/>
    <n v="4838"/>
    <n v="640"/>
    <n v="128"/>
    <n v="72570"/>
    <n v="72396"/>
    <n v="83"/>
    <s v="#FutureOfDriving"/>
    <m/>
    <m/>
    <s v="SustainabilityDrive"/>
    <x v="3"/>
    <n v="7.7249552156538517E-2"/>
    <n v="5606"/>
  </r>
  <r>
    <s v="P022"/>
    <s v="Facebook"/>
    <d v="2025-02-27T00:00:00"/>
    <s v="Text"/>
    <s v="Check out our latest text on facebook!"/>
    <n v="1570"/>
    <n v="187"/>
    <n v="260"/>
    <n v="25120"/>
    <n v="24613"/>
    <n v="133"/>
    <s v="#TeslaCoInnovation"/>
    <m/>
    <m/>
    <s v="SustainabilityDrive"/>
    <x v="3"/>
    <n v="8.0294585987261149E-2"/>
    <n v="2017"/>
  </r>
  <r>
    <s v="P023"/>
    <s v="Facebook"/>
    <d v="2024-11-06T00:00:00"/>
    <s v="Video"/>
    <s v="Check out our latest video on facebook!"/>
    <n v="1606"/>
    <n v="547"/>
    <n v="316"/>
    <n v="32120"/>
    <n v="31736"/>
    <n v="225"/>
    <s v="#TeslaCoInnovation"/>
    <s v="#AnytimeIsTeslaTime"/>
    <m/>
    <s v="ModelYCampaign"/>
    <x v="1"/>
    <n v="7.6867995018679955E-2"/>
    <n v="2469"/>
  </r>
  <r>
    <s v="P024"/>
    <s v="Facebook"/>
    <d v="2025-01-23T00:00:00"/>
    <s v="Video"/>
    <s v="Check out our latest video on facebook!"/>
    <n v="3961"/>
    <n v="761"/>
    <n v="131"/>
    <n v="67337"/>
    <n v="66615"/>
    <n v="161"/>
    <s v="#FutureOfDriving"/>
    <m/>
    <m/>
    <s v="FSDUpdate"/>
    <x v="2"/>
    <n v="7.2070332803659209E-2"/>
    <n v="4853"/>
  </r>
  <r>
    <s v="P025"/>
    <s v="Twitter"/>
    <d v="2025-04-10T00:00:00"/>
    <s v="Carousel"/>
    <s v="Check out our latest carousel on twitter!"/>
    <n v="3128"/>
    <n v="211"/>
    <n v="197"/>
    <n v="59432"/>
    <n v="59182"/>
    <n v="238"/>
    <s v="#EVRevolution"/>
    <m/>
    <m/>
    <m/>
    <x v="0"/>
    <n v="5.9496567505720827E-2"/>
    <n v="3536"/>
  </r>
  <r>
    <s v="P026"/>
    <s v="YouTube"/>
    <d v="2025-04-05T00:00:00"/>
    <s v="Reel"/>
    <s v="Check out our latest reel on youtube!"/>
    <n v="3009"/>
    <n v="413"/>
    <n v="358"/>
    <n v="42126"/>
    <n v="41309"/>
    <n v="211"/>
    <s v="#FutureOfDriving"/>
    <m/>
    <m/>
    <s v="ModelYCampaign"/>
    <x v="1"/>
    <n v="8.9730807577268201E-2"/>
    <n v="3780"/>
  </r>
  <r>
    <s v="P027"/>
    <s v="YouTube"/>
    <d v="2024-09-17T00:00:00"/>
    <s v="Text"/>
    <s v="Check out our latest text on youtube!"/>
    <n v="2076"/>
    <n v="195"/>
    <n v="104"/>
    <n v="33216"/>
    <n v="32244"/>
    <n v="51"/>
    <s v="#FutureOfDriving"/>
    <m/>
    <m/>
    <s v="SustainabilityDrive"/>
    <x v="3"/>
    <n v="7.1501685934489398E-2"/>
    <n v="2375"/>
  </r>
  <r>
    <s v="P028"/>
    <s v="Instagram"/>
    <d v="2025-03-04T00:00:00"/>
    <s v="Video"/>
    <s v="Check out our latest video on instagram!"/>
    <n v="432"/>
    <n v="624"/>
    <n v="123"/>
    <n v="6912"/>
    <n v="6259"/>
    <n v="79"/>
    <s v="#FutureOfDriving"/>
    <m/>
    <m/>
    <s v="SustainabilityDrive"/>
    <x v="3"/>
    <n v="0.17057291666666666"/>
    <n v="1179"/>
  </r>
  <r>
    <s v="P029"/>
    <s v="Instagram"/>
    <d v="2025-01-31T00:00:00"/>
    <s v="Carousel"/>
    <s v="Check out our latest carousel on instagram!"/>
    <n v="2566"/>
    <n v="118"/>
    <n v="37"/>
    <n v="12830"/>
    <n v="12264"/>
    <n v="221"/>
    <s v="#FutureOfDriving"/>
    <m/>
    <m/>
    <s v="FSDUpdate"/>
    <x v="2"/>
    <n v="0.21208106001558846"/>
    <n v="2721"/>
  </r>
  <r>
    <s v="P030"/>
    <s v="Instagram"/>
    <d v="2025-02-25T00:00:00"/>
    <s v="Video"/>
    <s v="Check out our latest video on instagram!"/>
    <n v="3095"/>
    <n v="39"/>
    <n v="78"/>
    <n v="55710"/>
    <n v="54808"/>
    <n v="93"/>
    <s v="#EVRevolution"/>
    <m/>
    <m/>
    <m/>
    <x v="0"/>
    <n v="5.7655717106444085E-2"/>
    <n v="3212"/>
  </r>
  <r>
    <s v="P031"/>
    <s v="Instagram"/>
    <d v="2024-12-16T00:00:00"/>
    <s v="Text"/>
    <s v="Check out our latest text on instagram!"/>
    <n v="438"/>
    <n v="153"/>
    <n v="275"/>
    <n v="3066"/>
    <n v="2701"/>
    <n v="282"/>
    <s v="#TeslaCoInnovation"/>
    <m/>
    <m/>
    <s v="ModelYCampaign"/>
    <x v="1"/>
    <n v="0.28245270711024134"/>
    <n v="866"/>
  </r>
  <r>
    <s v="P032"/>
    <s v="Twitter"/>
    <d v="2024-07-31T00:00:00"/>
    <s v="Carousel"/>
    <s v="Check out our latest carousel on twitter!"/>
    <n v="2278"/>
    <n v="10"/>
    <n v="321"/>
    <n v="13668"/>
    <n v="12676"/>
    <n v="275"/>
    <s v="#EVRevolution"/>
    <m/>
    <m/>
    <s v="CybertruckLaunch"/>
    <x v="0"/>
    <n v="0.19088381621305239"/>
    <n v="2609"/>
  </r>
  <r>
    <s v="P033"/>
    <s v="Facebook"/>
    <d v="2024-08-21T00:00:00"/>
    <s v="Image"/>
    <s v="Check out our latest image on facebook!"/>
    <n v="1407"/>
    <n v="400"/>
    <n v="351"/>
    <n v="16884"/>
    <n v="15954"/>
    <n v="113"/>
    <s v="#TeslaCoInnovation"/>
    <m/>
    <m/>
    <s v="CybertruckLaunch"/>
    <x v="0"/>
    <n v="0.12781331438047855"/>
    <n v="2158"/>
  </r>
  <r>
    <s v="P034"/>
    <s v="Facebook"/>
    <d v="2025-03-26T00:00:00"/>
    <s v="Text"/>
    <s v="Check out our latest text on facebook!"/>
    <n v="1652"/>
    <n v="89"/>
    <n v="357"/>
    <n v="29736"/>
    <n v="28771"/>
    <n v="215"/>
    <s v="#TeslaCoInnovation"/>
    <m/>
    <m/>
    <s v="FSDUpdate"/>
    <x v="2"/>
    <n v="7.055421038471886E-2"/>
    <n v="2098"/>
  </r>
  <r>
    <s v="P035"/>
    <s v="Instagram"/>
    <d v="2024-11-30T00:00:00"/>
    <s v="Video"/>
    <s v="Check out our latest video on instagram!"/>
    <n v="3775"/>
    <n v="16"/>
    <n v="239"/>
    <n v="33975"/>
    <n v="33310"/>
    <n v="271"/>
    <s v="#FutureOfDriving"/>
    <m/>
    <m/>
    <s v="ModelYCampaign"/>
    <x v="1"/>
    <n v="0.11861662987490802"/>
    <n v="4030"/>
  </r>
  <r>
    <s v="P036"/>
    <s v="Instagram"/>
    <d v="2025-04-19T00:00:00"/>
    <s v="Story"/>
    <s v="Check out our latest story on instagram!"/>
    <n v="4518"/>
    <n v="285"/>
    <n v="383"/>
    <n v="67770"/>
    <n v="67621"/>
    <n v="31"/>
    <s v="#EVRevolution"/>
    <m/>
    <m/>
    <s v="ModelYCampaign"/>
    <x v="1"/>
    <n v="7.6523535487678915E-2"/>
    <n v="5186"/>
  </r>
  <r>
    <s v="P037"/>
    <s v="Facebook"/>
    <d v="2025-01-06T00:00:00"/>
    <s v="Carousel"/>
    <s v="Check out our latest carousel on facebook!"/>
    <n v="3024"/>
    <n v="925"/>
    <n v="350"/>
    <n v="24192"/>
    <n v="23518"/>
    <n v="36"/>
    <s v="#EVRevolution"/>
    <m/>
    <m/>
    <s v="ModelYCampaign"/>
    <x v="1"/>
    <n v="0.17770337301587302"/>
    <n v="4299"/>
  </r>
  <r>
    <s v="P038"/>
    <s v="YouTube"/>
    <d v="2025-02-17T00:00:00"/>
    <s v="Reel"/>
    <s v="Check out our latest reel on youtube!"/>
    <n v="3138"/>
    <n v="123"/>
    <n v="291"/>
    <n v="28242"/>
    <n v="27550"/>
    <n v="87"/>
    <s v="#TeslaCoInnovation"/>
    <m/>
    <m/>
    <s v="SustainabilityDrive"/>
    <x v="3"/>
    <n v="0.12577012959422137"/>
    <n v="3552"/>
  </r>
  <r>
    <s v="P039"/>
    <s v="Facebook"/>
    <d v="2024-11-25T00:00:00"/>
    <s v="Image"/>
    <s v="Check out our latest image on facebook!"/>
    <n v="3564"/>
    <n v="629"/>
    <n v="177"/>
    <n v="60588"/>
    <n v="59627"/>
    <n v="92"/>
    <s v="#TeslaCoInnovation"/>
    <m/>
    <m/>
    <m/>
    <x v="1"/>
    <n v="7.2126493695121141E-2"/>
    <n v="4370"/>
  </r>
  <r>
    <s v="P040"/>
    <s v="Twitter"/>
    <d v="2025-03-07T00:00:00"/>
    <s v="Image"/>
    <s v="Check out our latest image on twitter!"/>
    <n v="4750"/>
    <n v="151"/>
    <n v="415"/>
    <n v="38000"/>
    <n v="37792"/>
    <n v="299"/>
    <s v="#EVRevolution"/>
    <m/>
    <m/>
    <s v="SustainabilityDrive"/>
    <x v="3"/>
    <n v="0.13989473684210527"/>
    <n v="5316"/>
  </r>
  <r>
    <s v="P041"/>
    <s v="Instagram"/>
    <d v="2025-03-08T00:00:00"/>
    <s v="Reel"/>
    <s v="Check out our latest reel on instagram!"/>
    <n v="456"/>
    <n v="629"/>
    <n v="428"/>
    <n v="8208"/>
    <n v="7377"/>
    <n v="205"/>
    <s v="#FutureOfDriving"/>
    <m/>
    <m/>
    <s v="SustainabilityDrive"/>
    <x v="3"/>
    <n v="0.18433235867446393"/>
    <n v="1513"/>
  </r>
  <r>
    <s v="P042"/>
    <s v="YouTube"/>
    <d v="2025-03-05T00:00:00"/>
    <s v="Reel"/>
    <s v="Check out our latest reel on youtube!"/>
    <n v="1543"/>
    <n v="820"/>
    <n v="333"/>
    <n v="12344"/>
    <n v="11496"/>
    <n v="241"/>
    <s v="#EVRevolution"/>
    <m/>
    <m/>
    <m/>
    <x v="0"/>
    <n v="0.21840570317563188"/>
    <n v="2696"/>
  </r>
  <r>
    <s v="P043"/>
    <s v="Instagram"/>
    <d v="2024-12-14T00:00:00"/>
    <s v="Carousel"/>
    <s v="Check out our latest carousel on instagram!"/>
    <n v="2174"/>
    <n v="658"/>
    <n v="15"/>
    <n v="13044"/>
    <n v="12206"/>
    <n v="137"/>
    <s v="#TeslaCoInnovation"/>
    <m/>
    <m/>
    <s v="FSDUpdate"/>
    <x v="2"/>
    <n v="0.21826126954921804"/>
    <n v="2847"/>
  </r>
  <r>
    <s v="P044"/>
    <s v="Twitter"/>
    <d v="2025-03-02T00:00:00"/>
    <s v="Image"/>
    <s v="Check out our latest image on twitter!"/>
    <n v="2358"/>
    <n v="784"/>
    <n v="344"/>
    <n v="35370"/>
    <n v="34475"/>
    <n v="216"/>
    <s v="#TeslaCoInnovation"/>
    <m/>
    <m/>
    <m/>
    <x v="1"/>
    <n v="9.8558100084817649E-2"/>
    <n v="3486"/>
  </r>
  <r>
    <s v="P045"/>
    <s v="Facebook"/>
    <d v="2024-11-01T00:00:00"/>
    <s v="Video"/>
    <s v="Check out our latest video on facebook!"/>
    <n v="3371"/>
    <n v="106"/>
    <n v="327"/>
    <n v="50565"/>
    <n v="49816"/>
    <n v="176"/>
    <s v="#FutureOfDriving"/>
    <m/>
    <m/>
    <s v="CybertruckLaunch"/>
    <x v="0"/>
    <n v="7.5229902106199939E-2"/>
    <n v="3804"/>
  </r>
  <r>
    <s v="P046"/>
    <s v="Twitter"/>
    <d v="2025-05-02T00:00:00"/>
    <s v="Video"/>
    <s v="Check out our latest video on twitter!"/>
    <n v="1108"/>
    <n v="177"/>
    <n v="212"/>
    <n v="8864"/>
    <n v="8710"/>
    <n v="97"/>
    <s v="#TeslaCoInnovation"/>
    <m/>
    <m/>
    <s v="SustainabilityDrive"/>
    <x v="3"/>
    <n v="0.16888537906137185"/>
    <n v="1497"/>
  </r>
  <r>
    <s v="P047"/>
    <s v="Twitter"/>
    <d v="2025-02-24T00:00:00"/>
    <s v="Carousel"/>
    <s v="Check out our latest carousel on twitter!"/>
    <n v="2704"/>
    <n v="752"/>
    <n v="153"/>
    <n v="21632"/>
    <n v="20792"/>
    <n v="127"/>
    <s v="#FutureOfDriving"/>
    <m/>
    <m/>
    <m/>
    <x v="3"/>
    <n v="0.16683616863905326"/>
    <n v="3609"/>
  </r>
  <r>
    <s v="P048"/>
    <s v="Twitter"/>
    <d v="2025-03-11T00:00:00"/>
    <s v="Story"/>
    <s v="Check out our latest story on twitter!"/>
    <n v="1950"/>
    <n v="295"/>
    <n v="478"/>
    <n v="37050"/>
    <n v="36272"/>
    <n v="119"/>
    <s v="#TeslaCoInnovation"/>
    <m/>
    <m/>
    <m/>
    <x v="1"/>
    <n v="7.349527665317139E-2"/>
    <n v="2723"/>
  </r>
  <r>
    <s v="P049"/>
    <s v="Twitter"/>
    <d v="2024-06-10T00:00:00"/>
    <s v="Story"/>
    <s v="Check out our latest story on twitter!"/>
    <n v="2164"/>
    <n v="549"/>
    <n v="274"/>
    <n v="28132"/>
    <n v="27361"/>
    <n v="177"/>
    <s v="#TeslaCoInnovation"/>
    <m/>
    <m/>
    <s v="SustainabilityDrive"/>
    <x v="3"/>
    <n v="0.10617801791554102"/>
    <n v="2987"/>
  </r>
  <r>
    <s v="P050"/>
    <s v="YouTube"/>
    <d v="2024-07-03T00:00:00"/>
    <s v="Story"/>
    <s v="Check out our latest story on youtube!"/>
    <n v="2754"/>
    <n v="130"/>
    <n v="90"/>
    <n v="22032"/>
    <n v="21288"/>
    <n v="112"/>
    <s v="#TeslaCoInnovation"/>
    <m/>
    <m/>
    <s v="FSDUpdate"/>
    <x v="2"/>
    <n v="0.13498547567175018"/>
    <n v="2974"/>
  </r>
  <r>
    <s v="P051"/>
    <s v="Facebook"/>
    <d v="2024-06-13T00:00:00"/>
    <s v="Carousel"/>
    <s v="Check out our latest carousel on facebook!"/>
    <n v="2200"/>
    <n v="504"/>
    <n v="239"/>
    <n v="37400"/>
    <n v="36938"/>
    <n v="225"/>
    <s v="#FutureOfDriving"/>
    <m/>
    <m/>
    <s v="ModelYCampaign"/>
    <x v="1"/>
    <n v="7.8689839572192513E-2"/>
    <n v="2943"/>
  </r>
  <r>
    <s v="P052"/>
    <s v="Facebook"/>
    <d v="2025-01-03T00:00:00"/>
    <s v="Image"/>
    <s v="Check out our latest image on facebook!"/>
    <n v="947"/>
    <n v="338"/>
    <n v="350"/>
    <n v="10417"/>
    <n v="9730"/>
    <n v="34"/>
    <s v="#TeslaCoInnovation"/>
    <m/>
    <m/>
    <s v="SustainabilityDrive"/>
    <x v="3"/>
    <n v="0.1569549774407219"/>
    <n v="1635"/>
  </r>
  <r>
    <s v="P053"/>
    <s v="YouTube"/>
    <d v="2025-02-24T00:00:00"/>
    <s v="Carousel"/>
    <s v="Check out our latest carousel on youtube!"/>
    <n v="804"/>
    <n v="639"/>
    <n v="43"/>
    <n v="4020"/>
    <n v="3144"/>
    <n v="11"/>
    <s v="#EVRevolution"/>
    <s v="#BetterWithTesla"/>
    <m/>
    <m/>
    <x v="0"/>
    <n v="0.36965174129353234"/>
    <n v="1486"/>
  </r>
  <r>
    <s v="P054"/>
    <s v="YouTube"/>
    <d v="2025-03-13T00:00:00"/>
    <s v="Carousel"/>
    <s v="Check out our latest carousel on youtube!"/>
    <n v="1686"/>
    <n v="904"/>
    <n v="472"/>
    <n v="18546"/>
    <n v="18171"/>
    <n v="52"/>
    <s v="#FutureOfDriving"/>
    <m/>
    <m/>
    <s v="ModelYCampaign"/>
    <x v="1"/>
    <n v="0.16510298716704411"/>
    <n v="3062"/>
  </r>
  <r>
    <s v="P055"/>
    <s v="Facebook"/>
    <d v="2024-06-17T00:00:00"/>
    <s v="Image"/>
    <s v="Check out our latest image on facebook!"/>
    <n v="1226"/>
    <n v="119"/>
    <n v="7"/>
    <n v="14712"/>
    <n v="14049"/>
    <n v="123"/>
    <s v="#EVRevolution"/>
    <m/>
    <m/>
    <s v="SustainabilityDrive"/>
    <x v="3"/>
    <n v="9.1897770527460579E-2"/>
    <n v="1352"/>
  </r>
  <r>
    <s v="P056"/>
    <s v="Facebook"/>
    <d v="2024-12-18T00:00:00"/>
    <s v="Carousel"/>
    <s v="Check out our latest carousel on facebook!"/>
    <n v="2946"/>
    <n v="498"/>
    <n v="367"/>
    <n v="29460"/>
    <n v="28527"/>
    <n v="60"/>
    <s v="#FutureOfDriving"/>
    <m/>
    <m/>
    <s v="FSDUpdate"/>
    <x v="2"/>
    <n v="0.12936184657162253"/>
    <n v="3811"/>
  </r>
  <r>
    <s v="P057"/>
    <s v="Twitter"/>
    <d v="2024-10-21T00:00:00"/>
    <s v="Video"/>
    <s v="Check out our latest video on twitter!"/>
    <n v="2825"/>
    <n v="535"/>
    <n v="295"/>
    <n v="45200"/>
    <n v="44739"/>
    <n v="169"/>
    <s v="#TeslaCoInnovation"/>
    <m/>
    <m/>
    <s v="CybertruckLaunch"/>
    <x v="0"/>
    <n v="8.0862831858407078E-2"/>
    <n v="3655"/>
  </r>
  <r>
    <s v="P058"/>
    <s v="Instagram"/>
    <d v="2025-04-15T00:00:00"/>
    <s v="Reel"/>
    <s v="Check out our latest reel on instagram!"/>
    <n v="103"/>
    <n v="770"/>
    <n v="19"/>
    <n v="1030"/>
    <n v="410"/>
    <n v="262"/>
    <s v="#TeslaCoInnovation"/>
    <m/>
    <m/>
    <s v="SustainabilityDrive"/>
    <x v="3"/>
    <n v="0.86601941747572819"/>
    <n v="892"/>
  </r>
  <r>
    <s v="P059"/>
    <s v="Instagram"/>
    <d v="2024-06-22T00:00:00"/>
    <s v="Text"/>
    <s v="Check out our latest text on instagram!"/>
    <n v="2180"/>
    <n v="263"/>
    <n v="387"/>
    <n v="30520"/>
    <n v="30059"/>
    <n v="174"/>
    <s v="#EVRevolution"/>
    <m/>
    <m/>
    <m/>
    <x v="0"/>
    <n v="9.2726081258191345E-2"/>
    <n v="2830"/>
  </r>
  <r>
    <s v="P060"/>
    <s v="Instagram"/>
    <d v="2025-01-28T00:00:00"/>
    <s v="Video"/>
    <s v="Check out our latest video on instagram!"/>
    <n v="904"/>
    <n v="973"/>
    <n v="63"/>
    <n v="11752"/>
    <n v="11580"/>
    <n v="84"/>
    <s v="#EVRevolution"/>
    <s v="#TeslaCoInnovation"/>
    <s v="#AnytimeIsTeslaTime"/>
    <s v="FSDUpdate"/>
    <x v="2"/>
    <n v="0.1650782845473111"/>
    <n v="1940"/>
  </r>
  <r>
    <s v="P061"/>
    <s v="Twitter"/>
    <d v="2024-09-05T00:00:00"/>
    <s v="Video"/>
    <s v="Check out our latest video on twitter!"/>
    <n v="4886"/>
    <n v="983"/>
    <n v="409"/>
    <n v="43974"/>
    <n v="43239"/>
    <n v="65"/>
    <s v="#TeslaCoInnovation"/>
    <m/>
    <m/>
    <s v="CybertruckLaunch"/>
    <x v="0"/>
    <n v="0.14276618001546368"/>
    <n v="6278"/>
  </r>
  <r>
    <s v="P062"/>
    <s v="Twitter"/>
    <d v="2024-11-22T00:00:00"/>
    <s v="Carousel"/>
    <s v="Check out our latest carousel on twitter!"/>
    <n v="53"/>
    <n v="81"/>
    <n v="379"/>
    <n v="954"/>
    <n v="7"/>
    <n v="148"/>
    <s v="#TeslaCoInnovation"/>
    <m/>
    <m/>
    <s v="FSDUpdate"/>
    <x v="2"/>
    <n v="0.53773584905660377"/>
    <n v="513"/>
  </r>
  <r>
    <s v="P063"/>
    <s v="Twitter"/>
    <d v="2024-07-31T00:00:00"/>
    <s v="Carousel"/>
    <s v="Check out our latest carousel on twitter!"/>
    <n v="4507"/>
    <n v="217"/>
    <n v="13"/>
    <n v="90140"/>
    <n v="89591"/>
    <n v="125"/>
    <s v="#FutureOfDriving"/>
    <m/>
    <m/>
    <s v="FSDUpdate"/>
    <x v="2"/>
    <n v="5.2551586421122697E-2"/>
    <n v="4737"/>
  </r>
  <r>
    <s v="P064"/>
    <s v="Facebook"/>
    <d v="2024-08-17T00:00:00"/>
    <s v="Image"/>
    <s v="Check out our latest image on facebook!"/>
    <n v="2878"/>
    <n v="248"/>
    <n v="416"/>
    <n v="43170"/>
    <n v="42667"/>
    <n v="75"/>
    <s v="#FutureOfDriving"/>
    <m/>
    <m/>
    <s v="FSDUpdate"/>
    <x v="2"/>
    <n v="8.2047718322909427E-2"/>
    <n v="3542"/>
  </r>
  <r>
    <s v="P065"/>
    <s v="Instagram"/>
    <d v="2025-03-28T00:00:00"/>
    <s v="Story"/>
    <s v="Check out our latest story on instagram!"/>
    <n v="1881"/>
    <n v="501"/>
    <n v="99"/>
    <n v="20691"/>
    <n v="19987"/>
    <n v="289"/>
    <s v="#EVRevolution"/>
    <m/>
    <m/>
    <m/>
    <x v="0"/>
    <n v="0.11990720603160794"/>
    <n v="2481"/>
  </r>
  <r>
    <s v="P066"/>
    <s v="Twitter"/>
    <d v="2024-07-26T00:00:00"/>
    <s v="Carousel"/>
    <s v="Check out our latest carousel on twitter!"/>
    <n v="432"/>
    <n v="171"/>
    <n v="280"/>
    <n v="3024"/>
    <n v="2285"/>
    <n v="184"/>
    <s v="#EVRevolution"/>
    <m/>
    <m/>
    <s v="CybertruckLaunch"/>
    <x v="0"/>
    <n v="0.29199735449735448"/>
    <n v="883"/>
  </r>
  <r>
    <s v="P067"/>
    <s v="Facebook"/>
    <d v="2025-03-29T00:00:00"/>
    <s v="Carousel"/>
    <s v="Check out our latest carousel on facebook!"/>
    <n v="4712"/>
    <n v="568"/>
    <n v="127"/>
    <n v="84816"/>
    <n v="84691"/>
    <n v="100"/>
    <s v="#EVRevolution"/>
    <m/>
    <m/>
    <s v="FSDUpdate"/>
    <x v="2"/>
    <n v="6.3749764195434822E-2"/>
    <n v="5407"/>
  </r>
  <r>
    <s v="P068"/>
    <s v="Instagram"/>
    <d v="2024-12-08T00:00:00"/>
    <s v="Story"/>
    <s v="Check out our latest story on instagram!"/>
    <n v="2610"/>
    <n v="126"/>
    <n v="288"/>
    <n v="15660"/>
    <n v="15145"/>
    <n v="73"/>
    <s v="#EVRevolution"/>
    <m/>
    <m/>
    <m/>
    <x v="0"/>
    <n v="0.19310344827586207"/>
    <n v="3024"/>
  </r>
  <r>
    <s v="P069"/>
    <s v="Twitter"/>
    <d v="2025-03-08T00:00:00"/>
    <s v="Text"/>
    <s v="Check out our latest text on twitter!"/>
    <n v="1292"/>
    <n v="626"/>
    <n v="496"/>
    <n v="25840"/>
    <n v="24916"/>
    <n v="149"/>
    <s v="#FutureOfDriving"/>
    <m/>
    <m/>
    <s v="FSDUpdate"/>
    <x v="2"/>
    <n v="9.3421052631578946E-2"/>
    <n v="2414"/>
  </r>
  <r>
    <s v="P070"/>
    <s v="Facebook"/>
    <d v="2025-04-02T00:00:00"/>
    <s v="Video"/>
    <s v="Check out our latest video on facebook!"/>
    <n v="199"/>
    <n v="772"/>
    <n v="400"/>
    <n v="3582"/>
    <n v="2988"/>
    <n v="43"/>
    <s v="#TeslaCoInnovation"/>
    <m/>
    <m/>
    <m/>
    <x v="1"/>
    <n v="0.38274706867671693"/>
    <n v="1371"/>
  </r>
  <r>
    <s v="P071"/>
    <s v="YouTube"/>
    <d v="2024-09-02T00:00:00"/>
    <s v="Carousel"/>
    <s v="Check out our latest carousel on youtube!"/>
    <n v="2551"/>
    <n v="915"/>
    <n v="205"/>
    <n v="30612"/>
    <n v="30360"/>
    <n v="227"/>
    <s v="#TeslaCoInnovation"/>
    <m/>
    <m/>
    <s v="ModelYCampaign"/>
    <x v="1"/>
    <n v="0.1199202926956749"/>
    <n v="3671"/>
  </r>
  <r>
    <s v="P072"/>
    <s v="YouTube"/>
    <d v="2025-03-03T00:00:00"/>
    <s v="Reel"/>
    <s v="Check out our latest reel on youtube!"/>
    <n v="296"/>
    <n v="60"/>
    <n v="141"/>
    <n v="5624"/>
    <n v="5239"/>
    <n v="88"/>
    <s v="#EVRevolution"/>
    <m/>
    <m/>
    <s v="ModelYCampaign"/>
    <x v="1"/>
    <n v="8.837126600284495E-2"/>
    <n v="497"/>
  </r>
  <r>
    <s v="P073"/>
    <s v="Facebook"/>
    <d v="2024-10-18T00:00:00"/>
    <s v="Story"/>
    <s v="Check out our latest story on facebook!"/>
    <n v="4126"/>
    <n v="426"/>
    <n v="486"/>
    <n v="78394"/>
    <n v="77798"/>
    <n v="88"/>
    <s v="#FutureOfDriving"/>
    <m/>
    <m/>
    <s v="SustainabilityDrive"/>
    <x v="3"/>
    <n v="6.4265122330790625E-2"/>
    <n v="5038"/>
  </r>
  <r>
    <s v="P074"/>
    <s v="YouTube"/>
    <d v="2024-10-28T00:00:00"/>
    <s v="Reel"/>
    <s v="Check out our latest reel on youtube!"/>
    <n v="1855"/>
    <n v="200"/>
    <n v="174"/>
    <n v="16695"/>
    <n v="16330"/>
    <n v="123"/>
    <s v="#TeslaCoInnovation"/>
    <m/>
    <m/>
    <s v="FSDUpdate"/>
    <x v="2"/>
    <n v="0.13351302785265048"/>
    <n v="2229"/>
  </r>
  <r>
    <s v="P075"/>
    <s v="Instagram"/>
    <d v="2024-08-01T00:00:00"/>
    <s v="Reel"/>
    <s v="Check out our latest reel on instagram!"/>
    <n v="1674"/>
    <n v="929"/>
    <n v="37"/>
    <n v="21762"/>
    <n v="20998"/>
    <n v="255"/>
    <s v="#TeslaCoInnovation"/>
    <m/>
    <m/>
    <s v="SustainabilityDrive"/>
    <x v="3"/>
    <n v="0.12131237937689551"/>
    <n v="2640"/>
  </r>
  <r>
    <s v="P076"/>
    <s v="Twitter"/>
    <d v="2024-11-07T00:00:00"/>
    <s v="Story"/>
    <s v="Check out our latest story on twitter!"/>
    <n v="1121"/>
    <n v="135"/>
    <n v="18"/>
    <n v="15694"/>
    <n v="14957"/>
    <n v="99"/>
    <s v="#TeslaCoInnovation"/>
    <m/>
    <m/>
    <s v="SustainabilityDrive"/>
    <x v="3"/>
    <n v="8.1177520071364848E-2"/>
    <n v="1274"/>
  </r>
  <r>
    <s v="P077"/>
    <s v="Facebook"/>
    <d v="2025-03-04T00:00:00"/>
    <s v="Story"/>
    <s v="Check out our latest story on facebook!"/>
    <n v="1249"/>
    <n v="116"/>
    <n v="420"/>
    <n v="8743"/>
    <n v="8538"/>
    <n v="63"/>
    <s v="#TeslaCoInnovation"/>
    <m/>
    <m/>
    <m/>
    <x v="1"/>
    <n v="0.20416333066453163"/>
    <n v="1785"/>
  </r>
  <r>
    <s v="P078"/>
    <s v="Twitter"/>
    <d v="2024-06-17T00:00:00"/>
    <s v="Image"/>
    <s v="Check out our latest image on twitter!"/>
    <n v="954"/>
    <n v="324"/>
    <n v="288"/>
    <n v="19080"/>
    <n v="18859"/>
    <n v="21"/>
    <s v="#FutureOfDriving"/>
    <m/>
    <m/>
    <s v="SustainabilityDrive"/>
    <x v="3"/>
    <n v="8.2075471698113203E-2"/>
    <n v="1566"/>
  </r>
  <r>
    <s v="P079"/>
    <s v="Instagram"/>
    <d v="2024-10-09T00:00:00"/>
    <s v="Carousel"/>
    <s v="Check out our latest carousel on instagram!"/>
    <n v="3068"/>
    <n v="137"/>
    <n v="329"/>
    <n v="39884"/>
    <n v="39404"/>
    <n v="266"/>
    <s v="#EVRevolution"/>
    <m/>
    <m/>
    <s v="ModelYCampaign"/>
    <x v="1"/>
    <n v="8.860696018453515E-2"/>
    <n v="3534"/>
  </r>
  <r>
    <s v="P080"/>
    <s v="Instagram"/>
    <d v="2024-06-13T00:00:00"/>
    <s v="Story"/>
    <s v="Check out our latest story on instagram!"/>
    <n v="2103"/>
    <n v="892"/>
    <n v="103"/>
    <n v="39957"/>
    <n v="39466"/>
    <n v="28"/>
    <s v="#FutureOfDriving"/>
    <m/>
    <m/>
    <m/>
    <x v="3"/>
    <n v="7.7533348349475686E-2"/>
    <n v="3098"/>
  </r>
  <r>
    <s v="P081"/>
    <s v="Instagram"/>
    <d v="2024-10-19T00:00:00"/>
    <s v="Story"/>
    <s v="Check out our latest story on instagram!"/>
    <n v="1816"/>
    <n v="29"/>
    <n v="41"/>
    <n v="19976"/>
    <n v="19262"/>
    <n v="283"/>
    <s v="#TeslaCoInnovation"/>
    <m/>
    <m/>
    <s v="FSDUpdate"/>
    <x v="2"/>
    <n v="9.4413295955146179E-2"/>
    <n v="1886"/>
  </r>
  <r>
    <s v="P082"/>
    <s v="Instagram"/>
    <d v="2024-07-24T00:00:00"/>
    <s v="Image"/>
    <s v="Check out our latest image on instagram!"/>
    <n v="725"/>
    <n v="88"/>
    <n v="428"/>
    <n v="14500"/>
    <n v="13637"/>
    <n v="200"/>
    <s v="#FutureOfDriving"/>
    <s v="#TeslaCoInnovation"/>
    <s v="#AnytimeIsTeslaTime"/>
    <s v="FSDUpdate"/>
    <x v="2"/>
    <n v="8.558620689655172E-2"/>
    <n v="1241"/>
  </r>
  <r>
    <s v="P083"/>
    <s v="YouTube"/>
    <d v="2024-10-15T00:00:00"/>
    <s v="Video"/>
    <s v="Check out our latest video on youtube!"/>
    <n v="1094"/>
    <n v="472"/>
    <n v="21"/>
    <n v="9846"/>
    <n v="9609"/>
    <n v="112"/>
    <s v="#EVRevolution"/>
    <m/>
    <m/>
    <m/>
    <x v="0"/>
    <n v="0.16118220597196831"/>
    <n v="1587"/>
  </r>
  <r>
    <s v="P084"/>
    <s v="Facebook"/>
    <d v="2024-12-09T00:00:00"/>
    <s v="Image"/>
    <s v="Check out our latest image on facebook!"/>
    <n v="1841"/>
    <n v="851"/>
    <n v="342"/>
    <n v="34979"/>
    <n v="34154"/>
    <n v="255"/>
    <s v="#FutureOfDriving"/>
    <m/>
    <m/>
    <s v="SustainabilityDrive"/>
    <x v="3"/>
    <n v="8.6737756939878216E-2"/>
    <n v="3034"/>
  </r>
  <r>
    <s v="P085"/>
    <s v="Instagram"/>
    <d v="2025-04-19T00:00:00"/>
    <s v="Image"/>
    <s v="Check out our latest image on instagram!"/>
    <n v="4177"/>
    <n v="569"/>
    <n v="55"/>
    <n v="25062"/>
    <n v="24847"/>
    <n v="230"/>
    <s v="#FutureOfDriving"/>
    <m/>
    <m/>
    <s v="CybertruckLaunch"/>
    <x v="0"/>
    <n v="0.19156491900087783"/>
    <n v="4801"/>
  </r>
  <r>
    <s v="P086"/>
    <s v="YouTube"/>
    <d v="2025-01-27T00:00:00"/>
    <s v="Text"/>
    <s v="Check out our latest text on youtube!"/>
    <n v="3428"/>
    <n v="305"/>
    <n v="85"/>
    <n v="58276"/>
    <n v="58052"/>
    <n v="242"/>
    <s v="#EVRevolution"/>
    <s v="#BetterWithTesla"/>
    <m/>
    <s v="SustainabilityDrive"/>
    <x v="3"/>
    <n v="6.5515821264328367E-2"/>
    <n v="3818"/>
  </r>
  <r>
    <s v="P087"/>
    <s v="Twitter"/>
    <d v="2024-06-06T00:00:00"/>
    <s v="Video"/>
    <s v="Check out our latest video on twitter!"/>
    <n v="1436"/>
    <n v="765"/>
    <n v="496"/>
    <n v="12924"/>
    <n v="12701"/>
    <n v="197"/>
    <s v="#FutureOfDriving"/>
    <m/>
    <m/>
    <s v="FSDUpdate"/>
    <x v="2"/>
    <n v="0.20868152274837512"/>
    <n v="2697"/>
  </r>
  <r>
    <s v="P088"/>
    <s v="Facebook"/>
    <d v="2024-07-07T00:00:00"/>
    <s v="Story"/>
    <s v="Check out our latest story on facebook!"/>
    <n v="302"/>
    <n v="47"/>
    <n v="430"/>
    <n v="5738"/>
    <n v="4890"/>
    <n v="25"/>
    <s v="#TeslaCoInnovation"/>
    <m/>
    <m/>
    <s v="SustainabilityDrive"/>
    <x v="3"/>
    <n v="0.13576158940397351"/>
    <n v="779"/>
  </r>
  <r>
    <s v="P089"/>
    <s v="Twitter"/>
    <d v="2025-01-10T00:00:00"/>
    <s v="Image"/>
    <s v="Check out our latest image on twitter!"/>
    <n v="2214"/>
    <n v="249"/>
    <n v="152"/>
    <n v="15498"/>
    <n v="14800"/>
    <n v="180"/>
    <s v="#EVRevolution"/>
    <m/>
    <m/>
    <m/>
    <x v="0"/>
    <n v="0.16873144921925409"/>
    <n v="2615"/>
  </r>
  <r>
    <s v="P090"/>
    <s v="Instagram"/>
    <d v="2024-06-03T00:00:00"/>
    <s v="Image"/>
    <s v="Check out our latest image on instagram!"/>
    <n v="3861"/>
    <n v="960"/>
    <n v="101"/>
    <n v="69498"/>
    <n v="68817"/>
    <n v="297"/>
    <s v="#TeslaCoInnovation"/>
    <m/>
    <m/>
    <s v="SustainabilityDrive"/>
    <x v="3"/>
    <n v="7.0822181933293038E-2"/>
    <n v="4922"/>
  </r>
  <r>
    <s v="P091"/>
    <s v="Facebook"/>
    <d v="2025-03-24T00:00:00"/>
    <s v="Image"/>
    <s v="Check out our latest image on facebook!"/>
    <n v="1263"/>
    <n v="397"/>
    <n v="357"/>
    <n v="25260"/>
    <n v="24615"/>
    <n v="137"/>
    <s v="#EVRevolution"/>
    <m/>
    <m/>
    <s v="SustainabilityDrive"/>
    <x v="3"/>
    <n v="7.984956452889945E-2"/>
    <n v="2017"/>
  </r>
  <r>
    <s v="P092"/>
    <s v="Twitter"/>
    <d v="2024-10-21T00:00:00"/>
    <s v="Story"/>
    <s v="Check out our latest story on twitter!"/>
    <n v="3801"/>
    <n v="967"/>
    <n v="401"/>
    <n v="38010"/>
    <n v="37625"/>
    <n v="236"/>
    <s v="#FutureOfDriving"/>
    <m/>
    <m/>
    <s v="FSDUpdate"/>
    <x v="2"/>
    <n v="0.13599052880820836"/>
    <n v="5169"/>
  </r>
  <r>
    <s v="P093"/>
    <s v="Instagram"/>
    <d v="2024-12-11T00:00:00"/>
    <s v="Video"/>
    <s v="Check out our latest video on instagram!"/>
    <n v="1431"/>
    <n v="951"/>
    <n v="26"/>
    <n v="8586"/>
    <n v="8396"/>
    <n v="150"/>
    <s v="#EVRevolution"/>
    <m/>
    <m/>
    <s v="FSDUpdate"/>
    <x v="2"/>
    <n v="0.28045655718611695"/>
    <n v="2408"/>
  </r>
  <r>
    <s v="P094"/>
    <s v="Instagram"/>
    <d v="2024-11-07T00:00:00"/>
    <s v="Image"/>
    <s v="Check out our latest image on instagram!"/>
    <n v="2647"/>
    <n v="304"/>
    <n v="170"/>
    <n v="18529"/>
    <n v="17841"/>
    <n v="46"/>
    <s v="#FutureOfDriving"/>
    <m/>
    <m/>
    <s v="FSDUpdate"/>
    <x v="2"/>
    <n v="0.16843866371633656"/>
    <n v="3121"/>
  </r>
  <r>
    <s v="P095"/>
    <s v="Instagram"/>
    <d v="2024-11-08T00:00:00"/>
    <s v="Text"/>
    <s v="Check out our latest text on instagram!"/>
    <n v="3182"/>
    <n v="559"/>
    <n v="160"/>
    <n v="57276"/>
    <n v="56890"/>
    <n v="163"/>
    <s v="#FutureOfDriving"/>
    <m/>
    <m/>
    <s v="SustainabilityDrive"/>
    <x v="3"/>
    <n v="6.8108806480899509E-2"/>
    <n v="3901"/>
  </r>
  <r>
    <s v="P096"/>
    <s v="Twitter"/>
    <d v="2024-09-10T00:00:00"/>
    <s v="Image"/>
    <s v="Check out our latest image on twitter!"/>
    <n v="1238"/>
    <n v="366"/>
    <n v="444"/>
    <n v="19808"/>
    <n v="19334"/>
    <n v="123"/>
    <s v="#FutureOfDriving"/>
    <m/>
    <m/>
    <m/>
    <x v="3"/>
    <n v="0.10339256865912763"/>
    <n v="2048"/>
  </r>
  <r>
    <s v="P097"/>
    <s v="Instagram"/>
    <d v="2024-08-13T00:00:00"/>
    <s v="Image"/>
    <s v="Check out our latest image on instagram!"/>
    <n v="4739"/>
    <n v="527"/>
    <n v="135"/>
    <n v="61607"/>
    <n v="61333"/>
    <n v="36"/>
    <s v="#TeslaCoInnovation"/>
    <s v="#AnytimeIsTeslaTime"/>
    <m/>
    <s v="ModelYCampaign"/>
    <x v="1"/>
    <n v="8.7668609086629767E-2"/>
    <n v="5401"/>
  </r>
  <r>
    <s v="P098"/>
    <s v="Twitter"/>
    <d v="2024-06-10T00:00:00"/>
    <s v="Story"/>
    <s v="Check out our latest story on twitter!"/>
    <n v="1575"/>
    <n v="771"/>
    <n v="486"/>
    <n v="25200"/>
    <n v="24826"/>
    <n v="17"/>
    <s v="#FutureOfDriving"/>
    <m/>
    <m/>
    <s v="SustainabilityDrive"/>
    <x v="3"/>
    <n v="0.11238095238095239"/>
    <n v="2832"/>
  </r>
  <r>
    <s v="P099"/>
    <s v="YouTube"/>
    <d v="2024-07-02T00:00:00"/>
    <s v="Carousel"/>
    <s v="Check out our latest carousel on youtube!"/>
    <n v="4171"/>
    <n v="548"/>
    <n v="86"/>
    <n v="66736"/>
    <n v="66634"/>
    <n v="173"/>
    <s v="#FutureOfDriving"/>
    <m/>
    <m/>
    <s v="FSDUpdate"/>
    <x v="2"/>
    <n v="7.2000119875329657E-2"/>
    <n v="4805"/>
  </r>
  <r>
    <s v="P100"/>
    <s v="YouTube"/>
    <d v="2025-02-10T00:00:00"/>
    <s v="Video"/>
    <s v="Check out our latest video on youtube!"/>
    <n v="1766"/>
    <n v="92"/>
    <n v="424"/>
    <n v="24724"/>
    <n v="24333"/>
    <n v="52"/>
    <s v="#EVRevolution"/>
    <m/>
    <m/>
    <m/>
    <x v="0"/>
    <n v="9.2298980747451867E-2"/>
    <n v="2282"/>
  </r>
  <r>
    <s v="P101"/>
    <s v="YouTube"/>
    <d v="2024-10-18T00:00:00"/>
    <s v="Video"/>
    <s v="Check out our latest video on youtube!"/>
    <n v="4450"/>
    <n v="983"/>
    <n v="143"/>
    <n v="75650"/>
    <n v="75008"/>
    <n v="12"/>
    <s v="#FutureOfDriving"/>
    <m/>
    <m/>
    <s v="FSDUpdate"/>
    <x v="2"/>
    <n v="7.3707865168539333E-2"/>
    <n v="5576"/>
  </r>
  <r>
    <s v="P102"/>
    <s v="Twitter"/>
    <d v="2024-09-18T00:00:00"/>
    <s v="Reel"/>
    <s v="Check out our latest reel on twitter!"/>
    <n v="1000"/>
    <n v="978"/>
    <n v="162"/>
    <n v="6000"/>
    <n v="5221"/>
    <n v="223"/>
    <s v="#EVRevolution"/>
    <m/>
    <m/>
    <s v="ModelYCampaign"/>
    <x v="1"/>
    <n v="0.35666666666666669"/>
    <n v="2140"/>
  </r>
  <r>
    <s v="P103"/>
    <s v="Facebook"/>
    <d v="2024-06-11T00:00:00"/>
    <s v="Image"/>
    <s v="Check out our latest image on facebook!"/>
    <n v="3689"/>
    <n v="48"/>
    <n v="306"/>
    <n v="40579"/>
    <n v="39588"/>
    <n v="212"/>
    <s v="#EVRevolution"/>
    <m/>
    <m/>
    <s v="ModelYCampaign"/>
    <x v="1"/>
    <n v="9.9632815002833983E-2"/>
    <n v="4043"/>
  </r>
  <r>
    <s v="P104"/>
    <s v="YouTube"/>
    <d v="2025-03-23T00:00:00"/>
    <s v="Story"/>
    <s v="Check out our latest story on youtube!"/>
    <n v="3655"/>
    <n v="568"/>
    <n v="286"/>
    <n v="32895"/>
    <n v="32015"/>
    <n v="199"/>
    <s v="#TeslaCoInnovation"/>
    <m/>
    <m/>
    <s v="FSDUpdate"/>
    <x v="2"/>
    <n v="0.13707250341997265"/>
    <n v="4509"/>
  </r>
  <r>
    <s v="P105"/>
    <s v="Instagram"/>
    <d v="2024-06-14T00:00:00"/>
    <s v="Carousel"/>
    <s v="Check out our latest carousel on instagram!"/>
    <n v="498"/>
    <n v="38"/>
    <n v="42"/>
    <n v="4482"/>
    <n v="3647"/>
    <n v="32"/>
    <s v="#FutureOfDriving"/>
    <m/>
    <m/>
    <s v="CybertruckLaunch"/>
    <x v="0"/>
    <n v="0.12896028558679162"/>
    <n v="578"/>
  </r>
  <r>
    <s v="P106"/>
    <s v="Instagram"/>
    <d v="2025-02-04T00:00:00"/>
    <s v="Image"/>
    <s v="Check out our latest image on instagram!"/>
    <n v="4619"/>
    <n v="821"/>
    <n v="499"/>
    <n v="69285"/>
    <n v="69141"/>
    <n v="298"/>
    <s v="#TeslaCoInnovation"/>
    <m/>
    <m/>
    <s v="SustainabilityDrive"/>
    <x v="3"/>
    <n v="8.5718409468138843E-2"/>
    <n v="5939"/>
  </r>
  <r>
    <s v="P107"/>
    <s v="YouTube"/>
    <d v="2024-06-21T00:00:00"/>
    <s v="Image"/>
    <s v="Check out our latest image on youtube!"/>
    <n v="4832"/>
    <n v="893"/>
    <n v="10"/>
    <n v="91808"/>
    <n v="91296"/>
    <n v="182"/>
    <s v="#TeslaCoInnovation"/>
    <m/>
    <m/>
    <m/>
    <x v="1"/>
    <n v="6.2467323109097243E-2"/>
    <n v="5735"/>
  </r>
  <r>
    <s v="P108"/>
    <s v="Twitter"/>
    <d v="2025-03-25T00:00:00"/>
    <s v="Video"/>
    <s v="Check out our latest video on twitter!"/>
    <n v="4050"/>
    <n v="871"/>
    <n v="347"/>
    <n v="52650"/>
    <n v="51755"/>
    <n v="209"/>
    <s v="#TeslaCoInnovation"/>
    <m/>
    <m/>
    <s v="ModelYCampaign"/>
    <x v="1"/>
    <n v="0.10005698005698006"/>
    <n v="5268"/>
  </r>
  <r>
    <s v="P109"/>
    <s v="Twitter"/>
    <d v="2024-08-08T00:00:00"/>
    <s v="Story"/>
    <s v="Check out our latest story on twitter!"/>
    <n v="3649"/>
    <n v="215"/>
    <n v="413"/>
    <n v="25543"/>
    <n v="24963"/>
    <n v="167"/>
    <s v="#FutureOfDriving"/>
    <m/>
    <m/>
    <s v="FSDUpdate"/>
    <x v="2"/>
    <n v="0.16744313510550835"/>
    <n v="4277"/>
  </r>
  <r>
    <s v="P110"/>
    <s v="Instagram"/>
    <d v="2024-07-29T00:00:00"/>
    <s v="Reel"/>
    <s v="Check out our latest reel on instagram!"/>
    <n v="3523"/>
    <n v="753"/>
    <n v="482"/>
    <n v="38753"/>
    <n v="38579"/>
    <n v="270"/>
    <s v="#EVRevolution"/>
    <m/>
    <m/>
    <s v="ModelYCampaign"/>
    <x v="1"/>
    <n v="0.12277759141227776"/>
    <n v="4758"/>
  </r>
  <r>
    <s v="P111"/>
    <s v="YouTube"/>
    <d v="2024-11-23T00:00:00"/>
    <s v="Image"/>
    <s v="Check out our latest image on youtube!"/>
    <n v="2719"/>
    <n v="17"/>
    <n v="285"/>
    <n v="40785"/>
    <n v="40281"/>
    <n v="40"/>
    <s v="#TeslaCoInnovation"/>
    <m/>
    <m/>
    <s v="ModelYCampaign"/>
    <x v="1"/>
    <n v="7.4071349760941527E-2"/>
    <n v="3021"/>
  </r>
  <r>
    <s v="P112"/>
    <s v="Twitter"/>
    <d v="2024-10-05T00:00:00"/>
    <s v="Story"/>
    <s v="Check out our latest story on twitter!"/>
    <n v="1957"/>
    <n v="877"/>
    <n v="238"/>
    <n v="17613"/>
    <n v="16865"/>
    <n v="297"/>
    <s v="#FutureOfDriving"/>
    <m/>
    <m/>
    <s v="FSDUpdate"/>
    <x v="2"/>
    <n v="0.17441662408448305"/>
    <n v="3072"/>
  </r>
  <r>
    <s v="P113"/>
    <s v="Twitter"/>
    <d v="2024-10-02T00:00:00"/>
    <s v="Carousel"/>
    <s v="Check out our latest carousel on twitter!"/>
    <n v="4419"/>
    <n v="236"/>
    <n v="369"/>
    <n v="44190"/>
    <n v="43582"/>
    <n v="10"/>
    <s v="#EVRevolution"/>
    <m/>
    <m/>
    <s v="CybertruckLaunch"/>
    <x v="0"/>
    <n v="0.11369088028965829"/>
    <n v="5024"/>
  </r>
  <r>
    <s v="P114"/>
    <s v="Twitter"/>
    <d v="2024-11-14T00:00:00"/>
    <s v="Story"/>
    <s v="Check out our latest story on twitter!"/>
    <n v="4000"/>
    <n v="689"/>
    <n v="488"/>
    <n v="40000"/>
    <n v="39569"/>
    <n v="44"/>
    <s v="#FutureOfDriving"/>
    <m/>
    <m/>
    <s v="CybertruckLaunch"/>
    <x v="0"/>
    <n v="0.12942500000000001"/>
    <n v="5177"/>
  </r>
  <r>
    <s v="P115"/>
    <s v="Twitter"/>
    <d v="2025-05-11T00:00:00"/>
    <s v="Image"/>
    <s v="Check out our latest image on twitter!"/>
    <n v="2493"/>
    <n v="97"/>
    <n v="44"/>
    <n v="42381"/>
    <n v="41991"/>
    <n v="242"/>
    <s v="#TeslaCoInnovation"/>
    <s v="#AnytimeIsTeslaTime"/>
    <m/>
    <s v="SustainabilityDrive"/>
    <x v="3"/>
    <n v="6.2150491965739366E-2"/>
    <n v="2634"/>
  </r>
  <r>
    <s v="P116"/>
    <s v="YouTube"/>
    <d v="2025-03-18T00:00:00"/>
    <s v="Reel"/>
    <s v="Check out our latest reel on youtube!"/>
    <n v="3704"/>
    <n v="186"/>
    <n v="458"/>
    <n v="25928"/>
    <n v="25081"/>
    <n v="131"/>
    <s v="#TeslaCoInnovation"/>
    <m/>
    <m/>
    <m/>
    <x v="1"/>
    <n v="0.16769515581610614"/>
    <n v="4348"/>
  </r>
  <r>
    <s v="P117"/>
    <s v="Twitter"/>
    <d v="2024-11-04T00:00:00"/>
    <s v="Image"/>
    <s v="Check out our latest image on twitter!"/>
    <n v="1606"/>
    <n v="451"/>
    <n v="405"/>
    <n v="20878"/>
    <n v="20190"/>
    <n v="219"/>
    <s v="#EVRevolution"/>
    <m/>
    <m/>
    <s v="SustainabilityDrive"/>
    <x v="3"/>
    <n v="0.11792317271769326"/>
    <n v="2462"/>
  </r>
  <r>
    <s v="P118"/>
    <s v="Facebook"/>
    <d v="2024-11-04T00:00:00"/>
    <s v="Image"/>
    <s v="Check out our latest image on facebook!"/>
    <n v="4551"/>
    <n v="714"/>
    <n v="207"/>
    <n v="68265"/>
    <n v="67754"/>
    <n v="57"/>
    <s v="#FutureOfDriving"/>
    <m/>
    <m/>
    <s v="FSDUpdate"/>
    <x v="2"/>
    <n v="8.0158206987475278E-2"/>
    <n v="5472"/>
  </r>
  <r>
    <s v="P119"/>
    <s v="Instagram"/>
    <d v="2025-02-07T00:00:00"/>
    <s v="Reel"/>
    <s v="Check out our latest reel on instagram!"/>
    <n v="1970"/>
    <n v="675"/>
    <n v="478"/>
    <n v="9850"/>
    <n v="8924"/>
    <n v="117"/>
    <s v="#FutureOfDriving"/>
    <m/>
    <m/>
    <m/>
    <x v="3"/>
    <n v="0.31705583756345179"/>
    <n v="3123"/>
  </r>
  <r>
    <s v="P120"/>
    <s v="Facebook"/>
    <d v="2024-10-21T00:00:00"/>
    <s v="Story"/>
    <s v="Check out our latest story on facebook!"/>
    <n v="780"/>
    <n v="928"/>
    <n v="301"/>
    <n v="8580"/>
    <n v="8081"/>
    <n v="91"/>
    <s v="#EVRevolution"/>
    <m/>
    <m/>
    <s v="FSDUpdate"/>
    <x v="2"/>
    <n v="0.23414918414918415"/>
    <n v="2009"/>
  </r>
  <r>
    <s v="P121"/>
    <s v="Instagram"/>
    <d v="2024-07-29T00:00:00"/>
    <s v="Story"/>
    <s v="Check out our latest story on instagram!"/>
    <n v="498"/>
    <n v="701"/>
    <n v="412"/>
    <n v="4980"/>
    <n v="4185"/>
    <n v="185"/>
    <s v="#FutureOfDriving"/>
    <m/>
    <m/>
    <m/>
    <x v="3"/>
    <n v="0.32349397590361445"/>
    <n v="1611"/>
  </r>
  <r>
    <s v="P122"/>
    <s v="Instagram"/>
    <d v="2024-10-02T00:00:00"/>
    <s v="Text"/>
    <s v="Check out our latest text on instagram!"/>
    <n v="3432"/>
    <n v="869"/>
    <n v="123"/>
    <n v="54912"/>
    <n v="53916"/>
    <n v="264"/>
    <s v="#EVRevolution"/>
    <m/>
    <m/>
    <s v="ModelYCampaign"/>
    <x v="1"/>
    <n v="8.0565268065268064E-2"/>
    <n v="4424"/>
  </r>
  <r>
    <s v="P123"/>
    <s v="Instagram"/>
    <d v="2024-06-14T00:00:00"/>
    <s v="Story"/>
    <s v="Check out our latest story on instagram!"/>
    <n v="4363"/>
    <n v="649"/>
    <n v="140"/>
    <n v="21815"/>
    <n v="21481"/>
    <n v="157"/>
    <s v="#EVRevolution"/>
    <m/>
    <m/>
    <s v="CybertruckLaunch"/>
    <x v="0"/>
    <n v="0.23616777446710979"/>
    <n v="5152"/>
  </r>
  <r>
    <s v="P124"/>
    <s v="YouTube"/>
    <d v="2025-04-06T00:00:00"/>
    <s v="Carousel"/>
    <s v="Check out our latest carousel on youtube!"/>
    <n v="736"/>
    <n v="771"/>
    <n v="225"/>
    <n v="5152"/>
    <n v="4706"/>
    <n v="19"/>
    <s v="#EVRevolution"/>
    <m/>
    <m/>
    <s v="CybertruckLaunch"/>
    <x v="0"/>
    <n v="0.33618012422360249"/>
    <n v="1732"/>
  </r>
  <r>
    <s v="P125"/>
    <s v="Twitter"/>
    <d v="2024-09-08T00:00:00"/>
    <s v="Carousel"/>
    <s v="Check out our latest carousel on twitter!"/>
    <n v="3811"/>
    <n v="866"/>
    <n v="216"/>
    <n v="34299"/>
    <n v="34088"/>
    <n v="233"/>
    <s v="#TeslaCoInnovation"/>
    <m/>
    <m/>
    <s v="SustainabilityDrive"/>
    <x v="3"/>
    <n v="0.14265722032712325"/>
    <n v="4893"/>
  </r>
  <r>
    <s v="P126"/>
    <s v="Instagram"/>
    <d v="2025-03-28T00:00:00"/>
    <s v="Carousel"/>
    <s v="Check out our latest carousel on instagram!"/>
    <n v="4158"/>
    <n v="167"/>
    <n v="241"/>
    <n v="45738"/>
    <n v="45183"/>
    <n v="142"/>
    <s v="#FutureOfDriving"/>
    <m/>
    <m/>
    <m/>
    <x v="3"/>
    <n v="9.9829463465827106E-2"/>
    <n v="4566"/>
  </r>
  <r>
    <s v="P127"/>
    <s v="Facebook"/>
    <d v="2025-01-27T00:00:00"/>
    <s v="Reel"/>
    <s v="Check out our latest reel on facebook!"/>
    <n v="3452"/>
    <n v="652"/>
    <n v="442"/>
    <n v="65588"/>
    <n v="65049"/>
    <n v="158"/>
    <s v="#FutureOfDriving"/>
    <m/>
    <m/>
    <s v="FSDUpdate"/>
    <x v="2"/>
    <n v="6.9311459413307311E-2"/>
    <n v="4546"/>
  </r>
  <r>
    <s v="P128"/>
    <s v="Twitter"/>
    <d v="2025-01-10T00:00:00"/>
    <s v="Image"/>
    <s v="Check out our latest image on twitter!"/>
    <n v="3092"/>
    <n v="106"/>
    <n v="291"/>
    <n v="27828"/>
    <n v="27217"/>
    <n v="102"/>
    <s v="#FutureOfDriving"/>
    <m/>
    <m/>
    <m/>
    <x v="3"/>
    <n v="0.12537731780940059"/>
    <n v="3489"/>
  </r>
  <r>
    <s v="P129"/>
    <s v="Twitter"/>
    <d v="2024-07-21T00:00:00"/>
    <s v="Text"/>
    <s v="Check out our latest text on twitter!"/>
    <n v="2147"/>
    <n v="430"/>
    <n v="393"/>
    <n v="17176"/>
    <n v="16483"/>
    <n v="170"/>
    <s v="#TeslaCoInnovation"/>
    <m/>
    <m/>
    <m/>
    <x v="1"/>
    <n v="0.17291569632044715"/>
    <n v="2970"/>
  </r>
  <r>
    <s v="P130"/>
    <s v="YouTube"/>
    <d v="2024-09-29T00:00:00"/>
    <s v="Reel"/>
    <s v="Check out our latest reel on youtube!"/>
    <n v="2936"/>
    <n v="439"/>
    <n v="44"/>
    <n v="38168"/>
    <n v="37571"/>
    <n v="22"/>
    <s v="#EVRevolution"/>
    <m/>
    <m/>
    <s v="SustainabilityDrive"/>
    <x v="3"/>
    <n v="8.9577656675749323E-2"/>
    <n v="3419"/>
  </r>
  <r>
    <s v="P131"/>
    <s v="Instagram"/>
    <d v="2024-10-21T00:00:00"/>
    <s v="Reel"/>
    <s v="Check out our latest reel on instagram!"/>
    <n v="4840"/>
    <n v="658"/>
    <n v="211"/>
    <n v="43560"/>
    <n v="43225"/>
    <n v="57"/>
    <s v="#FutureOfDriving"/>
    <m/>
    <m/>
    <s v="FSDUpdate"/>
    <x v="2"/>
    <n v="0.13106060606060607"/>
    <n v="5709"/>
  </r>
  <r>
    <s v="P132"/>
    <s v="Instagram"/>
    <d v="2025-03-04T00:00:00"/>
    <s v="Story"/>
    <s v="Check out our latest story on instagram!"/>
    <n v="1947"/>
    <n v="842"/>
    <n v="101"/>
    <n v="21417"/>
    <n v="20967"/>
    <n v="186"/>
    <s v="#FutureOfDriving"/>
    <m/>
    <m/>
    <s v="ModelYCampaign"/>
    <x v="1"/>
    <n v="0.13493953401503478"/>
    <n v="2890"/>
  </r>
  <r>
    <s v="P133"/>
    <s v="Facebook"/>
    <d v="2025-02-06T00:00:00"/>
    <s v="Image"/>
    <s v="Check out our latest image on facebook!"/>
    <n v="2072"/>
    <n v="532"/>
    <n v="71"/>
    <n v="37296"/>
    <n v="36467"/>
    <n v="25"/>
    <s v="#TeslaCoInnovation"/>
    <m/>
    <m/>
    <s v="SustainabilityDrive"/>
    <x v="3"/>
    <n v="7.172350922350923E-2"/>
    <n v="2675"/>
  </r>
  <r>
    <s v="P134"/>
    <s v="Twitter"/>
    <d v="2025-04-24T00:00:00"/>
    <s v="Reel"/>
    <s v="Check out our latest reel on twitter!"/>
    <n v="3731"/>
    <n v="115"/>
    <n v="135"/>
    <n v="55965"/>
    <n v="55436"/>
    <n v="103"/>
    <s v="#TeslaCoInnovation"/>
    <m/>
    <m/>
    <s v="CybertruckLaunch"/>
    <x v="0"/>
    <n v="7.1133744304476013E-2"/>
    <n v="3981"/>
  </r>
  <r>
    <s v="P135"/>
    <s v="Facebook"/>
    <d v="2024-11-28T00:00:00"/>
    <s v="Text"/>
    <s v="Check out our latest text on facebook!"/>
    <n v="4213"/>
    <n v="253"/>
    <n v="434"/>
    <n v="75834"/>
    <n v="75437"/>
    <n v="272"/>
    <s v="#FutureOfDriving"/>
    <m/>
    <m/>
    <s v="SustainabilityDrive"/>
    <x v="3"/>
    <n v="6.461481657304112E-2"/>
    <n v="4900"/>
  </r>
  <r>
    <s v="P136"/>
    <s v="Instagram"/>
    <d v="2024-07-11T00:00:00"/>
    <s v="Text"/>
    <s v="Check out our latest text on instagram!"/>
    <n v="3134"/>
    <n v="888"/>
    <n v="444"/>
    <n v="21938"/>
    <n v="21337"/>
    <n v="130"/>
    <s v="#EVRevolution"/>
    <m/>
    <m/>
    <s v="SustainabilityDrive"/>
    <x v="3"/>
    <n v="0.20357370772176134"/>
    <n v="4466"/>
  </r>
  <r>
    <s v="P137"/>
    <s v="Facebook"/>
    <d v="2024-07-31T00:00:00"/>
    <s v="Video"/>
    <s v="Check out our latest video on facebook!"/>
    <n v="3008"/>
    <n v="94"/>
    <n v="37"/>
    <n v="15040"/>
    <n v="14639"/>
    <n v="277"/>
    <s v="#FutureOfDriving"/>
    <m/>
    <m/>
    <m/>
    <x v="3"/>
    <n v="0.20871010638297871"/>
    <n v="3139"/>
  </r>
  <r>
    <s v="P138"/>
    <s v="Twitter"/>
    <d v="2025-03-29T00:00:00"/>
    <s v="Image"/>
    <s v="Check out our latest image on twitter!"/>
    <n v="305"/>
    <n v="187"/>
    <n v="243"/>
    <n v="4575"/>
    <n v="3704"/>
    <n v="234"/>
    <s v="#FutureOfDriving"/>
    <m/>
    <m/>
    <s v="FSDUpdate"/>
    <x v="2"/>
    <n v="0.16065573770491803"/>
    <n v="735"/>
  </r>
  <r>
    <s v="P139"/>
    <s v="YouTube"/>
    <d v="2024-10-29T00:00:00"/>
    <s v="Text"/>
    <s v="Check out our latest text on youtube!"/>
    <n v="2746"/>
    <n v="156"/>
    <n v="203"/>
    <n v="32952"/>
    <n v="32147"/>
    <n v="147"/>
    <s v="#EVRevolution"/>
    <m/>
    <m/>
    <s v="CybertruckLaunch"/>
    <x v="0"/>
    <n v="9.422796795338674E-2"/>
    <n v="3105"/>
  </r>
  <r>
    <s v="P140"/>
    <s v="Facebook"/>
    <d v="2024-07-15T00:00:00"/>
    <s v="Image"/>
    <s v="Check out our latest image on facebook!"/>
    <n v="2291"/>
    <n v="78"/>
    <n v="485"/>
    <n v="18328"/>
    <n v="18101"/>
    <n v="10"/>
    <s v="#EVRevolution"/>
    <s v="#SmoothLikeNitroTesla"/>
    <m/>
    <s v="ModelYCampaign"/>
    <x v="1"/>
    <n v="0.15571802706241816"/>
    <n v="2854"/>
  </r>
  <r>
    <s v="P141"/>
    <s v="Twitter"/>
    <d v="2024-08-31T00:00:00"/>
    <s v="Image"/>
    <s v="Check out our latest image on twitter!"/>
    <n v="3170"/>
    <n v="857"/>
    <n v="379"/>
    <n v="19020"/>
    <n v="18559"/>
    <n v="240"/>
    <s v="#FutureOfDriving"/>
    <m/>
    <m/>
    <m/>
    <x v="3"/>
    <n v="0.2316508937960042"/>
    <n v="4406"/>
  </r>
  <r>
    <s v="P142"/>
    <s v="YouTube"/>
    <d v="2025-03-25T00:00:00"/>
    <s v="Story"/>
    <s v="Check out our latest story on youtube!"/>
    <n v="2070"/>
    <n v="275"/>
    <n v="386"/>
    <n v="39330"/>
    <n v="38627"/>
    <n v="114"/>
    <s v="#FutureOfDriving"/>
    <m/>
    <m/>
    <s v="SustainabilityDrive"/>
    <x v="3"/>
    <n v="6.9438087973557078E-2"/>
    <n v="2731"/>
  </r>
  <r>
    <s v="P143"/>
    <s v="YouTube"/>
    <d v="2024-10-02T00:00:00"/>
    <s v="Carousel"/>
    <s v="Check out our latest carousel on youtube!"/>
    <n v="80"/>
    <n v="362"/>
    <n v="80"/>
    <n v="1040"/>
    <n v="349"/>
    <n v="117"/>
    <s v="#TeslaCoInnovation"/>
    <m/>
    <m/>
    <s v="FSDUpdate"/>
    <x v="2"/>
    <n v="0.50192307692307692"/>
    <n v="522"/>
  </r>
  <r>
    <s v="P144"/>
    <s v="YouTube"/>
    <d v="2024-10-28T00:00:00"/>
    <s v="Story"/>
    <s v="Check out our latest story on youtube!"/>
    <n v="4929"/>
    <n v="749"/>
    <n v="452"/>
    <n v="93651"/>
    <n v="92810"/>
    <n v="66"/>
    <s v="#EVRevolution"/>
    <m/>
    <m/>
    <s v="SustainabilityDrive"/>
    <x v="3"/>
    <n v="6.5455787978772245E-2"/>
    <n v="6130"/>
  </r>
  <r>
    <s v="P145"/>
    <s v="Instagram"/>
    <d v="2024-08-12T00:00:00"/>
    <s v="Carousel"/>
    <s v="Check out our latest carousel on instagram!"/>
    <n v="1878"/>
    <n v="62"/>
    <n v="179"/>
    <n v="37560"/>
    <n v="36874"/>
    <n v="142"/>
    <s v="#TeslaCoInnovation"/>
    <m/>
    <m/>
    <s v="SustainabilityDrive"/>
    <x v="3"/>
    <n v="5.6416400425985093E-2"/>
    <n v="2119"/>
  </r>
  <r>
    <s v="P146"/>
    <s v="YouTube"/>
    <d v="2024-06-05T00:00:00"/>
    <s v="Reel"/>
    <s v="Check out our latest reel on youtube!"/>
    <n v="3065"/>
    <n v="772"/>
    <n v="142"/>
    <n v="18390"/>
    <n v="17875"/>
    <n v="200"/>
    <s v="#EVRevolution"/>
    <s v="#AnytimeIsTeslaTime"/>
    <m/>
    <m/>
    <x v="0"/>
    <n v="0.21636759108210984"/>
    <n v="3979"/>
  </r>
  <r>
    <s v="P147"/>
    <s v="Instagram"/>
    <d v="2024-10-21T00:00:00"/>
    <s v="Reel"/>
    <s v="Check out our latest reel on instagram!"/>
    <n v="3256"/>
    <n v="459"/>
    <n v="266"/>
    <n v="26048"/>
    <n v="25529"/>
    <n v="143"/>
    <s v="#TeslaCoInnovation"/>
    <m/>
    <m/>
    <s v="ModelYCampaign"/>
    <x v="1"/>
    <n v="0.15283323095823095"/>
    <n v="3981"/>
  </r>
  <r>
    <s v="P148"/>
    <s v="Instagram"/>
    <d v="2025-04-15T00:00:00"/>
    <s v="Video"/>
    <s v="Check out our latest video on instagram!"/>
    <n v="4133"/>
    <n v="466"/>
    <n v="327"/>
    <n v="24798"/>
    <n v="24620"/>
    <n v="176"/>
    <s v="#EVRevolution"/>
    <m/>
    <m/>
    <s v="SustainabilityDrive"/>
    <x v="3"/>
    <n v="0.19864505202032423"/>
    <n v="4926"/>
  </r>
  <r>
    <s v="P149"/>
    <s v="Twitter"/>
    <d v="2024-06-16T00:00:00"/>
    <s v="Video"/>
    <s v="Check out our latest video on twitter!"/>
    <n v="1702"/>
    <n v="750"/>
    <n v="179"/>
    <n v="34040"/>
    <n v="33174"/>
    <n v="76"/>
    <s v="#EVRevolution"/>
    <m/>
    <m/>
    <s v="CybertruckLaunch"/>
    <x v="0"/>
    <n v="7.7291421856639245E-2"/>
    <n v="2631"/>
  </r>
  <r>
    <s v="P150"/>
    <s v="YouTube"/>
    <d v="2024-08-22T00:00:00"/>
    <s v="Carousel"/>
    <s v="Check out our latest carousel on youtube!"/>
    <n v="4295"/>
    <n v="853"/>
    <n v="325"/>
    <n v="85900"/>
    <n v="85788"/>
    <n v="290"/>
    <s v="#TeslaCoInnovation"/>
    <m/>
    <m/>
    <s v="SustainabilityDrive"/>
    <x v="3"/>
    <n v="6.3713620488940623E-2"/>
    <n v="5473"/>
  </r>
  <r>
    <s v="P151"/>
    <s v="Instagram"/>
    <d v="2024-07-26T00:00:00"/>
    <s v="Image"/>
    <s v="Check out our latest image on instagram!"/>
    <n v="3559"/>
    <n v="59"/>
    <n v="289"/>
    <n v="35590"/>
    <n v="35105"/>
    <n v="122"/>
    <s v="#EVRevolution"/>
    <m/>
    <m/>
    <s v="CybertruckLaunch"/>
    <x v="0"/>
    <n v="0.10977802753582468"/>
    <n v="3907"/>
  </r>
  <r>
    <s v="P152"/>
    <s v="Facebook"/>
    <d v="2025-04-22T00:00:00"/>
    <s v="Image"/>
    <s v="Check out our latest image on facebook!"/>
    <n v="4804"/>
    <n v="550"/>
    <n v="270"/>
    <n v="28824"/>
    <n v="28370"/>
    <n v="47"/>
    <s v="#EVRevolution"/>
    <m/>
    <m/>
    <s v="SustainabilityDrive"/>
    <x v="3"/>
    <n v="0.19511518179295032"/>
    <n v="5624"/>
  </r>
  <r>
    <s v="P153"/>
    <s v="Twitter"/>
    <d v="2025-01-01T00:00:00"/>
    <s v="Video"/>
    <s v="Check out our latest video on twitter!"/>
    <n v="754"/>
    <n v="197"/>
    <n v="257"/>
    <n v="6786"/>
    <n v="6221"/>
    <n v="212"/>
    <s v="#TeslaCoInnovation"/>
    <m/>
    <m/>
    <s v="FSDUpdate"/>
    <x v="2"/>
    <n v="0.17801355732390214"/>
    <n v="1208"/>
  </r>
  <r>
    <s v="P154"/>
    <s v="Instagram"/>
    <d v="2024-10-09T00:00:00"/>
    <s v="Carousel"/>
    <s v="Check out our latest carousel on instagram!"/>
    <n v="985"/>
    <n v="932"/>
    <n v="287"/>
    <n v="6895"/>
    <n v="6757"/>
    <n v="64"/>
    <s v="#FutureOfDriving"/>
    <m/>
    <m/>
    <s v="SustainabilityDrive"/>
    <x v="3"/>
    <n v="0.31965192168237855"/>
    <n v="2204"/>
  </r>
  <r>
    <s v="P155"/>
    <s v="YouTube"/>
    <d v="2024-12-21T00:00:00"/>
    <s v="Image"/>
    <s v="Check out our latest image on youtube!"/>
    <n v="2283"/>
    <n v="210"/>
    <n v="130"/>
    <n v="22830"/>
    <n v="22617"/>
    <n v="143"/>
    <s v="#FutureOfDriving"/>
    <m/>
    <m/>
    <s v="ModelYCampaign"/>
    <x v="1"/>
    <n v="0.11489268506351293"/>
    <n v="2623"/>
  </r>
  <r>
    <s v="P156"/>
    <s v="Facebook"/>
    <d v="2024-10-22T00:00:00"/>
    <s v="Carousel"/>
    <s v="Check out our latest carousel on facebook!"/>
    <n v="3352"/>
    <n v="941"/>
    <n v="482"/>
    <n v="43576"/>
    <n v="43338"/>
    <n v="240"/>
    <s v="#FutureOfDriving"/>
    <m/>
    <m/>
    <s v="ModelYCampaign"/>
    <x v="1"/>
    <n v="0.1095786671562328"/>
    <n v="4775"/>
  </r>
  <r>
    <s v="P157"/>
    <s v="YouTube"/>
    <d v="2024-07-23T00:00:00"/>
    <s v="Story"/>
    <s v="Check out our latest story on youtube!"/>
    <n v="4775"/>
    <n v="173"/>
    <n v="206"/>
    <n v="47750"/>
    <n v="47544"/>
    <n v="187"/>
    <s v="#FutureOfDriving"/>
    <m/>
    <m/>
    <s v="ModelYCampaign"/>
    <x v="1"/>
    <n v="0.10793717277486911"/>
    <n v="5154"/>
  </r>
  <r>
    <s v="P158"/>
    <s v="Instagram"/>
    <d v="2024-08-11T00:00:00"/>
    <s v="Story"/>
    <s v="Check out our latest story on instagram!"/>
    <n v="1762"/>
    <n v="405"/>
    <n v="423"/>
    <n v="22906"/>
    <n v="21925"/>
    <n v="25"/>
    <s v="#TeslaCoInnovation"/>
    <m/>
    <m/>
    <s v="CybertruckLaunch"/>
    <x v="0"/>
    <n v="0.11307081114118571"/>
    <n v="2590"/>
  </r>
  <r>
    <s v="P159"/>
    <s v="Facebook"/>
    <d v="2024-11-25T00:00:00"/>
    <s v="Story"/>
    <s v="Check out our latest story on facebook!"/>
    <n v="2120"/>
    <n v="158"/>
    <n v="488"/>
    <n v="12720"/>
    <n v="12085"/>
    <n v="17"/>
    <s v="#FutureOfDriving"/>
    <m/>
    <m/>
    <s v="ModelYCampaign"/>
    <x v="1"/>
    <n v="0.21745283018867925"/>
    <n v="2766"/>
  </r>
  <r>
    <s v="P160"/>
    <s v="Twitter"/>
    <d v="2024-08-24T00:00:00"/>
    <s v="Video"/>
    <s v="Check out our latest video on twitter!"/>
    <n v="1082"/>
    <n v="209"/>
    <n v="484"/>
    <n v="19476"/>
    <n v="18654"/>
    <n v="20"/>
    <s v="#TeslaCoInnovation"/>
    <m/>
    <m/>
    <m/>
    <x v="1"/>
    <n v="9.1137810638734856E-2"/>
    <n v="1775"/>
  </r>
  <r>
    <s v="P161"/>
    <s v="Twitter"/>
    <d v="2025-02-19T00:00:00"/>
    <s v="Text"/>
    <s v="Check out our latest text on twitter!"/>
    <n v="4671"/>
    <n v="876"/>
    <n v="366"/>
    <n v="51381"/>
    <n v="50565"/>
    <n v="245"/>
    <s v="#TeslaCoInnovation"/>
    <m/>
    <m/>
    <s v="SustainabilityDrive"/>
    <x v="3"/>
    <n v="0.11508145034156594"/>
    <n v="5913"/>
  </r>
  <r>
    <s v="P162"/>
    <s v="Facebook"/>
    <d v="2025-04-01T00:00:00"/>
    <s v="Story"/>
    <s v="Check out our latest story on facebook!"/>
    <n v="3430"/>
    <n v="566"/>
    <n v="164"/>
    <n v="48020"/>
    <n v="47305"/>
    <n v="120"/>
    <s v="#FutureOfDriving"/>
    <m/>
    <m/>
    <m/>
    <x v="3"/>
    <n v="8.6630570595585168E-2"/>
    <n v="4160"/>
  </r>
  <r>
    <s v="P163"/>
    <s v="Instagram"/>
    <d v="2025-04-08T00:00:00"/>
    <s v="Image"/>
    <s v="Check out our latest image on instagram!"/>
    <n v="4501"/>
    <n v="375"/>
    <n v="323"/>
    <n v="22505"/>
    <n v="21836"/>
    <n v="132"/>
    <s v="#TeslaCoInnovation"/>
    <m/>
    <m/>
    <s v="ModelYCampaign"/>
    <x v="1"/>
    <n v="0.23101532992668297"/>
    <n v="5199"/>
  </r>
  <r>
    <s v="P164"/>
    <s v="YouTube"/>
    <d v="2025-02-27T00:00:00"/>
    <s v="Text"/>
    <s v="Check out our latest text on youtube!"/>
    <n v="4934"/>
    <n v="971"/>
    <n v="156"/>
    <n v="39472"/>
    <n v="39025"/>
    <n v="169"/>
    <s v="#TeslaCoInnovation"/>
    <s v="#AnytimeIsTeslaTime"/>
    <m/>
    <s v="SustainabilityDrive"/>
    <x v="3"/>
    <n v="0.15355188488042157"/>
    <n v="6061"/>
  </r>
  <r>
    <s v="P165"/>
    <s v="Twitter"/>
    <d v="2024-12-11T00:00:00"/>
    <s v="Text"/>
    <s v="Check out our latest text on twitter!"/>
    <n v="3239"/>
    <n v="43"/>
    <n v="211"/>
    <n v="22673"/>
    <n v="22171"/>
    <n v="230"/>
    <s v="#TeslaCoInnovation"/>
    <m/>
    <m/>
    <s v="ModelYCampaign"/>
    <x v="1"/>
    <n v="0.15405989502933004"/>
    <n v="3493"/>
  </r>
  <r>
    <s v="P166"/>
    <s v="Twitter"/>
    <d v="2025-02-16T00:00:00"/>
    <s v="Reel"/>
    <s v="Check out our latest reel on twitter!"/>
    <n v="1076"/>
    <n v="313"/>
    <n v="306"/>
    <n v="11836"/>
    <n v="11596"/>
    <n v="104"/>
    <s v="#FutureOfDriving"/>
    <m/>
    <m/>
    <s v="CybertruckLaunch"/>
    <x v="0"/>
    <n v="0.14320716458262928"/>
    <n v="1695"/>
  </r>
  <r>
    <s v="P167"/>
    <s v="Instagram"/>
    <d v="2024-11-28T00:00:00"/>
    <s v="Text"/>
    <s v="Check out our latest text on instagram!"/>
    <n v="4771"/>
    <n v="818"/>
    <n v="56"/>
    <n v="57252"/>
    <n v="56378"/>
    <n v="150"/>
    <s v="#FutureOfDriving"/>
    <m/>
    <m/>
    <m/>
    <x v="3"/>
    <n v="9.859917557465242E-2"/>
    <n v="5645"/>
  </r>
  <r>
    <s v="P168"/>
    <s v="Facebook"/>
    <d v="2024-11-12T00:00:00"/>
    <s v="Text"/>
    <s v="Check out our latest text on facebook!"/>
    <n v="2418"/>
    <n v="754"/>
    <n v="54"/>
    <n v="43524"/>
    <n v="42743"/>
    <n v="182"/>
    <s v="#EVRevolution"/>
    <m/>
    <m/>
    <s v="CybertruckLaunch"/>
    <x v="0"/>
    <n v="7.412002573292896E-2"/>
    <n v="3226"/>
  </r>
  <r>
    <s v="P169"/>
    <s v="YouTube"/>
    <d v="2024-12-03T00:00:00"/>
    <s v="Video"/>
    <s v="Check out our latest video on youtube!"/>
    <n v="3809"/>
    <n v="273"/>
    <n v="200"/>
    <n v="34281"/>
    <n v="33534"/>
    <n v="83"/>
    <s v="#EVRevolution"/>
    <m/>
    <m/>
    <s v="CybertruckLaunch"/>
    <x v="0"/>
    <n v="0.12490884163239112"/>
    <n v="4282"/>
  </r>
  <r>
    <s v="P170"/>
    <s v="Twitter"/>
    <d v="2025-04-28T00:00:00"/>
    <s v="Text"/>
    <s v="Check out our latest text on twitter!"/>
    <n v="3577"/>
    <n v="596"/>
    <n v="493"/>
    <n v="67963"/>
    <n v="67839"/>
    <n v="53"/>
    <s v="#TeslaCoInnovation"/>
    <m/>
    <m/>
    <s v="FSDUpdate"/>
    <x v="2"/>
    <n v="6.8655003457763777E-2"/>
    <n v="4666"/>
  </r>
  <r>
    <s v="P171"/>
    <s v="YouTube"/>
    <d v="2024-12-31T00:00:00"/>
    <s v="Video"/>
    <s v="Check out our latest video on youtube!"/>
    <n v="1018"/>
    <n v="447"/>
    <n v="332"/>
    <n v="18324"/>
    <n v="18164"/>
    <n v="38"/>
    <s v="#FutureOfDriving"/>
    <m/>
    <m/>
    <s v="ModelYCampaign"/>
    <x v="1"/>
    <n v="9.8068107400130972E-2"/>
    <n v="1797"/>
  </r>
  <r>
    <s v="P172"/>
    <s v="Facebook"/>
    <d v="2024-08-14T00:00:00"/>
    <s v="Carousel"/>
    <s v="Check out our latest carousel on facebook!"/>
    <n v="3073"/>
    <n v="553"/>
    <n v="174"/>
    <n v="52241"/>
    <n v="51605"/>
    <n v="246"/>
    <s v="#EVRevolution"/>
    <m/>
    <m/>
    <s v="FSDUpdate"/>
    <x v="2"/>
    <n v="7.2739802071170159E-2"/>
    <n v="3800"/>
  </r>
  <r>
    <s v="P173"/>
    <s v="Twitter"/>
    <d v="2024-12-05T00:00:00"/>
    <s v="Video"/>
    <s v="Check out our latest video on twitter!"/>
    <n v="1330"/>
    <n v="925"/>
    <n v="35"/>
    <n v="15960"/>
    <n v="15379"/>
    <n v="229"/>
    <s v="#FutureOfDriving"/>
    <m/>
    <m/>
    <s v="FSDUpdate"/>
    <x v="2"/>
    <n v="0.14348370927318296"/>
    <n v="2290"/>
  </r>
  <r>
    <s v="P174"/>
    <s v="Facebook"/>
    <d v="2024-06-22T00:00:00"/>
    <s v="Text"/>
    <s v="Check out our latest text on facebook!"/>
    <n v="3828"/>
    <n v="148"/>
    <n v="253"/>
    <n v="30624"/>
    <n v="30229"/>
    <n v="235"/>
    <s v="#EVRevolution"/>
    <m/>
    <m/>
    <m/>
    <x v="0"/>
    <n v="0.13809430512016718"/>
    <n v="4229"/>
  </r>
  <r>
    <s v="P175"/>
    <s v="Instagram"/>
    <d v="2025-01-17T00:00:00"/>
    <s v="Reel"/>
    <s v="Check out our latest reel on instagram!"/>
    <n v="142"/>
    <n v="784"/>
    <n v="183"/>
    <n v="1704"/>
    <n v="995"/>
    <n v="154"/>
    <s v="#FutureOfDriving"/>
    <m/>
    <m/>
    <s v="SustainabilityDrive"/>
    <x v="3"/>
    <n v="0.6508215962441315"/>
    <n v="1109"/>
  </r>
  <r>
    <s v="P176"/>
    <s v="Facebook"/>
    <d v="2024-06-20T00:00:00"/>
    <s v="Video"/>
    <s v="Check out our latest video on facebook!"/>
    <n v="3798"/>
    <n v="31"/>
    <n v="279"/>
    <n v="75960"/>
    <n v="75813"/>
    <n v="266"/>
    <s v="#TeslaCoInnovation"/>
    <m/>
    <m/>
    <s v="CybertruckLaunch"/>
    <x v="0"/>
    <n v="5.4081095313322801E-2"/>
    <n v="4108"/>
  </r>
  <r>
    <s v="P177"/>
    <s v="Instagram"/>
    <d v="2024-07-10T00:00:00"/>
    <s v="Carousel"/>
    <s v="Check out our latest carousel on instagram!"/>
    <n v="3099"/>
    <n v="694"/>
    <n v="171"/>
    <n v="43386"/>
    <n v="42921"/>
    <n v="52"/>
    <s v="#TeslaCoInnovation"/>
    <m/>
    <m/>
    <s v="FSDUpdate"/>
    <x v="2"/>
    <n v="9.1365878393951966E-2"/>
    <n v="3964"/>
  </r>
  <r>
    <s v="P178"/>
    <s v="Instagram"/>
    <d v="2024-11-07T00:00:00"/>
    <s v="Video"/>
    <s v="Check out our latest video on instagram!"/>
    <n v="129"/>
    <n v="643"/>
    <n v="136"/>
    <n v="1290"/>
    <n v="839"/>
    <n v="238"/>
    <s v="#TeslaCoInnovation"/>
    <m/>
    <m/>
    <s v="SustainabilityDrive"/>
    <x v="3"/>
    <n v="0.70387596899224802"/>
    <n v="908"/>
  </r>
  <r>
    <s v="P179"/>
    <s v="Facebook"/>
    <d v="2024-07-15T00:00:00"/>
    <s v="Carousel"/>
    <s v="Check out our latest carousel on facebook!"/>
    <n v="3796"/>
    <n v="667"/>
    <n v="395"/>
    <n v="64532"/>
    <n v="63550"/>
    <n v="292"/>
    <s v="#TeslaCoInnovation"/>
    <m/>
    <m/>
    <m/>
    <x v="1"/>
    <n v="7.5280481001673588E-2"/>
    <n v="4858"/>
  </r>
  <r>
    <s v="P180"/>
    <s v="YouTube"/>
    <d v="2024-12-03T00:00:00"/>
    <s v="Text"/>
    <s v="Check out our latest text on youtube!"/>
    <n v="3711"/>
    <n v="352"/>
    <n v="290"/>
    <n v="48243"/>
    <n v="47579"/>
    <n v="11"/>
    <s v="#TeslaCoInnovation"/>
    <m/>
    <m/>
    <s v="CybertruckLaunch"/>
    <x v="0"/>
    <n v="9.023070704558174E-2"/>
    <n v="4353"/>
  </r>
  <r>
    <s v="P181"/>
    <s v="YouTube"/>
    <d v="2025-03-21T00:00:00"/>
    <s v="Image"/>
    <s v="Check out our latest image on youtube!"/>
    <n v="606"/>
    <n v="789"/>
    <n v="470"/>
    <n v="7878"/>
    <n v="7389"/>
    <n v="239"/>
    <s v="#EVRevolution"/>
    <m/>
    <m/>
    <s v="FSDUpdate"/>
    <x v="2"/>
    <n v="0.23673521198273673"/>
    <n v="1865"/>
  </r>
  <r>
    <s v="P182"/>
    <s v="Facebook"/>
    <d v="2024-07-31T00:00:00"/>
    <s v="Image"/>
    <s v="Check out our latest image on facebook!"/>
    <n v="4689"/>
    <n v="134"/>
    <n v="403"/>
    <n v="51579"/>
    <n v="50924"/>
    <n v="173"/>
    <s v="#TeslaCoInnovation"/>
    <m/>
    <m/>
    <s v="SustainabilityDrive"/>
    <x v="3"/>
    <n v="0.10132030477519921"/>
    <n v="5226"/>
  </r>
  <r>
    <s v="P183"/>
    <s v="Instagram"/>
    <d v="2024-12-17T00:00:00"/>
    <s v="Story"/>
    <s v="Check out our latest story on instagram!"/>
    <n v="360"/>
    <n v="590"/>
    <n v="393"/>
    <n v="4680"/>
    <n v="4322"/>
    <n v="208"/>
    <s v="#FutureOfDriving"/>
    <m/>
    <m/>
    <s v="ModelYCampaign"/>
    <x v="1"/>
    <n v="0.28696581196581195"/>
    <n v="1343"/>
  </r>
  <r>
    <s v="P184"/>
    <s v="Twitter"/>
    <d v="2024-07-28T00:00:00"/>
    <s v="Image"/>
    <s v="Check out our latest image on twitter!"/>
    <n v="3215"/>
    <n v="960"/>
    <n v="202"/>
    <n v="32150"/>
    <n v="31404"/>
    <n v="251"/>
    <s v="#EVRevolution"/>
    <m/>
    <m/>
    <s v="CybertruckLaunch"/>
    <x v="0"/>
    <n v="0.13614307931570763"/>
    <n v="4377"/>
  </r>
  <r>
    <s v="P185"/>
    <s v="Instagram"/>
    <d v="2025-01-11T00:00:00"/>
    <s v="Carousel"/>
    <s v="Check out our latest carousel on instagram!"/>
    <n v="4523"/>
    <n v="61"/>
    <n v="157"/>
    <n v="49753"/>
    <n v="49329"/>
    <n v="71"/>
    <s v="#EVRevolution"/>
    <m/>
    <m/>
    <m/>
    <x v="0"/>
    <n v="9.5290736237010829E-2"/>
    <n v="4741"/>
  </r>
  <r>
    <s v="P186"/>
    <s v="Facebook"/>
    <d v="2024-08-24T00:00:00"/>
    <s v="Carousel"/>
    <s v="Check out our latest carousel on facebook!"/>
    <n v="4292"/>
    <n v="51"/>
    <n v="392"/>
    <n v="55796"/>
    <n v="54826"/>
    <n v="264"/>
    <s v="#EVRevolution"/>
    <m/>
    <m/>
    <s v="FSDUpdate"/>
    <x v="2"/>
    <n v="8.4862714173059003E-2"/>
    <n v="4735"/>
  </r>
  <r>
    <s v="P187"/>
    <s v="Twitter"/>
    <d v="2024-12-22T00:00:00"/>
    <s v="Reel"/>
    <s v="Check out our latest reel on twitter!"/>
    <n v="1644"/>
    <n v="546"/>
    <n v="150"/>
    <n v="27948"/>
    <n v="27184"/>
    <n v="300"/>
    <s v="#EVRevolution"/>
    <m/>
    <m/>
    <s v="FSDUpdate"/>
    <x v="2"/>
    <n v="8.3726921425504502E-2"/>
    <n v="2340"/>
  </r>
  <r>
    <s v="P188"/>
    <s v="YouTube"/>
    <d v="2024-06-06T00:00:00"/>
    <s v="Reel"/>
    <s v="Check out our latest reel on youtube!"/>
    <n v="2728"/>
    <n v="533"/>
    <n v="215"/>
    <n v="40920"/>
    <n v="40816"/>
    <n v="137"/>
    <s v="#FutureOfDriving"/>
    <m/>
    <m/>
    <s v="ModelYCampaign"/>
    <x v="1"/>
    <n v="8.4946236559139784E-2"/>
    <n v="3476"/>
  </r>
  <r>
    <s v="P189"/>
    <s v="Facebook"/>
    <d v="2025-03-24T00:00:00"/>
    <s v="Reel"/>
    <s v="Check out our latest reel on facebook!"/>
    <n v="3360"/>
    <n v="525"/>
    <n v="500"/>
    <n v="60480"/>
    <n v="59610"/>
    <n v="192"/>
    <s v="#TeslaCoInnovation"/>
    <m/>
    <m/>
    <s v="CybertruckLaunch"/>
    <x v="0"/>
    <n v="7.2503306878306875E-2"/>
    <n v="4385"/>
  </r>
  <r>
    <s v="P190"/>
    <s v="YouTube"/>
    <d v="2024-10-04T00:00:00"/>
    <s v="Text"/>
    <s v="Check out our latest text on youtube!"/>
    <n v="1963"/>
    <n v="213"/>
    <n v="19"/>
    <n v="39260"/>
    <n v="38771"/>
    <n v="145"/>
    <s v="#FutureOfDriving"/>
    <m/>
    <m/>
    <m/>
    <x v="3"/>
    <n v="5.5909322465613857E-2"/>
    <n v="2195"/>
  </r>
  <r>
    <s v="P191"/>
    <s v="YouTube"/>
    <d v="2024-12-03T00:00:00"/>
    <s v="Story"/>
    <s v="Check out our latest story on youtube!"/>
    <n v="4285"/>
    <n v="886"/>
    <n v="376"/>
    <n v="55705"/>
    <n v="55556"/>
    <n v="51"/>
    <s v="#FutureOfDriving"/>
    <m/>
    <m/>
    <s v="FSDUpdate"/>
    <x v="2"/>
    <n v="9.9578134817341346E-2"/>
    <n v="5547"/>
  </r>
  <r>
    <s v="P192"/>
    <s v="Instagram"/>
    <d v="2024-11-29T00:00:00"/>
    <s v="Video"/>
    <s v="Check out our latest video on instagram!"/>
    <n v="1176"/>
    <n v="464"/>
    <n v="394"/>
    <n v="14112"/>
    <n v="13588"/>
    <n v="272"/>
    <s v="#EVRevolution"/>
    <m/>
    <m/>
    <m/>
    <x v="0"/>
    <n v="0.1441326530612245"/>
    <n v="2034"/>
  </r>
  <r>
    <s v="P193"/>
    <s v="Twitter"/>
    <d v="2024-09-11T00:00:00"/>
    <s v="Image"/>
    <s v="Check out our latest image on twitter!"/>
    <n v="4858"/>
    <n v="317"/>
    <n v="129"/>
    <n v="53438"/>
    <n v="52687"/>
    <n v="223"/>
    <s v="#EVRevolution"/>
    <m/>
    <m/>
    <s v="FSDUpdate"/>
    <x v="2"/>
    <n v="9.9255211647142488E-2"/>
    <n v="5304"/>
  </r>
  <r>
    <s v="P194"/>
    <s v="YouTube"/>
    <d v="2024-10-02T00:00:00"/>
    <s v="Story"/>
    <s v="Check out our latest story on youtube!"/>
    <n v="4350"/>
    <n v="771"/>
    <n v="7"/>
    <n v="60900"/>
    <n v="60592"/>
    <n v="195"/>
    <s v="#EVRevolution"/>
    <m/>
    <m/>
    <s v="CybertruckLaunch"/>
    <x v="0"/>
    <n v="8.4203612479474554E-2"/>
    <n v="5128"/>
  </r>
  <r>
    <s v="P195"/>
    <s v="Instagram"/>
    <d v="2024-08-15T00:00:00"/>
    <s v="Carousel"/>
    <s v="Check out our latest carousel on instagram!"/>
    <n v="914"/>
    <n v="464"/>
    <n v="246"/>
    <n v="11882"/>
    <n v="11500"/>
    <n v="282"/>
    <s v="#FutureOfDriving"/>
    <s v="#TeslaCoInnovation"/>
    <s v="#AnytimeIsTeslaTime"/>
    <s v="SustainabilityDrive"/>
    <x v="3"/>
    <n v="0.13667732704931829"/>
    <n v="1624"/>
  </r>
  <r>
    <s v="P196"/>
    <s v="Instagram"/>
    <d v="2024-12-19T00:00:00"/>
    <s v="Text"/>
    <s v="Check out our latest text on instagram!"/>
    <n v="1813"/>
    <n v="623"/>
    <n v="72"/>
    <n v="19943"/>
    <n v="18959"/>
    <n v="85"/>
    <s v="#EVRevolution"/>
    <m/>
    <m/>
    <s v="FSDUpdate"/>
    <x v="2"/>
    <n v="0.12575841147269717"/>
    <n v="2508"/>
  </r>
  <r>
    <s v="P197"/>
    <s v="Twitter"/>
    <d v="2024-10-22T00:00:00"/>
    <s v="Reel"/>
    <s v="Check out our latest reel on twitter!"/>
    <n v="4782"/>
    <n v="721"/>
    <n v="82"/>
    <n v="86076"/>
    <n v="85339"/>
    <n v="19"/>
    <s v="#EVRevolution"/>
    <m/>
    <m/>
    <s v="CybertruckLaunch"/>
    <x v="0"/>
    <n v="6.4884520656164318E-2"/>
    <n v="5585"/>
  </r>
  <r>
    <s v="P198"/>
    <s v="Twitter"/>
    <d v="2024-09-14T00:00:00"/>
    <s v="Image"/>
    <s v="Check out our latest image on twitter!"/>
    <n v="1048"/>
    <n v="374"/>
    <n v="450"/>
    <n v="9432"/>
    <n v="8882"/>
    <n v="158"/>
    <s v="#TeslaCoInnovation"/>
    <m/>
    <m/>
    <s v="FSDUpdate"/>
    <x v="2"/>
    <n v="0.19847328244274809"/>
    <n v="1872"/>
  </r>
  <r>
    <s v="P199"/>
    <s v="YouTube"/>
    <d v="2024-11-30T00:00:00"/>
    <s v="Carousel"/>
    <s v="Check out our latest carousel on youtube!"/>
    <n v="2509"/>
    <n v="324"/>
    <n v="171"/>
    <n v="35126"/>
    <n v="34685"/>
    <n v="277"/>
    <s v="#TeslaCoInnovation"/>
    <m/>
    <m/>
    <s v="ModelYCampaign"/>
    <x v="1"/>
    <n v="8.5520696919660646E-2"/>
    <n v="3004"/>
  </r>
  <r>
    <s v="P200"/>
    <s v="Facebook"/>
    <d v="2025-04-07T00:00:00"/>
    <s v="Reel"/>
    <s v="Check out our latest reel on facebook!"/>
    <n v="3718"/>
    <n v="385"/>
    <n v="310"/>
    <n v="70642"/>
    <n v="69749"/>
    <n v="233"/>
    <s v="#TeslaCoInnovation"/>
    <m/>
    <m/>
    <s v="ModelYCampaign"/>
    <x v="1"/>
    <n v="6.246991874522239E-2"/>
    <n v="4413"/>
  </r>
  <r>
    <s v="P201"/>
    <s v="Twitter"/>
    <d v="2025-01-15T00:00:00"/>
    <s v="Reel"/>
    <s v="Check out our latest reel on twitter!"/>
    <n v="802"/>
    <n v="262"/>
    <n v="244"/>
    <n v="14436"/>
    <n v="14280"/>
    <n v="49"/>
    <s v="#EVRevolution"/>
    <m/>
    <m/>
    <s v="CybertruckLaunch"/>
    <x v="0"/>
    <n v="9.0606816292601824E-2"/>
    <n v="1308"/>
  </r>
  <r>
    <s v="P202"/>
    <s v="Facebook"/>
    <d v="2024-06-02T00:00:00"/>
    <s v="Image"/>
    <s v="Check out our latest image on facebook!"/>
    <n v="1871"/>
    <n v="252"/>
    <n v="335"/>
    <n v="29936"/>
    <n v="29576"/>
    <n v="288"/>
    <s v="#EVRevolution"/>
    <m/>
    <m/>
    <s v="FSDUpdate"/>
    <x v="2"/>
    <n v="8.2108498129342594E-2"/>
    <n v="2458"/>
  </r>
  <r>
    <s v="P203"/>
    <s v="Instagram"/>
    <d v="2024-11-21T00:00:00"/>
    <s v="Carousel"/>
    <s v="Check out our latest carousel on instagram!"/>
    <n v="3773"/>
    <n v="299"/>
    <n v="38"/>
    <n v="71687"/>
    <n v="71447"/>
    <n v="286"/>
    <s v="#FutureOfDriving"/>
    <m/>
    <m/>
    <s v="CybertruckLaunch"/>
    <x v="0"/>
    <n v="5.7332570758993957E-2"/>
    <n v="4110"/>
  </r>
  <r>
    <s v="P204"/>
    <s v="Instagram"/>
    <d v="2025-01-01T00:00:00"/>
    <s v="Carousel"/>
    <s v="Check out our latest carousel on instagram!"/>
    <n v="2234"/>
    <n v="653"/>
    <n v="432"/>
    <n v="11170"/>
    <n v="10569"/>
    <n v="198"/>
    <s v="#FutureOfDriving"/>
    <m/>
    <m/>
    <s v="FSDUpdate"/>
    <x v="2"/>
    <n v="0.29713518352730528"/>
    <n v="3319"/>
  </r>
  <r>
    <s v="P205"/>
    <s v="Twitter"/>
    <d v="2025-04-24T00:00:00"/>
    <s v="Video"/>
    <s v="Check out our latest video on twitter!"/>
    <n v="3820"/>
    <n v="697"/>
    <n v="268"/>
    <n v="45840"/>
    <n v="45631"/>
    <n v="171"/>
    <s v="#TeslaCoInnovation"/>
    <s v="#SmoothLikeNitroTesla"/>
    <m/>
    <s v="SustainabilityDrive"/>
    <x v="3"/>
    <n v="0.1043848167539267"/>
    <n v="4785"/>
  </r>
  <r>
    <s v="P206"/>
    <s v="Twitter"/>
    <d v="2024-06-24T00:00:00"/>
    <s v="Text"/>
    <s v="Check out our latest text on twitter!"/>
    <n v="941"/>
    <n v="121"/>
    <n v="458"/>
    <n v="14115"/>
    <n v="13838"/>
    <n v="87"/>
    <s v="#EVRevolution"/>
    <m/>
    <m/>
    <s v="CybertruckLaunch"/>
    <x v="0"/>
    <n v="0.10768685795253277"/>
    <n v="1520"/>
  </r>
  <r>
    <s v="P207"/>
    <s v="Twitter"/>
    <d v="2024-12-29T00:00:00"/>
    <s v="Carousel"/>
    <s v="Check out our latest carousel on twitter!"/>
    <n v="4274"/>
    <n v="340"/>
    <n v="281"/>
    <n v="34192"/>
    <n v="33446"/>
    <n v="129"/>
    <s v="#TeslaCoInnovation"/>
    <s v="#SmoothLikeNitroTesla"/>
    <m/>
    <s v="FSDUpdate"/>
    <x v="2"/>
    <n v="0.14316214319138981"/>
    <n v="4895"/>
  </r>
  <r>
    <s v="P208"/>
    <s v="YouTube"/>
    <d v="2024-06-24T00:00:00"/>
    <s v="Video"/>
    <s v="Check out our latest video on youtube!"/>
    <n v="2949"/>
    <n v="476"/>
    <n v="403"/>
    <n v="44235"/>
    <n v="43705"/>
    <n v="135"/>
    <s v="#TeslaCoInnovation"/>
    <m/>
    <m/>
    <s v="ModelYCampaign"/>
    <x v="1"/>
    <n v="8.6537809426924378E-2"/>
    <n v="3828"/>
  </r>
  <r>
    <s v="P209"/>
    <s v="Twitter"/>
    <d v="2025-03-19T00:00:00"/>
    <s v="Video"/>
    <s v="Check out our latest video on twitter!"/>
    <n v="3160"/>
    <n v="204"/>
    <n v="297"/>
    <n v="44240"/>
    <n v="43666"/>
    <n v="49"/>
    <s v="#FutureOfDriving"/>
    <s v="#AnytimeIsTeslaTime"/>
    <m/>
    <s v="SustainabilityDrive"/>
    <x v="3"/>
    <n v="8.2753164556962022E-2"/>
    <n v="3661"/>
  </r>
  <r>
    <s v="P210"/>
    <s v="YouTube"/>
    <d v="2025-02-19T00:00:00"/>
    <s v="Image"/>
    <s v="Check out our latest image on youtube!"/>
    <n v="257"/>
    <n v="966"/>
    <n v="398"/>
    <n v="3341"/>
    <n v="2753"/>
    <n v="287"/>
    <s v="#FutureOfDriving"/>
    <m/>
    <m/>
    <s v="CybertruckLaunch"/>
    <x v="0"/>
    <n v="0.48518407662376534"/>
    <n v="1621"/>
  </r>
  <r>
    <s v="P211"/>
    <s v="Twitter"/>
    <d v="2024-07-18T00:00:00"/>
    <s v="Carousel"/>
    <s v="Check out our latest carousel on twitter!"/>
    <n v="2120"/>
    <n v="38"/>
    <n v="212"/>
    <n v="12720"/>
    <n v="12564"/>
    <n v="21"/>
    <s v="#FutureOfDriving"/>
    <m/>
    <m/>
    <s v="SustainabilityDrive"/>
    <x v="3"/>
    <n v="0.18632075471698112"/>
    <n v="2370"/>
  </r>
  <r>
    <s v="P212"/>
    <s v="YouTube"/>
    <d v="2025-03-03T00:00:00"/>
    <s v="Video"/>
    <s v="Check out our latest video on youtube!"/>
    <n v="3874"/>
    <n v="884"/>
    <n v="19"/>
    <n v="38740"/>
    <n v="38552"/>
    <n v="219"/>
    <s v="#TeslaCoInnovation"/>
    <m/>
    <m/>
    <s v="ModelYCampaign"/>
    <x v="1"/>
    <n v="0.123309241094476"/>
    <n v="4777"/>
  </r>
  <r>
    <s v="P213"/>
    <s v="Facebook"/>
    <d v="2025-05-01T00:00:00"/>
    <s v="Carousel"/>
    <s v="Check out our latest carousel on facebook!"/>
    <n v="2696"/>
    <n v="628"/>
    <n v="443"/>
    <n v="45832"/>
    <n v="45632"/>
    <n v="248"/>
    <s v="#EVRevolution"/>
    <m/>
    <m/>
    <s v="SustainabilityDrive"/>
    <x v="3"/>
    <n v="8.21914819340199E-2"/>
    <n v="3767"/>
  </r>
  <r>
    <s v="P214"/>
    <s v="Instagram"/>
    <d v="2024-12-23T00:00:00"/>
    <s v="Image"/>
    <s v="Check out our latest image on instagram!"/>
    <n v="521"/>
    <n v="746"/>
    <n v="315"/>
    <n v="4168"/>
    <n v="3399"/>
    <n v="282"/>
    <s v="#FutureOfDriving"/>
    <m/>
    <m/>
    <s v="ModelYCampaign"/>
    <x v="1"/>
    <n v="0.37955854126679461"/>
    <n v="1582"/>
  </r>
  <r>
    <s v="P215"/>
    <s v="Facebook"/>
    <d v="2025-05-06T00:00:00"/>
    <s v="Image"/>
    <s v="Check out our latest image on facebook!"/>
    <n v="4872"/>
    <n v="925"/>
    <n v="176"/>
    <n v="82824"/>
    <n v="82543"/>
    <n v="89"/>
    <s v="#EVRevolution"/>
    <m/>
    <m/>
    <s v="ModelYCampaign"/>
    <x v="1"/>
    <n v="7.2116777745580993E-2"/>
    <n v="5973"/>
  </r>
  <r>
    <s v="P216"/>
    <s v="YouTube"/>
    <d v="2024-07-29T00:00:00"/>
    <s v="Story"/>
    <s v="Check out our latest story on youtube!"/>
    <n v="1509"/>
    <n v="88"/>
    <n v="163"/>
    <n v="30180"/>
    <n v="29689"/>
    <n v="119"/>
    <s v="#EVRevolution"/>
    <m/>
    <m/>
    <s v="ModelYCampaign"/>
    <x v="1"/>
    <n v="5.8316766070245198E-2"/>
    <n v="1760"/>
  </r>
  <r>
    <s v="P217"/>
    <s v="Facebook"/>
    <d v="2024-12-03T00:00:00"/>
    <s v="Image"/>
    <s v="Check out our latest image on facebook!"/>
    <n v="4606"/>
    <n v="931"/>
    <n v="230"/>
    <n v="92120"/>
    <n v="91440"/>
    <n v="56"/>
    <s v="#TeslaCoInnovation"/>
    <m/>
    <m/>
    <m/>
    <x v="1"/>
    <n v="6.2603126356925748E-2"/>
    <n v="5767"/>
  </r>
  <r>
    <s v="P218"/>
    <s v="Facebook"/>
    <d v="2024-06-11T00:00:00"/>
    <s v="Carousel"/>
    <s v="Check out our latest carousel on facebook!"/>
    <n v="1869"/>
    <n v="453"/>
    <n v="490"/>
    <n v="14952"/>
    <n v="14309"/>
    <n v="275"/>
    <s v="#TeslaCoInnovation"/>
    <m/>
    <m/>
    <s v="SustainabilityDrive"/>
    <x v="3"/>
    <n v="0.18806848582129482"/>
    <n v="2812"/>
  </r>
  <r>
    <s v="P219"/>
    <s v="Twitter"/>
    <d v="2025-01-28T00:00:00"/>
    <s v="Reel"/>
    <s v="Check out our latest reel on twitter!"/>
    <n v="1188"/>
    <n v="470"/>
    <n v="174"/>
    <n v="7128"/>
    <n v="6145"/>
    <n v="270"/>
    <s v="#TeslaCoInnovation"/>
    <m/>
    <m/>
    <s v="SustainabilityDrive"/>
    <x v="3"/>
    <n v="0.25701459034792368"/>
    <n v="1832"/>
  </r>
  <r>
    <s v="P220"/>
    <s v="Instagram"/>
    <d v="2024-06-02T00:00:00"/>
    <s v="Story"/>
    <s v="Check out our latest story on instagram!"/>
    <n v="84"/>
    <n v="897"/>
    <n v="85"/>
    <n v="588"/>
    <n v="8"/>
    <n v="12"/>
    <s v="#EVRevolution"/>
    <m/>
    <m/>
    <m/>
    <x v="0"/>
    <n v="1.8129251700680271"/>
    <n v="1066"/>
  </r>
  <r>
    <s v="P221"/>
    <s v="Facebook"/>
    <d v="2025-03-23T00:00:00"/>
    <s v="Video"/>
    <s v="Check out our latest video on facebook!"/>
    <n v="4453"/>
    <n v="111"/>
    <n v="420"/>
    <n v="31171"/>
    <n v="30565"/>
    <n v="23"/>
    <s v="#TeslaCoInnovation"/>
    <m/>
    <m/>
    <m/>
    <x v="1"/>
    <n v="0.15989220750056141"/>
    <n v="4984"/>
  </r>
  <r>
    <s v="P222"/>
    <s v="Facebook"/>
    <d v="2024-10-08T00:00:00"/>
    <s v="Reel"/>
    <s v="Check out our latest reel on facebook!"/>
    <n v="1814"/>
    <n v="653"/>
    <n v="363"/>
    <n v="25396"/>
    <n v="25286"/>
    <n v="39"/>
    <s v="#FutureOfDriving"/>
    <s v="#SmoothLikeNitroTesla"/>
    <m/>
    <s v="CybertruckLaunch"/>
    <x v="0"/>
    <n v="0.11143487163332809"/>
    <n v="2830"/>
  </r>
  <r>
    <s v="P223"/>
    <s v="Twitter"/>
    <d v="2024-11-12T00:00:00"/>
    <s v="Image"/>
    <s v="Check out our latest image on twitter!"/>
    <n v="3338"/>
    <n v="277"/>
    <n v="118"/>
    <n v="60084"/>
    <n v="59842"/>
    <n v="252"/>
    <s v="#TeslaCoInnovation"/>
    <m/>
    <m/>
    <m/>
    <x v="1"/>
    <n v="6.2129685107516146E-2"/>
    <n v="3733"/>
  </r>
  <r>
    <s v="P224"/>
    <s v="Facebook"/>
    <d v="2025-05-13T00:00:00"/>
    <s v="Image"/>
    <s v="Check out our latest image on facebook!"/>
    <n v="602"/>
    <n v="594"/>
    <n v="156"/>
    <n v="4214"/>
    <n v="3363"/>
    <n v="164"/>
    <s v="#TeslaCoInnovation"/>
    <m/>
    <m/>
    <s v="FSDUpdate"/>
    <x v="2"/>
    <n v="0.32083531086853345"/>
    <n v="1352"/>
  </r>
  <r>
    <s v="P225"/>
    <s v="Twitter"/>
    <d v="2024-06-20T00:00:00"/>
    <s v="Carousel"/>
    <s v="Check out our latest carousel on twitter!"/>
    <n v="4672"/>
    <n v="325"/>
    <n v="32"/>
    <n v="88768"/>
    <n v="87833"/>
    <n v="118"/>
    <s v="#EVRevolution"/>
    <m/>
    <m/>
    <m/>
    <x v="0"/>
    <n v="5.6653298485940883E-2"/>
    <n v="5029"/>
  </r>
  <r>
    <s v="P226"/>
    <s v="Instagram"/>
    <d v="2024-08-07T00:00:00"/>
    <s v="Carousel"/>
    <s v="Check out our latest carousel on instagram!"/>
    <n v="1741"/>
    <n v="164"/>
    <n v="318"/>
    <n v="8705"/>
    <n v="8272"/>
    <n v="121"/>
    <s v="#TeslaCoInnovation"/>
    <m/>
    <m/>
    <m/>
    <x v="1"/>
    <n v="0.25537047673750718"/>
    <n v="2223"/>
  </r>
  <r>
    <s v="P227"/>
    <s v="Instagram"/>
    <d v="2024-06-12T00:00:00"/>
    <s v="Text"/>
    <s v="Check out our latest text on instagram!"/>
    <n v="246"/>
    <n v="149"/>
    <n v="130"/>
    <n v="4674"/>
    <n v="4390"/>
    <n v="217"/>
    <s v="#FutureOfDriving"/>
    <m/>
    <m/>
    <s v="FSDUpdate"/>
    <x v="2"/>
    <n v="0.11232349165596919"/>
    <n v="525"/>
  </r>
  <r>
    <s v="P228"/>
    <s v="Instagram"/>
    <d v="2024-07-01T00:00:00"/>
    <s v="Story"/>
    <s v="Check out our latest story on instagram!"/>
    <n v="4808"/>
    <n v="772"/>
    <n v="320"/>
    <n v="72120"/>
    <n v="71696"/>
    <n v="195"/>
    <s v="#EVRevolution"/>
    <m/>
    <m/>
    <s v="CybertruckLaunch"/>
    <x v="0"/>
    <n v="8.1808097615085965E-2"/>
    <n v="5900"/>
  </r>
  <r>
    <s v="P229"/>
    <s v="Instagram"/>
    <d v="2024-07-03T00:00:00"/>
    <s v="Carousel"/>
    <s v="Check out our latest carousel on instagram!"/>
    <n v="4799"/>
    <n v="694"/>
    <n v="289"/>
    <n v="43191"/>
    <n v="42228"/>
    <n v="118"/>
    <s v="#TeslaCoInnovation"/>
    <m/>
    <m/>
    <m/>
    <x v="1"/>
    <n v="0.13387048227640017"/>
    <n v="5782"/>
  </r>
  <r>
    <s v="P230"/>
    <s v="Facebook"/>
    <d v="2024-07-15T00:00:00"/>
    <s v="Reel"/>
    <s v="Check out our latest reel on facebook!"/>
    <n v="3663"/>
    <n v="17"/>
    <n v="295"/>
    <n v="51282"/>
    <n v="50567"/>
    <n v="84"/>
    <s v="#EVRevolution"/>
    <m/>
    <m/>
    <s v="FSDUpdate"/>
    <x v="2"/>
    <n v="7.7512577512577507E-2"/>
    <n v="3975"/>
  </r>
  <r>
    <s v="P231"/>
    <s v="Instagram"/>
    <d v="2025-05-01T00:00:00"/>
    <s v="Text"/>
    <s v="Check out our latest text on instagram!"/>
    <n v="1430"/>
    <n v="376"/>
    <n v="33"/>
    <n v="21450"/>
    <n v="20509"/>
    <n v="251"/>
    <s v="#FutureOfDriving"/>
    <m/>
    <m/>
    <s v="CybertruckLaunch"/>
    <x v="0"/>
    <n v="8.5734265734265735E-2"/>
    <n v="1839"/>
  </r>
  <r>
    <s v="P232"/>
    <s v="Twitter"/>
    <d v="2025-04-29T00:00:00"/>
    <s v="Story"/>
    <s v="Check out our latest story on twitter!"/>
    <n v="249"/>
    <n v="592"/>
    <n v="230"/>
    <n v="1494"/>
    <n v="1044"/>
    <n v="201"/>
    <s v="#EVRevolution"/>
    <m/>
    <m/>
    <s v="SustainabilityDrive"/>
    <x v="3"/>
    <n v="0.7168674698795181"/>
    <n v="1071"/>
  </r>
  <r>
    <s v="P233"/>
    <s v="Facebook"/>
    <d v="2025-03-08T00:00:00"/>
    <s v="Image"/>
    <s v="Check out our latest image on facebook!"/>
    <n v="2382"/>
    <n v="265"/>
    <n v="134"/>
    <n v="38112"/>
    <n v="37437"/>
    <n v="249"/>
    <s v="#FutureOfDriving"/>
    <m/>
    <m/>
    <s v="SustainabilityDrive"/>
    <x v="3"/>
    <n v="7.2969143576826198E-2"/>
    <n v="2781"/>
  </r>
  <r>
    <s v="P234"/>
    <s v="Facebook"/>
    <d v="2024-06-01T00:00:00"/>
    <s v="Text"/>
    <s v="Check out our latest text on facebook!"/>
    <n v="1272"/>
    <n v="465"/>
    <n v="99"/>
    <n v="24168"/>
    <n v="23719"/>
    <n v="42"/>
    <s v="#TeslaCoInnovation"/>
    <m/>
    <m/>
    <m/>
    <x v="1"/>
    <n v="7.5968222442899705E-2"/>
    <n v="1836"/>
  </r>
  <r>
    <s v="P235"/>
    <s v="Facebook"/>
    <d v="2024-12-22T00:00:00"/>
    <s v="Image"/>
    <s v="Check out our latest image on facebook!"/>
    <n v="3196"/>
    <n v="941"/>
    <n v="376"/>
    <n v="35156"/>
    <n v="34444"/>
    <n v="241"/>
    <s v="#TeslaCoInnovation"/>
    <m/>
    <m/>
    <s v="FSDUpdate"/>
    <x v="2"/>
    <n v="0.1283706906360223"/>
    <n v="4513"/>
  </r>
  <r>
    <s v="P236"/>
    <s v="Facebook"/>
    <d v="2024-08-19T00:00:00"/>
    <s v="Text"/>
    <s v="Check out our latest text on facebook!"/>
    <n v="1257"/>
    <n v="19"/>
    <n v="351"/>
    <n v="12570"/>
    <n v="11660"/>
    <n v="194"/>
    <s v="#FutureOfDriving"/>
    <s v="#AnytimeIsTeslaTime"/>
    <s v="#EVRevolution"/>
    <s v="ModelYCampaign"/>
    <x v="1"/>
    <n v="0.12943516308671441"/>
    <n v="1627"/>
  </r>
  <r>
    <s v="P237"/>
    <s v="Instagram"/>
    <d v="2024-10-22T00:00:00"/>
    <s v="Story"/>
    <s v="Check out our latest story on instagram!"/>
    <n v="3770"/>
    <n v="917"/>
    <n v="129"/>
    <n v="71630"/>
    <n v="71322"/>
    <n v="76"/>
    <s v="#FutureOfDriving"/>
    <m/>
    <m/>
    <s v="CybertruckLaunch"/>
    <x v="0"/>
    <n v="6.7234398994834563E-2"/>
    <n v="4816"/>
  </r>
  <r>
    <s v="P238"/>
    <s v="Twitter"/>
    <d v="2024-07-16T00:00:00"/>
    <s v="Text"/>
    <s v="Check out our latest text on twitter!"/>
    <n v="4725"/>
    <n v="400"/>
    <n v="362"/>
    <n v="75600"/>
    <n v="74927"/>
    <n v="43"/>
    <s v="#FutureOfDriving"/>
    <m/>
    <m/>
    <s v="SustainabilityDrive"/>
    <x v="3"/>
    <n v="7.2579365079365077E-2"/>
    <n v="5487"/>
  </r>
  <r>
    <s v="P239"/>
    <s v="YouTube"/>
    <d v="2025-02-24T00:00:00"/>
    <s v="Text"/>
    <s v="Check out our latest text on youtube!"/>
    <n v="4188"/>
    <n v="942"/>
    <n v="118"/>
    <n v="20940"/>
    <n v="20471"/>
    <n v="102"/>
    <s v="#FutureOfDriving"/>
    <m/>
    <m/>
    <m/>
    <x v="3"/>
    <n v="0.25062082139446035"/>
    <n v="5248"/>
  </r>
  <r>
    <s v="P240"/>
    <s v="Twitter"/>
    <d v="2024-08-26T00:00:00"/>
    <s v="Carousel"/>
    <s v="Check out our latest carousel on twitter!"/>
    <n v="929"/>
    <n v="192"/>
    <n v="322"/>
    <n v="16722"/>
    <n v="15996"/>
    <n v="145"/>
    <s v="#EVRevolution"/>
    <s v="#TeslaCoInnovation"/>
    <s v="#AnytimeIsTeslaTime"/>
    <s v="FSDUpdate"/>
    <x v="2"/>
    <n v="8.6293505561535699E-2"/>
    <n v="1443"/>
  </r>
  <r>
    <s v="P241"/>
    <s v="Facebook"/>
    <d v="2025-01-18T00:00:00"/>
    <s v="Story"/>
    <s v="Check out our latest story on facebook!"/>
    <n v="4321"/>
    <n v="874"/>
    <n v="172"/>
    <n v="30247"/>
    <n v="29254"/>
    <n v="122"/>
    <s v="#TeslaCoInnovation"/>
    <m/>
    <m/>
    <s v="SustainabilityDrive"/>
    <x v="3"/>
    <n v="0.17743908486792079"/>
    <n v="5367"/>
  </r>
  <r>
    <s v="P242"/>
    <s v="Facebook"/>
    <d v="2024-07-07T00:00:00"/>
    <s v="Reel"/>
    <s v="Check out our latest reel on facebook!"/>
    <n v="4767"/>
    <n v="190"/>
    <n v="340"/>
    <n v="28602"/>
    <n v="28044"/>
    <n v="210"/>
    <s v="#EVRevolution"/>
    <m/>
    <m/>
    <s v="FSDUpdate"/>
    <x v="2"/>
    <n v="0.18519683938186141"/>
    <n v="5297"/>
  </r>
  <r>
    <s v="P243"/>
    <s v="Twitter"/>
    <d v="2025-03-06T00:00:00"/>
    <s v="Image"/>
    <s v="Check out our latest image on twitter!"/>
    <n v="3592"/>
    <n v="911"/>
    <n v="375"/>
    <n v="50288"/>
    <n v="49490"/>
    <n v="32"/>
    <s v="#FutureOfDriving"/>
    <m/>
    <m/>
    <s v="SustainabilityDrive"/>
    <x v="3"/>
    <n v="9.7001272669424113E-2"/>
    <n v="4878"/>
  </r>
  <r>
    <s v="P244"/>
    <s v="YouTube"/>
    <d v="2024-10-25T00:00:00"/>
    <s v="Video"/>
    <s v="Check out our latest video on youtube!"/>
    <n v="4661"/>
    <n v="935"/>
    <n v="433"/>
    <n v="23305"/>
    <n v="22583"/>
    <n v="63"/>
    <s v="#FutureOfDriving"/>
    <m/>
    <m/>
    <s v="FSDUpdate"/>
    <x v="2"/>
    <n v="0.25869984981763572"/>
    <n v="6029"/>
  </r>
  <r>
    <s v="P245"/>
    <s v="Facebook"/>
    <d v="2025-01-12T00:00:00"/>
    <s v="Reel"/>
    <s v="Check out our latest reel on facebook!"/>
    <n v="4134"/>
    <n v="824"/>
    <n v="99"/>
    <n v="41340"/>
    <n v="41050"/>
    <n v="177"/>
    <s v="#EVRevolution"/>
    <m/>
    <m/>
    <s v="CybertruckLaunch"/>
    <x v="0"/>
    <n v="0.12232704402515723"/>
    <n v="5057"/>
  </r>
  <r>
    <s v="P246"/>
    <s v="Facebook"/>
    <d v="2024-10-11T00:00:00"/>
    <s v="Image"/>
    <s v="Check out our latest image on facebook!"/>
    <n v="400"/>
    <n v="680"/>
    <n v="434"/>
    <n v="6400"/>
    <n v="5472"/>
    <n v="160"/>
    <s v="#FutureOfDriving"/>
    <m/>
    <m/>
    <s v="ModelYCampaign"/>
    <x v="1"/>
    <n v="0.23656250000000001"/>
    <n v="1514"/>
  </r>
  <r>
    <s v="P247"/>
    <s v="Facebook"/>
    <d v="2024-08-27T00:00:00"/>
    <s v="Reel"/>
    <s v="Check out our latest reel on facebook!"/>
    <n v="3960"/>
    <n v="266"/>
    <n v="8"/>
    <n v="35640"/>
    <n v="34850"/>
    <n v="208"/>
    <s v="#FutureOfDriving"/>
    <s v="#EVRevolution"/>
    <s v="#BetterWithTesla"/>
    <m/>
    <x v="0"/>
    <n v="0.11879910213243547"/>
    <n v="4234"/>
  </r>
  <r>
    <s v="P248"/>
    <s v="Facebook"/>
    <d v="2025-02-02T00:00:00"/>
    <s v="Story"/>
    <s v="Check out our latest story on facebook!"/>
    <n v="886"/>
    <n v="126"/>
    <n v="153"/>
    <n v="4430"/>
    <n v="4037"/>
    <n v="212"/>
    <s v="#EVRevolution"/>
    <m/>
    <m/>
    <m/>
    <x v="0"/>
    <n v="0.26297968397291194"/>
    <n v="1165"/>
  </r>
  <r>
    <s v="P249"/>
    <s v="Twitter"/>
    <d v="2024-07-18T00:00:00"/>
    <s v="Image"/>
    <s v="Check out our latest image on twitter!"/>
    <n v="827"/>
    <n v="77"/>
    <n v="402"/>
    <n v="14886"/>
    <n v="14129"/>
    <n v="254"/>
    <s v="#EVRevolution"/>
    <m/>
    <m/>
    <s v="ModelYCampaign"/>
    <x v="1"/>
    <n v="8.7733440816874911E-2"/>
    <n v="1306"/>
  </r>
  <r>
    <s v="P250"/>
    <s v="Facebook"/>
    <d v="2024-06-22T00:00:00"/>
    <s v="Reel"/>
    <s v="Check out our latest reel on facebook!"/>
    <n v="3813"/>
    <n v="935"/>
    <n v="274"/>
    <n v="68634"/>
    <n v="68488"/>
    <n v="251"/>
    <s v="#FutureOfDriving"/>
    <m/>
    <m/>
    <m/>
    <x v="3"/>
    <n v="7.3170731707317069E-2"/>
    <n v="5022"/>
  </r>
  <r>
    <s v="P251"/>
    <s v="Instagram"/>
    <d v="2025-03-27T00:00:00"/>
    <s v="Carousel"/>
    <s v="Check out our latest carousel on instagram!"/>
    <n v="1377"/>
    <n v="796"/>
    <n v="387"/>
    <n v="22032"/>
    <n v="21869"/>
    <n v="189"/>
    <s v="#FutureOfDriving"/>
    <m/>
    <m/>
    <m/>
    <x v="3"/>
    <n v="0.11619462599854757"/>
    <n v="2560"/>
  </r>
  <r>
    <s v="P252"/>
    <s v="Facebook"/>
    <d v="2025-04-28T00:00:00"/>
    <s v="Carousel"/>
    <s v="Check out our latest carousel on facebook!"/>
    <n v="2089"/>
    <n v="476"/>
    <n v="69"/>
    <n v="16712"/>
    <n v="16309"/>
    <n v="64"/>
    <s v="#FutureOfDriving"/>
    <m/>
    <m/>
    <s v="FSDUpdate"/>
    <x v="2"/>
    <n v="0.15761129727142173"/>
    <n v="2634"/>
  </r>
  <r>
    <s v="P253"/>
    <s v="Twitter"/>
    <d v="2024-08-03T00:00:00"/>
    <s v="Reel"/>
    <s v="Check out our latest reel on twitter!"/>
    <n v="3791"/>
    <n v="593"/>
    <n v="228"/>
    <n v="53074"/>
    <n v="52613"/>
    <n v="205"/>
    <s v="#EVRevolution"/>
    <m/>
    <m/>
    <m/>
    <x v="0"/>
    <n v="8.6897539284772202E-2"/>
    <n v="4612"/>
  </r>
  <r>
    <s v="P254"/>
    <s v="Twitter"/>
    <d v="2025-01-14T00:00:00"/>
    <s v="Image"/>
    <s v="Check out our latest image on twitter!"/>
    <n v="2692"/>
    <n v="115"/>
    <n v="64"/>
    <n v="21536"/>
    <n v="21120"/>
    <n v="224"/>
    <s v="#FutureOfDriving"/>
    <m/>
    <m/>
    <s v="ModelYCampaign"/>
    <x v="1"/>
    <n v="0.13331166419019316"/>
    <n v="2871"/>
  </r>
  <r>
    <s v="P255"/>
    <s v="Facebook"/>
    <d v="2025-04-03T00:00:00"/>
    <s v="Story"/>
    <s v="Check out our latest story on facebook!"/>
    <n v="3767"/>
    <n v="514"/>
    <n v="238"/>
    <n v="37670"/>
    <n v="36807"/>
    <n v="226"/>
    <s v="#FutureOfDriving"/>
    <m/>
    <m/>
    <s v="SustainabilityDrive"/>
    <x v="3"/>
    <n v="0.11996283514733209"/>
    <n v="4519"/>
  </r>
  <r>
    <s v="P256"/>
    <s v="YouTube"/>
    <d v="2024-09-18T00:00:00"/>
    <s v="Carousel"/>
    <s v="Check out our latest carousel on youtube!"/>
    <n v="2143"/>
    <n v="12"/>
    <n v="204"/>
    <n v="40717"/>
    <n v="40125"/>
    <n v="248"/>
    <s v="#EVRevolution"/>
    <m/>
    <m/>
    <s v="ModelYCampaign"/>
    <x v="1"/>
    <n v="5.7936488444630008E-2"/>
    <n v="2359"/>
  </r>
  <r>
    <s v="P257"/>
    <s v="Facebook"/>
    <d v="2025-04-06T00:00:00"/>
    <s v="Image"/>
    <s v="Check out our latest image on facebook!"/>
    <n v="3090"/>
    <n v="697"/>
    <n v="164"/>
    <n v="49440"/>
    <n v="48524"/>
    <n v="25"/>
    <s v="#EVRevolution"/>
    <s v="#EVRevolution"/>
    <s v="#BetterWithTesla"/>
    <s v="ModelYCampaign"/>
    <x v="1"/>
    <n v="7.9915048543689318E-2"/>
    <n v="3951"/>
  </r>
  <r>
    <s v="P258"/>
    <s v="Instagram"/>
    <d v="2024-08-05T00:00:00"/>
    <s v="Story"/>
    <s v="Check out our latest story on instagram!"/>
    <n v="3601"/>
    <n v="695"/>
    <n v="75"/>
    <n v="21606"/>
    <n v="21454"/>
    <n v="172"/>
    <s v="#EVRevolution"/>
    <m/>
    <m/>
    <s v="ModelYCampaign"/>
    <x v="1"/>
    <n v="0.2023049153013052"/>
    <n v="4371"/>
  </r>
  <r>
    <s v="P259"/>
    <s v="Facebook"/>
    <d v="2025-02-10T00:00:00"/>
    <s v="Text"/>
    <s v="Check out our latest text on facebook!"/>
    <n v="562"/>
    <n v="158"/>
    <n v="149"/>
    <n v="3372"/>
    <n v="2940"/>
    <n v="93"/>
    <s v="#TeslaCoInnovation"/>
    <m/>
    <m/>
    <s v="CybertruckLaunch"/>
    <x v="0"/>
    <n v="0.25771055753262156"/>
    <n v="869"/>
  </r>
  <r>
    <s v="P260"/>
    <s v="Instagram"/>
    <d v="2025-02-12T00:00:00"/>
    <s v="Story"/>
    <s v="Check out our latest story on instagram!"/>
    <n v="4332"/>
    <n v="771"/>
    <n v="219"/>
    <n v="60648"/>
    <n v="60397"/>
    <n v="10"/>
    <s v="#TeslaCoInnovation"/>
    <s v="#EVRevolution"/>
    <s v="#BetterWithTesla"/>
    <s v="FSDUpdate"/>
    <x v="2"/>
    <n v="8.7752275425405618E-2"/>
    <n v="5322"/>
  </r>
  <r>
    <s v="P261"/>
    <s v="Instagram"/>
    <d v="2024-10-27T00:00:00"/>
    <s v="Image"/>
    <s v="Check out our latest image on instagram!"/>
    <n v="4853"/>
    <n v="837"/>
    <n v="340"/>
    <n v="72795"/>
    <n v="72237"/>
    <n v="170"/>
    <s v="#EVRevolution"/>
    <m/>
    <m/>
    <s v="CybertruckLaunch"/>
    <x v="0"/>
    <n v="8.2835359571399134E-2"/>
    <n v="6030"/>
  </r>
  <r>
    <s v="P262"/>
    <s v="YouTube"/>
    <d v="2025-01-18T00:00:00"/>
    <s v="Image"/>
    <s v="Check out our latest image on youtube!"/>
    <n v="1206"/>
    <n v="238"/>
    <n v="36"/>
    <n v="9648"/>
    <n v="9417"/>
    <n v="237"/>
    <s v="#TeslaCoInnovation"/>
    <m/>
    <m/>
    <m/>
    <x v="1"/>
    <n v="0.15339966832504145"/>
    <n v="1480"/>
  </r>
  <r>
    <s v="P263"/>
    <s v="Instagram"/>
    <d v="2024-08-20T00:00:00"/>
    <s v="Reel"/>
    <s v="Check out our latest reel on instagram!"/>
    <n v="2603"/>
    <n v="690"/>
    <n v="205"/>
    <n v="13015"/>
    <n v="12130"/>
    <n v="20"/>
    <s v="#FutureOfDriving"/>
    <m/>
    <m/>
    <s v="ModelYCampaign"/>
    <x v="1"/>
    <n v="0.26876680752977333"/>
    <n v="3498"/>
  </r>
  <r>
    <s v="P264"/>
    <s v="Twitter"/>
    <d v="2025-01-30T00:00:00"/>
    <s v="Image"/>
    <s v="Check out our latest image on twitter!"/>
    <n v="59"/>
    <n v="163"/>
    <n v="93"/>
    <n v="590"/>
    <n v="475"/>
    <n v="293"/>
    <s v="#TeslaCoInnovation"/>
    <m/>
    <m/>
    <s v="ModelYCampaign"/>
    <x v="1"/>
    <n v="0.53389830508474578"/>
    <n v="315"/>
  </r>
  <r>
    <s v="P265"/>
    <s v="Twitter"/>
    <d v="2025-02-20T00:00:00"/>
    <s v="Carousel"/>
    <s v="Check out our latest carousel on twitter!"/>
    <n v="1877"/>
    <n v="745"/>
    <n v="225"/>
    <n v="11262"/>
    <n v="10967"/>
    <n v="41"/>
    <s v="#EVRevolution"/>
    <m/>
    <m/>
    <s v="SustainabilityDrive"/>
    <x v="3"/>
    <n v="0.25279701651571657"/>
    <n v="2847"/>
  </r>
  <r>
    <s v="P266"/>
    <s v="Facebook"/>
    <d v="2024-11-25T00:00:00"/>
    <s v="Story"/>
    <s v="Check out our latest story on facebook!"/>
    <n v="4182"/>
    <n v="640"/>
    <n v="240"/>
    <n v="50184"/>
    <n v="49351"/>
    <n v="10"/>
    <s v="#TeslaCoInnovation"/>
    <m/>
    <m/>
    <s v="FSDUpdate"/>
    <x v="2"/>
    <n v="0.10086880280567512"/>
    <n v="5062"/>
  </r>
  <r>
    <s v="P267"/>
    <s v="Twitter"/>
    <d v="2024-10-04T00:00:00"/>
    <s v="Reel"/>
    <s v="Check out our latest reel on twitter!"/>
    <n v="4187"/>
    <n v="66"/>
    <n v="31"/>
    <n v="66992"/>
    <n v="66614"/>
    <n v="62"/>
    <s v="#FutureOfDriving"/>
    <m/>
    <m/>
    <m/>
    <x v="3"/>
    <n v="6.3947934081681396E-2"/>
    <n v="4284"/>
  </r>
  <r>
    <s v="P268"/>
    <s v="Instagram"/>
    <d v="2025-04-13T00:00:00"/>
    <s v="Reel"/>
    <s v="Check out our latest reel on instagram!"/>
    <n v="4579"/>
    <n v="125"/>
    <n v="300"/>
    <n v="59527"/>
    <n v="59400"/>
    <n v="269"/>
    <s v="#EVRevolution"/>
    <m/>
    <m/>
    <s v="CybertruckLaunch"/>
    <x v="0"/>
    <n v="8.4062694239588759E-2"/>
    <n v="5004"/>
  </r>
  <r>
    <s v="P269"/>
    <s v="Instagram"/>
    <d v="2024-11-05T00:00:00"/>
    <s v="Video"/>
    <s v="Check out our latest video on instagram!"/>
    <n v="4561"/>
    <n v="51"/>
    <n v="441"/>
    <n v="22805"/>
    <n v="21890"/>
    <n v="45"/>
    <s v="#TeslaCoInnovation"/>
    <m/>
    <m/>
    <s v="ModelYCampaign"/>
    <x v="1"/>
    <n v="0.22157421618066214"/>
    <n v="5053"/>
  </r>
  <r>
    <s v="P270"/>
    <s v="YouTube"/>
    <d v="2025-01-15T00:00:00"/>
    <s v="Reel"/>
    <s v="Check out our latest reel on youtube!"/>
    <n v="3774"/>
    <n v="239"/>
    <n v="39"/>
    <n v="60384"/>
    <n v="59490"/>
    <n v="241"/>
    <s v="#TeslaCoInnovation"/>
    <m/>
    <m/>
    <s v="FSDUpdate"/>
    <x v="2"/>
    <n v="6.7103868574456813E-2"/>
    <n v="4052"/>
  </r>
  <r>
    <s v="P271"/>
    <s v="Instagram"/>
    <d v="2024-10-17T00:00:00"/>
    <s v="Video"/>
    <s v="Check out our latest video on instagram!"/>
    <n v="3575"/>
    <n v="749"/>
    <n v="111"/>
    <n v="21450"/>
    <n v="20785"/>
    <n v="195"/>
    <s v="#EVRevolution"/>
    <m/>
    <m/>
    <s v="ModelYCampaign"/>
    <x v="1"/>
    <n v="0.20675990675990677"/>
    <n v="4435"/>
  </r>
  <r>
    <s v="P272"/>
    <s v="Instagram"/>
    <d v="2025-03-27T00:00:00"/>
    <s v="Text"/>
    <s v="Check out our latest text on instagram!"/>
    <n v="4941"/>
    <n v="414"/>
    <n v="266"/>
    <n v="39528"/>
    <n v="39154"/>
    <n v="217"/>
    <s v="#TeslaCoInnovation"/>
    <m/>
    <m/>
    <s v="FSDUpdate"/>
    <x v="2"/>
    <n v="0.14220299534507186"/>
    <n v="5621"/>
  </r>
  <r>
    <s v="P273"/>
    <s v="YouTube"/>
    <d v="2024-10-12T00:00:00"/>
    <s v="Story"/>
    <s v="Check out our latest story on youtube!"/>
    <n v="3641"/>
    <n v="226"/>
    <n v="46"/>
    <n v="40051"/>
    <n v="39319"/>
    <n v="296"/>
    <s v="#EVRevolution"/>
    <m/>
    <m/>
    <s v="SustainabilityDrive"/>
    <x v="3"/>
    <n v="9.7700431949264685E-2"/>
    <n v="3913"/>
  </r>
  <r>
    <s v="P274"/>
    <s v="Twitter"/>
    <d v="2025-01-01T00:00:00"/>
    <s v="Carousel"/>
    <s v="Check out our latest carousel on twitter!"/>
    <n v="3535"/>
    <n v="494"/>
    <n v="152"/>
    <n v="53025"/>
    <n v="52791"/>
    <n v="44"/>
    <s v="#TeslaCoInnovation"/>
    <m/>
    <m/>
    <s v="SustainabilityDrive"/>
    <x v="3"/>
    <n v="7.8849599245638849E-2"/>
    <n v="4181"/>
  </r>
  <r>
    <s v="P275"/>
    <s v="Facebook"/>
    <d v="2024-08-05T00:00:00"/>
    <s v="Reel"/>
    <s v="Check out our latest reel on facebook!"/>
    <n v="1741"/>
    <n v="831"/>
    <n v="345"/>
    <n v="17410"/>
    <n v="16844"/>
    <n v="58"/>
    <s v="#EVRevolution"/>
    <m/>
    <m/>
    <s v="FSDUpdate"/>
    <x v="2"/>
    <n v="0.16754738655944859"/>
    <n v="2917"/>
  </r>
  <r>
    <s v="P276"/>
    <s v="Twitter"/>
    <d v="2024-06-07T00:00:00"/>
    <s v="Carousel"/>
    <s v="Check out our latest carousel on twitter!"/>
    <n v="1556"/>
    <n v="195"/>
    <n v="131"/>
    <n v="9336"/>
    <n v="8875"/>
    <n v="137"/>
    <s v="#TeslaCoInnovation"/>
    <m/>
    <m/>
    <s v="ModelYCampaign"/>
    <x v="1"/>
    <n v="0.2015852613538989"/>
    <n v="1882"/>
  </r>
  <r>
    <s v="P277"/>
    <s v="Facebook"/>
    <d v="2025-04-06T00:00:00"/>
    <s v="Image"/>
    <s v="Check out our latest image on facebook!"/>
    <n v="4236"/>
    <n v="711"/>
    <n v="298"/>
    <n v="21180"/>
    <n v="20516"/>
    <n v="238"/>
    <s v="#FutureOfDriving"/>
    <m/>
    <m/>
    <s v="CybertruckLaunch"/>
    <x v="0"/>
    <n v="0.24763928234183191"/>
    <n v="5245"/>
  </r>
  <r>
    <s v="P278"/>
    <s v="Twitter"/>
    <d v="2024-11-26T00:00:00"/>
    <s v="Text"/>
    <s v="Check out our latest text on twitter!"/>
    <n v="4516"/>
    <n v="836"/>
    <n v="169"/>
    <n v="49676"/>
    <n v="49257"/>
    <n v="282"/>
    <s v="#EVRevolution"/>
    <m/>
    <m/>
    <s v="SustainabilityDrive"/>
    <x v="3"/>
    <n v="0.11114018842096787"/>
    <n v="5521"/>
  </r>
  <r>
    <s v="P279"/>
    <s v="YouTube"/>
    <d v="2024-09-02T00:00:00"/>
    <s v="Image"/>
    <s v="Check out our latest image on youtube!"/>
    <n v="4905"/>
    <n v="845"/>
    <n v="129"/>
    <n v="98100"/>
    <n v="97772"/>
    <n v="279"/>
    <s v="#TeslaCoInnovation"/>
    <m/>
    <m/>
    <s v="ModelYCampaign"/>
    <x v="1"/>
    <n v="5.9928644240570844E-2"/>
    <n v="5879"/>
  </r>
  <r>
    <s v="P280"/>
    <s v="YouTube"/>
    <d v="2024-10-21T00:00:00"/>
    <s v="Video"/>
    <s v="Check out our latest video on youtube!"/>
    <n v="4275"/>
    <n v="680"/>
    <n v="385"/>
    <n v="64125"/>
    <n v="63650"/>
    <n v="104"/>
    <s v="#EVRevolution"/>
    <s v="#TeslaCoInnovation"/>
    <s v="#AnytimeIsTeslaTime"/>
    <s v="SustainabilityDrive"/>
    <x v="3"/>
    <n v="8.3274853801169585E-2"/>
    <n v="5340"/>
  </r>
  <r>
    <s v="P281"/>
    <s v="YouTube"/>
    <d v="2025-03-22T00:00:00"/>
    <s v="Image"/>
    <s v="Check out our latest image on youtube!"/>
    <n v="3166"/>
    <n v="90"/>
    <n v="341"/>
    <n v="56988"/>
    <n v="56125"/>
    <n v="135"/>
    <s v="#EVRevolution"/>
    <m/>
    <m/>
    <s v="ModelYCampaign"/>
    <x v="1"/>
    <n v="6.3118551273952411E-2"/>
    <n v="3597"/>
  </r>
  <r>
    <s v="P282"/>
    <s v="Instagram"/>
    <d v="2024-10-03T00:00:00"/>
    <s v="Video"/>
    <s v="Check out our latest video on instagram!"/>
    <n v="1488"/>
    <n v="417"/>
    <n v="168"/>
    <n v="19344"/>
    <n v="18395"/>
    <n v="30"/>
    <s v="#FutureOfDriving"/>
    <m/>
    <m/>
    <s v="FSDUpdate"/>
    <x v="2"/>
    <n v="0.1071650124069479"/>
    <n v="2073"/>
  </r>
  <r>
    <s v="P283"/>
    <s v="Twitter"/>
    <d v="2025-05-09T00:00:00"/>
    <s v="Reel"/>
    <s v="Check out our latest reel on twitter!"/>
    <n v="3367"/>
    <n v="302"/>
    <n v="57"/>
    <n v="63973"/>
    <n v="63789"/>
    <n v="157"/>
    <s v="#FutureOfDriving"/>
    <m/>
    <m/>
    <s v="ModelYCampaign"/>
    <x v="1"/>
    <n v="5.8243321401216137E-2"/>
    <n v="3726"/>
  </r>
  <r>
    <s v="P284"/>
    <s v="Twitter"/>
    <d v="2024-09-17T00:00:00"/>
    <s v="Text"/>
    <s v="Check out our latest text on twitter!"/>
    <n v="571"/>
    <n v="190"/>
    <n v="352"/>
    <n v="9707"/>
    <n v="9418"/>
    <n v="231"/>
    <s v="#TeslaCoInnovation"/>
    <m/>
    <m/>
    <s v="SustainabilityDrive"/>
    <x v="3"/>
    <n v="0.11465952405480581"/>
    <n v="1113"/>
  </r>
  <r>
    <s v="P285"/>
    <s v="YouTube"/>
    <d v="2024-07-18T00:00:00"/>
    <s v="Text"/>
    <s v="Check out our latest text on youtube!"/>
    <n v="4021"/>
    <n v="794"/>
    <n v="77"/>
    <n v="36189"/>
    <n v="35505"/>
    <n v="174"/>
    <s v="#EVRevolution"/>
    <m/>
    <m/>
    <m/>
    <x v="0"/>
    <n v="0.13517919809886983"/>
    <n v="4892"/>
  </r>
  <r>
    <s v="P286"/>
    <s v="YouTube"/>
    <d v="2024-09-25T00:00:00"/>
    <s v="Video"/>
    <s v="Check out our latest video on youtube!"/>
    <n v="3389"/>
    <n v="344"/>
    <n v="229"/>
    <n v="20334"/>
    <n v="19443"/>
    <n v="228"/>
    <s v="#FutureOfDriving"/>
    <m/>
    <m/>
    <s v="FSDUpdate"/>
    <x v="2"/>
    <n v="0.19484607062063539"/>
    <n v="3962"/>
  </r>
  <r>
    <s v="P287"/>
    <s v="Instagram"/>
    <d v="2024-08-15T00:00:00"/>
    <s v="Reel"/>
    <s v="Check out our latest reel on instagram!"/>
    <n v="1164"/>
    <n v="616"/>
    <n v="324"/>
    <n v="6984"/>
    <n v="6636"/>
    <n v="82"/>
    <s v="#EVRevolution"/>
    <m/>
    <m/>
    <s v="CybertruckLaunch"/>
    <x v="0"/>
    <n v="0.30126002290950743"/>
    <n v="2104"/>
  </r>
  <r>
    <s v="P288"/>
    <s v="YouTube"/>
    <d v="2025-04-17T00:00:00"/>
    <s v="Carousel"/>
    <s v="Check out our latest carousel on youtube!"/>
    <n v="4780"/>
    <n v="691"/>
    <n v="380"/>
    <n v="86040"/>
    <n v="85743"/>
    <n v="262"/>
    <s v="#FutureOfDriving"/>
    <m/>
    <m/>
    <s v="FSDUpdate"/>
    <x v="2"/>
    <n v="6.800325430032543E-2"/>
    <n v="5851"/>
  </r>
  <r>
    <s v="P289"/>
    <s v="Facebook"/>
    <d v="2024-11-28T00:00:00"/>
    <s v="Carousel"/>
    <s v="Check out our latest carousel on facebook!"/>
    <n v="2751"/>
    <n v="33"/>
    <n v="430"/>
    <n v="44016"/>
    <n v="43415"/>
    <n v="129"/>
    <s v="#FutureOfDriving"/>
    <m/>
    <m/>
    <m/>
    <x v="3"/>
    <n v="7.3018902217375503E-2"/>
    <n v="3214"/>
  </r>
  <r>
    <s v="P290"/>
    <s v="Instagram"/>
    <d v="2024-12-20T00:00:00"/>
    <s v="Carousel"/>
    <s v="Check out our latest carousel on instagram!"/>
    <n v="2107"/>
    <n v="550"/>
    <n v="349"/>
    <n v="35819"/>
    <n v="35340"/>
    <n v="191"/>
    <s v="#EVRevolution"/>
    <m/>
    <m/>
    <s v="SustainabilityDrive"/>
    <x v="3"/>
    <n v="8.3921940869371006E-2"/>
    <n v="3006"/>
  </r>
  <r>
    <s v="P291"/>
    <s v="Facebook"/>
    <d v="2024-11-06T00:00:00"/>
    <s v="Video"/>
    <s v="Check out our latest video on facebook!"/>
    <n v="4663"/>
    <n v="145"/>
    <n v="225"/>
    <n v="69945"/>
    <n v="69596"/>
    <n v="35"/>
    <s v="#EVRevolution"/>
    <m/>
    <m/>
    <s v="SustainabilityDrive"/>
    <x v="3"/>
    <n v="7.1956537279290869E-2"/>
    <n v="5033"/>
  </r>
  <r>
    <s v="P292"/>
    <s v="Facebook"/>
    <d v="2024-11-17T00:00:00"/>
    <s v="Text"/>
    <s v="Check out our latest text on facebook!"/>
    <n v="880"/>
    <n v="297"/>
    <n v="345"/>
    <n v="12320"/>
    <n v="11978"/>
    <n v="238"/>
    <s v="#TeslaCoInnovation"/>
    <s v="#AnytimeIsTeslaTime"/>
    <m/>
    <m/>
    <x v="1"/>
    <n v="0.12353896103896105"/>
    <n v="1522"/>
  </r>
  <r>
    <s v="P293"/>
    <s v="Facebook"/>
    <d v="2025-05-14T00:00:00"/>
    <s v="Text"/>
    <s v="Check out our latest text on facebook!"/>
    <n v="2634"/>
    <n v="726"/>
    <n v="241"/>
    <n v="28974"/>
    <n v="28102"/>
    <n v="277"/>
    <s v="#EVRevolution"/>
    <m/>
    <m/>
    <s v="CybertruckLaunch"/>
    <x v="0"/>
    <n v="0.12428384068475185"/>
    <n v="3601"/>
  </r>
  <r>
    <s v="P294"/>
    <s v="Facebook"/>
    <d v="2024-06-19T00:00:00"/>
    <s v="Carousel"/>
    <s v="Check out our latest carousel on facebook!"/>
    <n v="4731"/>
    <n v="173"/>
    <n v="276"/>
    <n v="28386"/>
    <n v="28185"/>
    <n v="89"/>
    <s v="#EVRevolution"/>
    <m/>
    <m/>
    <s v="FSDUpdate"/>
    <x v="2"/>
    <n v="0.18248432325794406"/>
    <n v="5180"/>
  </r>
  <r>
    <s v="P295"/>
    <s v="Twitter"/>
    <d v="2025-05-06T00:00:00"/>
    <s v="Image"/>
    <s v="Check out our latest image on twitter!"/>
    <n v="1952"/>
    <n v="344"/>
    <n v="287"/>
    <n v="15616"/>
    <n v="15403"/>
    <n v="235"/>
    <s v="#FutureOfDriving"/>
    <s v="#TeslaCoInnovation"/>
    <s v="#AnytimeIsTeslaTime"/>
    <s v="ModelYCampaign"/>
    <x v="1"/>
    <n v="0.16540727459016394"/>
    <n v="2583"/>
  </r>
  <r>
    <s v="P296"/>
    <s v="Twitter"/>
    <d v="2025-02-11T00:00:00"/>
    <s v="Video"/>
    <s v="Check out our latest video on twitter!"/>
    <n v="3440"/>
    <n v="13"/>
    <n v="20"/>
    <n v="58480"/>
    <n v="58146"/>
    <n v="210"/>
    <s v="#TeslaCoInnovation"/>
    <s v="#SmoothLikeNitroTesla"/>
    <m/>
    <s v="SustainabilityDrive"/>
    <x v="3"/>
    <n v="5.9387824897400819E-2"/>
    <n v="3473"/>
  </r>
  <r>
    <s v="P297"/>
    <s v="Twitter"/>
    <d v="2024-12-24T00:00:00"/>
    <s v="Text"/>
    <s v="Check out our latest text on twitter!"/>
    <n v="2166"/>
    <n v="354"/>
    <n v="117"/>
    <n v="10830"/>
    <n v="10245"/>
    <n v="24"/>
    <s v="#EVRevolution"/>
    <m/>
    <m/>
    <s v="SustainabilityDrive"/>
    <x v="3"/>
    <n v="0.24349030470914126"/>
    <n v="2637"/>
  </r>
  <r>
    <s v="P298"/>
    <s v="Facebook"/>
    <d v="2024-10-24T00:00:00"/>
    <s v="Image"/>
    <s v="Check out our latest image on facebook!"/>
    <n v="4303"/>
    <n v="451"/>
    <n v="286"/>
    <n v="86060"/>
    <n v="85823"/>
    <n v="14"/>
    <s v="#TeslaCoInnovation"/>
    <m/>
    <m/>
    <s v="FSDUpdate"/>
    <x v="2"/>
    <n v="5.8563792702765516E-2"/>
    <n v="5040"/>
  </r>
  <r>
    <s v="P299"/>
    <s v="Facebook"/>
    <d v="2024-08-26T00:00:00"/>
    <s v="Image"/>
    <s v="Check out our latest image on facebook!"/>
    <n v="2581"/>
    <n v="517"/>
    <n v="117"/>
    <n v="23229"/>
    <n v="22331"/>
    <n v="70"/>
    <s v="#FutureOfDriving"/>
    <m/>
    <m/>
    <s v="FSDUpdate"/>
    <x v="2"/>
    <n v="0.13840458048129492"/>
    <n v="3215"/>
  </r>
  <r>
    <s v="P300"/>
    <s v="Twitter"/>
    <d v="2024-08-31T00:00:00"/>
    <s v="Carousel"/>
    <s v="Check out our latest carousel on twitter!"/>
    <n v="4494"/>
    <n v="717"/>
    <n v="45"/>
    <n v="62916"/>
    <n v="62688"/>
    <n v="191"/>
    <s v="#TeslaCoInnovation"/>
    <s v="#EVRevolution"/>
    <s v="#BetterWithTesla"/>
    <s v="CybertruckLaunch"/>
    <x v="0"/>
    <n v="8.3539958039290485E-2"/>
    <n v="5256"/>
  </r>
</pivotCacheRecords>
</file>

<file path=xl/pivotCache/pivotCacheRecords8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">
  <r>
    <x v="0"/>
    <x v="0"/>
    <n v="1135"/>
    <n v="88"/>
    <n v="344084"/>
    <n v="8.06"/>
    <n v="5904"/>
    <n v="3.0428616268120576E-3"/>
    <n v="1047"/>
  </r>
  <r>
    <x v="0"/>
    <x v="1"/>
    <n v="1312"/>
    <n v="310"/>
    <n v="42654"/>
    <n v="4.9800000000000004"/>
    <n v="9566"/>
    <n v="2.3491348994232664E-2"/>
    <n v="1002"/>
  </r>
  <r>
    <x v="0"/>
    <x v="2"/>
    <n v="584"/>
    <n v="169"/>
    <n v="146834"/>
    <n v="8.31"/>
    <n v="26752"/>
    <n v="2.826320879360366E-3"/>
    <n v="415"/>
  </r>
  <r>
    <x v="0"/>
    <x v="3"/>
    <n v="1535"/>
    <n v="445"/>
    <n v="395536"/>
    <n v="4.1100000000000003"/>
    <n v="30671"/>
    <n v="2.7557542170624167E-3"/>
    <n v="1090"/>
  </r>
  <r>
    <x v="1"/>
    <x v="0"/>
    <n v="656"/>
    <n v="139"/>
    <n v="49157"/>
    <n v="9.0500000000000007"/>
    <n v="9920"/>
    <n v="1.0517322049758936E-2"/>
    <n v="517"/>
  </r>
  <r>
    <x v="1"/>
    <x v="1"/>
    <n v="1697"/>
    <n v="414"/>
    <n v="316555"/>
    <n v="2.37"/>
    <n v="7924"/>
    <n v="4.0530081660374974E-3"/>
    <n v="1283"/>
  </r>
  <r>
    <x v="1"/>
    <x v="2"/>
    <n v="436"/>
    <n v="250"/>
    <n v="254347"/>
    <n v="4.01"/>
    <n v="8912"/>
    <n v="7.3128442639386348E-4"/>
    <n v="186"/>
  </r>
  <r>
    <x v="1"/>
    <x v="3"/>
    <n v="1197"/>
    <n v="203"/>
    <n v="413878"/>
    <n v="3.16"/>
    <n v="21205"/>
    <n v="2.4016739232334168E-3"/>
    <n v="994"/>
  </r>
  <r>
    <x v="2"/>
    <x v="0"/>
    <n v="1048"/>
    <n v="155"/>
    <n v="456946"/>
    <n v="2.46"/>
    <n v="11329"/>
    <n v="1.9542790614208243E-3"/>
    <n v="893"/>
  </r>
  <r>
    <x v="2"/>
    <x v="1"/>
    <n v="1753"/>
    <n v="371"/>
    <n v="169496"/>
    <n v="8.11"/>
    <n v="46670"/>
    <n v="8.1535847453627231E-3"/>
    <n v="1382"/>
  </r>
  <r>
    <x v="2"/>
    <x v="2"/>
    <n v="1335"/>
    <n v="40"/>
    <n v="122732"/>
    <n v="8.19"/>
    <n v="22482"/>
    <n v="1.0551445425805821E-2"/>
    <n v="1295"/>
  </r>
  <r>
    <x v="2"/>
    <x v="3"/>
    <n v="403"/>
    <n v="66"/>
    <n v="382851"/>
    <n v="3.49"/>
    <n v="24313"/>
    <n v="8.80238003818718E-4"/>
    <n v="337"/>
  </r>
  <r>
    <x v="3"/>
    <x v="0"/>
    <n v="911"/>
    <n v="282"/>
    <n v="35664"/>
    <n v="6.92"/>
    <n v="18050"/>
    <n v="1.7636832660385824E-2"/>
    <n v="629"/>
  </r>
  <r>
    <x v="3"/>
    <x v="1"/>
    <n v="1779"/>
    <n v="109"/>
    <n v="26295"/>
    <n v="9.1199999999999992"/>
    <n v="30635"/>
    <n v="6.3510173036698994E-2"/>
    <n v="1670"/>
  </r>
  <r>
    <x v="3"/>
    <x v="2"/>
    <n v="1238"/>
    <n v="403"/>
    <n v="298421"/>
    <n v="3.5"/>
    <n v="31280"/>
    <n v="2.798060458211721E-3"/>
    <n v="835"/>
  </r>
  <r>
    <x v="3"/>
    <x v="3"/>
    <n v="308"/>
    <n v="431"/>
    <n v="426184"/>
    <n v="2.62"/>
    <n v="1783"/>
    <n v="-2.8860773750305035E-4"/>
    <n v="-123"/>
  </r>
  <r>
    <x v="4"/>
    <x v="0"/>
    <n v="226"/>
    <n v="445"/>
    <n v="419447"/>
    <n v="9.36"/>
    <n v="9566"/>
    <n v="-5.2211602419375983E-4"/>
    <n v="-219"/>
  </r>
  <r>
    <x v="4"/>
    <x v="1"/>
    <n v="505"/>
    <n v="441"/>
    <n v="220020"/>
    <n v="4.4800000000000004"/>
    <n v="42307"/>
    <n v="2.9088264703208797E-4"/>
    <n v="64"/>
  </r>
  <r>
    <x v="4"/>
    <x v="2"/>
    <n v="1420"/>
    <n v="63"/>
    <n v="315305"/>
    <n v="6.19"/>
    <n v="5914"/>
    <n v="4.3037693661692649E-3"/>
    <n v="1357"/>
  </r>
  <r>
    <x v="4"/>
    <x v="3"/>
    <n v="144"/>
    <n v="53"/>
    <n v="113678"/>
    <n v="8.7200000000000006"/>
    <n v="30060"/>
    <n v="8.0050669434719116E-4"/>
    <n v="91"/>
  </r>
  <r>
    <x v="5"/>
    <x v="0"/>
    <n v="1757"/>
    <n v="85"/>
    <n v="58223"/>
    <n v="8.74"/>
    <n v="22728"/>
    <n v="2.8717173625543171E-2"/>
    <n v="1672"/>
  </r>
  <r>
    <x v="5"/>
    <x v="1"/>
    <n v="350"/>
    <n v="41"/>
    <n v="251694"/>
    <n v="1.91"/>
    <n v="38610"/>
    <n v="1.2276812319721568E-3"/>
    <n v="309"/>
  </r>
  <r>
    <x v="5"/>
    <x v="2"/>
    <n v="987"/>
    <n v="440"/>
    <n v="389810"/>
    <n v="4.66"/>
    <n v="2932"/>
    <n v="1.40324773607655E-3"/>
    <n v="547"/>
  </r>
  <r>
    <x v="5"/>
    <x v="3"/>
    <n v="883"/>
    <n v="369"/>
    <n v="233694"/>
    <n v="2.88"/>
    <n v="15071"/>
    <n v="2.1994574101175039E-3"/>
    <n v="514"/>
  </r>
  <r>
    <x v="6"/>
    <x v="0"/>
    <n v="1960"/>
    <n v="115"/>
    <n v="154169"/>
    <n v="3.74"/>
    <n v="10740"/>
    <n v="1.1967386439556591E-2"/>
    <n v="1845"/>
  </r>
  <r>
    <x v="6"/>
    <x v="1"/>
    <n v="170"/>
    <n v="334"/>
    <n v="334626"/>
    <n v="6.44"/>
    <n v="43420"/>
    <n v="-4.9009939454794306E-4"/>
    <n v="-164"/>
  </r>
  <r>
    <x v="6"/>
    <x v="2"/>
    <n v="704"/>
    <n v="275"/>
    <n v="226002"/>
    <n v="8.56"/>
    <n v="32393"/>
    <n v="1.8982132901478749E-3"/>
    <n v="429"/>
  </r>
  <r>
    <x v="6"/>
    <x v="3"/>
    <n v="224"/>
    <n v="64"/>
    <n v="156683"/>
    <n v="4.5599999999999996"/>
    <n v="28474"/>
    <n v="1.0211701333265254E-3"/>
    <n v="160"/>
  </r>
  <r>
    <x v="7"/>
    <x v="0"/>
    <n v="508"/>
    <n v="349"/>
    <n v="473812"/>
    <n v="7.88"/>
    <n v="17328"/>
    <n v="3.3557613568250698E-4"/>
    <n v="159"/>
  </r>
  <r>
    <x v="7"/>
    <x v="1"/>
    <n v="1391"/>
    <n v="430"/>
    <n v="295032"/>
    <n v="7.86"/>
    <n v="26067"/>
    <n v="3.2572737872501967E-3"/>
    <n v="961"/>
  </r>
  <r>
    <x v="7"/>
    <x v="2"/>
    <n v="1701"/>
    <n v="385"/>
    <n v="198278"/>
    <n v="5.34"/>
    <n v="32763"/>
    <n v="6.6371458255580548E-3"/>
    <n v="1316"/>
  </r>
  <r>
    <x v="7"/>
    <x v="3"/>
    <n v="804"/>
    <n v="487"/>
    <n v="306564"/>
    <n v="5.52"/>
    <n v="26452"/>
    <n v="1.0340418313957282E-3"/>
    <n v="317"/>
  </r>
  <r>
    <x v="8"/>
    <x v="0"/>
    <n v="653"/>
    <n v="112"/>
    <n v="23664"/>
    <n v="4.05"/>
    <n v="15353"/>
    <n v="2.2861730899256253E-2"/>
    <n v="541"/>
  </r>
  <r>
    <x v="8"/>
    <x v="1"/>
    <n v="160"/>
    <n v="478"/>
    <n v="435034"/>
    <n v="7.73"/>
    <n v="4839"/>
    <n v="-7.3097734889686784E-4"/>
    <n v="-318"/>
  </r>
  <r>
    <x v="8"/>
    <x v="2"/>
    <n v="1756"/>
    <n v="261"/>
    <n v="287574"/>
    <n v="4.3600000000000003"/>
    <n v="39272"/>
    <n v="5.1986619096302169E-3"/>
    <n v="1495"/>
  </r>
  <r>
    <x v="8"/>
    <x v="3"/>
    <n v="576"/>
    <n v="101"/>
    <n v="62499"/>
    <n v="3.48"/>
    <n v="16804"/>
    <n v="7.600121601945631E-3"/>
    <n v="475"/>
  </r>
  <r>
    <x v="9"/>
    <x v="0"/>
    <n v="645"/>
    <n v="293"/>
    <n v="437968"/>
    <n v="7.83"/>
    <n v="49303"/>
    <n v="8.0371168669857163E-4"/>
    <n v="352"/>
  </r>
  <r>
    <x v="9"/>
    <x v="1"/>
    <n v="214"/>
    <n v="411"/>
    <n v="125034"/>
    <n v="6.11"/>
    <n v="26455"/>
    <n v="-1.5755714445670778E-3"/>
    <n v="-197"/>
  </r>
  <r>
    <x v="9"/>
    <x v="2"/>
    <n v="826"/>
    <n v="498"/>
    <n v="449994"/>
    <n v="9.43"/>
    <n v="12384"/>
    <n v="7.2889860753698943E-4"/>
    <n v="328"/>
  </r>
  <r>
    <x v="9"/>
    <x v="3"/>
    <n v="460"/>
    <n v="141"/>
    <n v="320650"/>
    <n v="4.04"/>
    <n v="49372"/>
    <n v="9.9485420240137223E-4"/>
    <n v="319"/>
  </r>
  <r>
    <x v="10"/>
    <x v="0"/>
    <n v="1528"/>
    <n v="203"/>
    <n v="489188"/>
    <n v="6.23"/>
    <n v="47101"/>
    <n v="2.7085701202809553E-3"/>
    <n v="1325"/>
  </r>
  <r>
    <x v="10"/>
    <x v="1"/>
    <n v="1534"/>
    <n v="200"/>
    <n v="307612"/>
    <n v="6.01"/>
    <n v="37903"/>
    <n v="4.3366318609156986E-3"/>
    <n v="1334"/>
  </r>
  <r>
    <x v="10"/>
    <x v="2"/>
    <n v="485"/>
    <n v="448"/>
    <n v="434883"/>
    <n v="8.5500000000000007"/>
    <n v="33258"/>
    <n v="8.5080354946042954E-5"/>
    <n v="37"/>
  </r>
  <r>
    <x v="10"/>
    <x v="3"/>
    <n v="1210"/>
    <n v="178"/>
    <n v="102042"/>
    <n v="5.42"/>
    <n v="6915"/>
    <n v="1.011348268360087E-2"/>
    <n v="1032"/>
  </r>
  <r>
    <x v="11"/>
    <x v="0"/>
    <n v="215"/>
    <n v="139"/>
    <n v="325444"/>
    <n v="3.25"/>
    <n v="35501"/>
    <n v="2.335271198731579E-4"/>
    <n v="76"/>
  </r>
  <r>
    <x v="11"/>
    <x v="1"/>
    <n v="1078"/>
    <n v="20"/>
    <n v="183924"/>
    <n v="8.84"/>
    <n v="14203"/>
    <n v="5.7523759813836147E-3"/>
    <n v="1058"/>
  </r>
  <r>
    <x v="11"/>
    <x v="2"/>
    <n v="1751"/>
    <n v="86"/>
    <n v="188655"/>
    <n v="7.24"/>
    <n v="22206"/>
    <n v="8.825634093981077E-3"/>
    <n v="1665"/>
  </r>
  <r>
    <x v="11"/>
    <x v="3"/>
    <n v="221"/>
    <n v="31"/>
    <n v="87443"/>
    <n v="6.19"/>
    <n v="10283"/>
    <n v="2.1728440241071327E-3"/>
    <n v="190"/>
  </r>
  <r>
    <x v="12"/>
    <x v="0"/>
    <n v="1685"/>
    <n v="76"/>
    <n v="453799"/>
    <n v="5.71"/>
    <n v="24913"/>
    <n v="3.5456226214689766E-3"/>
    <n v="1609"/>
  </r>
  <r>
    <x v="12"/>
    <x v="1"/>
    <n v="248"/>
    <n v="211"/>
    <n v="379380"/>
    <n v="9.0399999999999991"/>
    <n v="26925"/>
    <n v="9.7527544941747058E-5"/>
    <n v="37"/>
  </r>
  <r>
    <x v="12"/>
    <x v="2"/>
    <n v="1300"/>
    <n v="71"/>
    <n v="186454"/>
    <n v="3.91"/>
    <n v="9942"/>
    <n v="6.5914381026955706E-3"/>
    <n v="1229"/>
  </r>
  <r>
    <x v="12"/>
    <x v="3"/>
    <n v="422"/>
    <n v="394"/>
    <n v="239044"/>
    <n v="7.83"/>
    <n v="32929"/>
    <n v="1.1713324743561855E-4"/>
    <n v="28"/>
  </r>
  <r>
    <x v="13"/>
    <x v="0"/>
    <n v="1429"/>
    <n v="182"/>
    <n v="101332"/>
    <n v="7.16"/>
    <n v="37829"/>
    <n v="1.2306082974775983E-2"/>
    <n v="1247"/>
  </r>
  <r>
    <x v="13"/>
    <x v="1"/>
    <n v="1520"/>
    <n v="475"/>
    <n v="496982"/>
    <n v="6.41"/>
    <n v="24384"/>
    <n v="2.1026918479944948E-3"/>
    <n v="1045"/>
  </r>
  <r>
    <x v="13"/>
    <x v="2"/>
    <n v="557"/>
    <n v="360"/>
    <n v="318779"/>
    <n v="8.02"/>
    <n v="25797"/>
    <n v="6.1798299135137512E-4"/>
    <n v="197"/>
  </r>
  <r>
    <x v="13"/>
    <x v="3"/>
    <n v="728"/>
    <n v="395"/>
    <n v="370971"/>
    <n v="3.86"/>
    <n v="12646"/>
    <n v="8.9764429025449434E-4"/>
    <n v="333"/>
  </r>
  <r>
    <x v="14"/>
    <x v="0"/>
    <n v="1592"/>
    <n v="20"/>
    <n v="378054"/>
    <n v="9.09"/>
    <n v="26663"/>
    <n v="4.1581361392816901E-3"/>
    <n v="1572"/>
  </r>
  <r>
    <x v="14"/>
    <x v="1"/>
    <n v="1842"/>
    <n v="414"/>
    <n v="307524"/>
    <n v="1.76"/>
    <n v="40478"/>
    <n v="4.6435400163889647E-3"/>
    <n v="1428"/>
  </r>
  <r>
    <x v="14"/>
    <x v="2"/>
    <n v="751"/>
    <n v="491"/>
    <n v="434047"/>
    <n v="9.24"/>
    <n v="15476"/>
    <n v="5.990134708914012E-4"/>
    <n v="260"/>
  </r>
  <r>
    <x v="14"/>
    <x v="3"/>
    <n v="1409"/>
    <n v="309"/>
    <n v="64583"/>
    <n v="8.99"/>
    <n v="10217"/>
    <n v="1.7032345973398571E-2"/>
    <n v="1100"/>
  </r>
  <r>
    <x v="15"/>
    <x v="0"/>
    <n v="778"/>
    <n v="401"/>
    <n v="50793"/>
    <n v="3.4"/>
    <n v="21939"/>
    <n v="7.4222825979957871E-3"/>
    <n v="377"/>
  </r>
  <r>
    <x v="15"/>
    <x v="1"/>
    <n v="443"/>
    <n v="345"/>
    <n v="474162"/>
    <n v="9.1999999999999993"/>
    <n v="47462"/>
    <n v="2.0668041724136477E-4"/>
    <n v="98"/>
  </r>
  <r>
    <x v="15"/>
    <x v="2"/>
    <n v="1472"/>
    <n v="347"/>
    <n v="392355"/>
    <n v="8.59"/>
    <n v="30270"/>
    <n v="2.8673012960201858E-3"/>
    <n v="1125"/>
  </r>
  <r>
    <x v="15"/>
    <x v="3"/>
    <n v="123"/>
    <n v="155"/>
    <n v="119934"/>
    <n v="3.5"/>
    <n v="5442"/>
    <n v="-2.6681341404439108E-4"/>
    <n v="-32"/>
  </r>
  <r>
    <x v="16"/>
    <x v="0"/>
    <n v="817"/>
    <n v="151"/>
    <n v="422625"/>
    <n v="2.36"/>
    <n v="1083"/>
    <n v="1.5758651286601596E-3"/>
    <n v="666"/>
  </r>
  <r>
    <x v="16"/>
    <x v="1"/>
    <n v="198"/>
    <n v="217"/>
    <n v="239753"/>
    <n v="7.36"/>
    <n v="11901"/>
    <n v="-7.9248226299566635E-5"/>
    <n v="-19"/>
  </r>
  <r>
    <x v="16"/>
    <x v="2"/>
    <n v="1911"/>
    <n v="231"/>
    <n v="268516"/>
    <n v="8.5500000000000007"/>
    <n v="24018"/>
    <n v="6.2566104068286429E-3"/>
    <n v="1680"/>
  </r>
  <r>
    <x v="16"/>
    <x v="3"/>
    <n v="1218"/>
    <n v="212"/>
    <n v="63177"/>
    <n v="8.1300000000000008"/>
    <n v="38883"/>
    <n v="1.592351646960128E-2"/>
    <n v="1006"/>
  </r>
  <r>
    <x v="17"/>
    <x v="0"/>
    <n v="1433"/>
    <n v="408"/>
    <n v="370269"/>
    <n v="3.3"/>
    <n v="30575"/>
    <n v="2.7682576721248606E-3"/>
    <n v="1025"/>
  </r>
  <r>
    <x v="17"/>
    <x v="1"/>
    <n v="250"/>
    <n v="429"/>
    <n v="453423"/>
    <n v="1.77"/>
    <n v="2315"/>
    <n v="-3.9477485703195471E-4"/>
    <n v="-179"/>
  </r>
  <r>
    <x v="17"/>
    <x v="2"/>
    <n v="752"/>
    <n v="153"/>
    <n v="64906"/>
    <n v="2.09"/>
    <n v="12148"/>
    <n v="9.2287307798970819E-3"/>
    <n v="599"/>
  </r>
  <r>
    <x v="17"/>
    <x v="3"/>
    <n v="1918"/>
    <n v="212"/>
    <n v="94360"/>
    <n v="7.36"/>
    <n v="36851"/>
    <n v="1.8079694785926241E-2"/>
    <n v="1706"/>
  </r>
  <r>
    <x v="18"/>
    <x v="0"/>
    <n v="1939"/>
    <n v="67"/>
    <n v="187183"/>
    <n v="6.25"/>
    <n v="41215"/>
    <n v="1.0000908202133741E-2"/>
    <n v="1872"/>
  </r>
  <r>
    <x v="18"/>
    <x v="1"/>
    <n v="1929"/>
    <n v="267"/>
    <n v="379363"/>
    <n v="1.75"/>
    <n v="43836"/>
    <n v="4.3810281972675247E-3"/>
    <n v="1662"/>
  </r>
  <r>
    <x v="18"/>
    <x v="2"/>
    <n v="437"/>
    <n v="330"/>
    <n v="476486"/>
    <n v="4.97"/>
    <n v="4509"/>
    <n v="2.2456063766826309E-4"/>
    <n v="107"/>
  </r>
  <r>
    <x v="18"/>
    <x v="3"/>
    <n v="307"/>
    <n v="189"/>
    <n v="117767"/>
    <n v="9.3000000000000007"/>
    <n v="27822"/>
    <n v="1.0019784829366461E-3"/>
    <n v="118"/>
  </r>
  <r>
    <x v="19"/>
    <x v="0"/>
    <n v="1527"/>
    <n v="303"/>
    <n v="388555"/>
    <n v="8.9"/>
    <n v="36397"/>
    <n v="3.1501331857780751E-3"/>
    <n v="1224"/>
  </r>
  <r>
    <x v="19"/>
    <x v="1"/>
    <n v="643"/>
    <n v="358"/>
    <n v="157599"/>
    <n v="3.88"/>
    <n v="7285"/>
    <n v="1.8083871090552605E-3"/>
    <n v="285"/>
  </r>
  <r>
    <x v="19"/>
    <x v="2"/>
    <n v="201"/>
    <n v="221"/>
    <n v="309772"/>
    <n v="5.9"/>
    <n v="33174"/>
    <n v="-6.456361452939582E-5"/>
    <n v="-20"/>
  </r>
  <r>
    <x v="19"/>
    <x v="3"/>
    <n v="414"/>
    <n v="47"/>
    <n v="199178"/>
    <n v="1.53"/>
    <n v="6742"/>
    <n v="1.8425729749269497E-3"/>
    <n v="367"/>
  </r>
  <r>
    <x v="20"/>
    <x v="0"/>
    <n v="703"/>
    <n v="441"/>
    <n v="357089"/>
    <n v="6.5"/>
    <n v="32478"/>
    <n v="7.3371064356504961E-4"/>
    <n v="262"/>
  </r>
  <r>
    <x v="20"/>
    <x v="1"/>
    <n v="508"/>
    <n v="69"/>
    <n v="23492"/>
    <n v="3.16"/>
    <n v="42824"/>
    <n v="1.8687212668142345E-2"/>
    <n v="439"/>
  </r>
  <r>
    <x v="20"/>
    <x v="2"/>
    <n v="697"/>
    <n v="61"/>
    <n v="258287"/>
    <n v="8.25"/>
    <n v="21208"/>
    <n v="2.4623771231227277E-3"/>
    <n v="636"/>
  </r>
  <r>
    <x v="20"/>
    <x v="3"/>
    <n v="1707"/>
    <n v="223"/>
    <n v="256910"/>
    <n v="5.41"/>
    <n v="44321"/>
    <n v="5.7763419096181542E-3"/>
    <n v="1484"/>
  </r>
  <r>
    <x v="21"/>
    <x v="0"/>
    <n v="642"/>
    <n v="66"/>
    <n v="346522"/>
    <n v="5.85"/>
    <n v="13116"/>
    <n v="1.6622321237901201E-3"/>
    <n v="576"/>
  </r>
  <r>
    <x v="21"/>
    <x v="1"/>
    <n v="859"/>
    <n v="473"/>
    <n v="209987"/>
    <n v="4.46"/>
    <n v="30214"/>
    <n v="1.8382090319876945E-3"/>
    <n v="386"/>
  </r>
  <r>
    <x v="21"/>
    <x v="2"/>
    <n v="191"/>
    <n v="154"/>
    <n v="240550"/>
    <n v="5.22"/>
    <n v="15827"/>
    <n v="1.5381417584701726E-4"/>
    <n v="37"/>
  </r>
  <r>
    <x v="21"/>
    <x v="3"/>
    <n v="1814"/>
    <n v="157"/>
    <n v="305827"/>
    <n v="1.99"/>
    <n v="46643"/>
    <n v="5.4180958515762179E-3"/>
    <n v="1657"/>
  </r>
  <r>
    <x v="22"/>
    <x v="0"/>
    <n v="1466"/>
    <n v="69"/>
    <n v="54935"/>
    <n v="6.85"/>
    <n v="36484"/>
    <n v="2.5430053699827069E-2"/>
    <n v="1397"/>
  </r>
  <r>
    <x v="22"/>
    <x v="1"/>
    <n v="947"/>
    <n v="407"/>
    <n v="319186"/>
    <n v="3.32"/>
    <n v="4996"/>
    <n v="1.6918035252172713E-3"/>
    <n v="540"/>
  </r>
  <r>
    <x v="22"/>
    <x v="2"/>
    <n v="1821"/>
    <n v="218"/>
    <n v="439080"/>
    <n v="5.68"/>
    <n v="36095"/>
    <n v="3.6508153411678964E-3"/>
    <n v="1603"/>
  </r>
  <r>
    <x v="22"/>
    <x v="3"/>
    <n v="1507"/>
    <n v="463"/>
    <n v="258944"/>
    <n v="6.08"/>
    <n v="16443"/>
    <n v="4.0317597627286209E-3"/>
    <n v="1044"/>
  </r>
  <r>
    <x v="23"/>
    <x v="0"/>
    <n v="1075"/>
    <n v="173"/>
    <n v="51395"/>
    <n v="4.66"/>
    <n v="47812"/>
    <n v="1.7550345364335054E-2"/>
    <n v="902"/>
  </r>
  <r>
    <x v="23"/>
    <x v="1"/>
    <n v="171"/>
    <n v="277"/>
    <n v="309483"/>
    <n v="8.6999999999999993"/>
    <n v="38452"/>
    <n v="-3.4250669665215861E-4"/>
    <n v="-106"/>
  </r>
  <r>
    <x v="23"/>
    <x v="2"/>
    <n v="1487"/>
    <n v="337"/>
    <n v="87305"/>
    <n v="2.46"/>
    <n v="30428"/>
    <n v="1.3172212358971423E-2"/>
    <n v="1150"/>
  </r>
  <r>
    <x v="23"/>
    <x v="3"/>
    <n v="454"/>
    <n v="105"/>
    <n v="121091"/>
    <n v="7.97"/>
    <n v="9269"/>
    <n v="2.8821299683708945E-3"/>
    <n v="349"/>
  </r>
  <r>
    <x v="24"/>
    <x v="0"/>
    <n v="187"/>
    <n v="236"/>
    <n v="51087"/>
    <n v="9.41"/>
    <n v="29533"/>
    <n v="-9.5914811987394058E-4"/>
    <n v="-49"/>
  </r>
  <r>
    <x v="24"/>
    <x v="1"/>
    <n v="513"/>
    <n v="441"/>
    <n v="338847"/>
    <n v="2.68"/>
    <n v="39997"/>
    <n v="2.1248528096751631E-4"/>
    <n v="72"/>
  </r>
  <r>
    <x v="24"/>
    <x v="2"/>
    <n v="628"/>
    <n v="183"/>
    <n v="487523"/>
    <n v="7.32"/>
    <n v="5391"/>
    <n v="9.1277744844858602E-4"/>
    <n v="445"/>
  </r>
  <r>
    <x v="24"/>
    <x v="3"/>
    <n v="278"/>
    <n v="218"/>
    <n v="301695"/>
    <n v="4.68"/>
    <n v="22373"/>
    <n v="1.9887634863023914E-4"/>
    <n v="60"/>
  </r>
  <r>
    <x v="25"/>
    <x v="0"/>
    <n v="1854"/>
    <n v="161"/>
    <n v="282466"/>
    <n v="5.17"/>
    <n v="1810"/>
    <n v="5.9936417126309005E-3"/>
    <n v="1693"/>
  </r>
  <r>
    <x v="25"/>
    <x v="1"/>
    <n v="1710"/>
    <n v="378"/>
    <n v="336661"/>
    <n v="6.2"/>
    <n v="28498"/>
    <n v="3.9565022381564839E-3"/>
    <n v="1332"/>
  </r>
  <r>
    <x v="25"/>
    <x v="2"/>
    <n v="330"/>
    <n v="232"/>
    <n v="88455"/>
    <n v="2.69"/>
    <n v="39530"/>
    <n v="1.1079079758069075E-3"/>
    <n v="98"/>
  </r>
  <r>
    <x v="25"/>
    <x v="3"/>
    <n v="1293"/>
    <n v="408"/>
    <n v="62535"/>
    <n v="8.9"/>
    <n v="37876"/>
    <n v="1.4152074838090669E-2"/>
    <n v="885"/>
  </r>
  <r>
    <x v="26"/>
    <x v="0"/>
    <n v="1696"/>
    <n v="71"/>
    <n v="421957"/>
    <n v="3.79"/>
    <n v="36103"/>
    <n v="3.8511033114748661E-3"/>
    <n v="1625"/>
  </r>
  <r>
    <x v="26"/>
    <x v="1"/>
    <n v="1902"/>
    <n v="196"/>
    <n v="470269"/>
    <n v="4.79"/>
    <n v="26103"/>
    <n v="3.6277109484146308E-3"/>
    <n v="1706"/>
  </r>
  <r>
    <x v="26"/>
    <x v="2"/>
    <n v="1441"/>
    <n v="268"/>
    <n v="309904"/>
    <n v="6.37"/>
    <n v="3455"/>
    <n v="3.7850431101244257E-3"/>
    <n v="1173"/>
  </r>
  <r>
    <x v="26"/>
    <x v="3"/>
    <n v="452"/>
    <n v="161"/>
    <n v="221274"/>
    <n v="2.65"/>
    <n v="40888"/>
    <n v="1.3151115811166245E-3"/>
    <n v="291"/>
  </r>
  <r>
    <x v="27"/>
    <x v="0"/>
    <n v="1494"/>
    <n v="375"/>
    <n v="220616"/>
    <n v="1.81"/>
    <n v="22724"/>
    <n v="5.0721615839286359E-3"/>
    <n v="1119"/>
  </r>
  <r>
    <x v="27"/>
    <x v="1"/>
    <n v="1514"/>
    <n v="141"/>
    <n v="35842"/>
    <n v="7.47"/>
    <n v="18601"/>
    <n v="3.8307014117515761E-2"/>
    <n v="1373"/>
  </r>
  <r>
    <x v="27"/>
    <x v="2"/>
    <n v="1937"/>
    <n v="210"/>
    <n v="20607"/>
    <n v="4.2"/>
    <n v="20861"/>
    <n v="8.3806473528412681E-2"/>
    <n v="1727"/>
  </r>
  <r>
    <x v="27"/>
    <x v="3"/>
    <n v="736"/>
    <n v="163"/>
    <n v="451894"/>
    <n v="5.43"/>
    <n v="46625"/>
    <n v="1.2679964770499277E-3"/>
    <n v="573"/>
  </r>
  <r>
    <x v="28"/>
    <x v="0"/>
    <n v="1502"/>
    <n v="70"/>
    <n v="465553"/>
    <n v="3.32"/>
    <n v="20692"/>
    <n v="3.0759118725472716E-3"/>
    <n v="1432"/>
  </r>
  <r>
    <x v="28"/>
    <x v="1"/>
    <n v="1623"/>
    <n v="246"/>
    <n v="415815"/>
    <n v="8.11"/>
    <n v="18656"/>
    <n v="3.311568846722701E-3"/>
    <n v="1377"/>
  </r>
  <r>
    <x v="28"/>
    <x v="2"/>
    <n v="1592"/>
    <n v="233"/>
    <n v="327183"/>
    <n v="6.66"/>
    <n v="13316"/>
    <n v="4.1536387893013997E-3"/>
    <n v="1359"/>
  </r>
  <r>
    <x v="28"/>
    <x v="3"/>
    <n v="1004"/>
    <n v="128"/>
    <n v="488901"/>
    <n v="8.09"/>
    <n v="49558"/>
    <n v="1.7917737946946315E-3"/>
    <n v="876"/>
  </r>
  <r>
    <x v="29"/>
    <x v="0"/>
    <n v="1092"/>
    <n v="408"/>
    <n v="280795"/>
    <n v="8.44"/>
    <n v="4683"/>
    <n v="2.4359408109118751E-3"/>
    <n v="684"/>
  </r>
  <r>
    <x v="29"/>
    <x v="1"/>
    <n v="1155"/>
    <n v="425"/>
    <n v="93347"/>
    <n v="2.02"/>
    <n v="47502"/>
    <n v="7.8202834584935772E-3"/>
    <n v="730"/>
  </r>
  <r>
    <x v="29"/>
    <x v="2"/>
    <n v="1137"/>
    <n v="226"/>
    <n v="81119"/>
    <n v="7.74"/>
    <n v="35359"/>
    <n v="1.1230414576116569E-2"/>
    <n v="911"/>
  </r>
  <r>
    <x v="29"/>
    <x v="3"/>
    <n v="1900"/>
    <n v="311"/>
    <n v="25177"/>
    <n v="2.89"/>
    <n v="14154"/>
    <n v="6.3113158835445049E-2"/>
    <n v="1589"/>
  </r>
  <r>
    <x v="30"/>
    <x v="0"/>
    <n v="1814"/>
    <n v="49"/>
    <n v="140804"/>
    <n v="1.76"/>
    <n v="4313"/>
    <n v="1.253515525127127E-2"/>
    <n v="1765"/>
  </r>
  <r>
    <x v="30"/>
    <x v="1"/>
    <n v="1980"/>
    <n v="204"/>
    <n v="379431"/>
    <n v="3.09"/>
    <n v="25140"/>
    <n v="4.6806929323118035E-3"/>
    <n v="1776"/>
  </r>
  <r>
    <x v="30"/>
    <x v="2"/>
    <n v="1786"/>
    <n v="257"/>
    <n v="274831"/>
    <n v="4.68"/>
    <n v="9118"/>
    <n v="5.5634189738421064E-3"/>
    <n v="1529"/>
  </r>
  <r>
    <x v="30"/>
    <x v="3"/>
    <n v="1495"/>
    <n v="35"/>
    <n v="136845"/>
    <n v="4.4800000000000004"/>
    <n v="39931"/>
    <n v="1.0669005078738719E-2"/>
    <n v="1460"/>
  </r>
  <r>
    <x v="31"/>
    <x v="0"/>
    <n v="1013"/>
    <n v="110"/>
    <n v="466382"/>
    <n v="5.3"/>
    <n v="37132"/>
    <n v="1.9361810704529763E-3"/>
    <n v="903"/>
  </r>
  <r>
    <x v="31"/>
    <x v="1"/>
    <n v="816"/>
    <n v="196"/>
    <n v="95728"/>
    <n v="8.1999999999999993"/>
    <n v="17951"/>
    <n v="6.4766839378238338E-3"/>
    <n v="620"/>
  </r>
  <r>
    <x v="31"/>
    <x v="2"/>
    <n v="1633"/>
    <n v="445"/>
    <n v="371156"/>
    <n v="2.2200000000000002"/>
    <n v="2798"/>
    <n v="3.2008104408927781E-3"/>
    <n v="1188"/>
  </r>
  <r>
    <x v="31"/>
    <x v="3"/>
    <n v="891"/>
    <n v="45"/>
    <n v="95410"/>
    <n v="8.33"/>
    <n v="15045"/>
    <n v="8.8669950738916262E-3"/>
    <n v="846"/>
  </r>
  <r>
    <x v="32"/>
    <x v="0"/>
    <n v="1855"/>
    <n v="133"/>
    <n v="349413"/>
    <n v="3.3"/>
    <n v="14548"/>
    <n v="4.9282654051223049E-3"/>
    <n v="1722"/>
  </r>
  <r>
    <x v="32"/>
    <x v="1"/>
    <n v="651"/>
    <n v="353"/>
    <n v="224699"/>
    <n v="5.61"/>
    <n v="45708"/>
    <n v="1.3262186302564765E-3"/>
    <n v="298"/>
  </r>
  <r>
    <x v="32"/>
    <x v="2"/>
    <n v="118"/>
    <n v="262"/>
    <n v="487896"/>
    <n v="2.56"/>
    <n v="12350"/>
    <n v="-2.9514486693885583E-4"/>
    <n v="-144"/>
  </r>
  <r>
    <x v="32"/>
    <x v="3"/>
    <n v="1331"/>
    <n v="430"/>
    <n v="14437"/>
    <n v="3.29"/>
    <n v="40868"/>
    <n v="6.2409087760615087E-2"/>
    <n v="901"/>
  </r>
  <r>
    <x v="33"/>
    <x v="0"/>
    <n v="1748"/>
    <n v="176"/>
    <n v="383681"/>
    <n v="9.24"/>
    <n v="43122"/>
    <n v="4.0971536250166149E-3"/>
    <n v="1572"/>
  </r>
  <r>
    <x v="33"/>
    <x v="1"/>
    <n v="663"/>
    <n v="236"/>
    <n v="479490"/>
    <n v="4.51"/>
    <n v="23853"/>
    <n v="8.9052952094934197E-4"/>
    <n v="427"/>
  </r>
  <r>
    <x v="33"/>
    <x v="2"/>
    <n v="1040"/>
    <n v="149"/>
    <n v="124404"/>
    <n v="5.23"/>
    <n v="45380"/>
    <n v="7.1621491270377159E-3"/>
    <n v="891"/>
  </r>
  <r>
    <x v="33"/>
    <x v="3"/>
    <n v="1166"/>
    <n v="442"/>
    <n v="336949"/>
    <n v="4.68"/>
    <n v="7705"/>
    <n v="2.1486931256659019E-3"/>
    <n v="724"/>
  </r>
  <r>
    <x v="34"/>
    <x v="0"/>
    <n v="115"/>
    <n v="281"/>
    <n v="357265"/>
    <n v="9.23"/>
    <n v="25525"/>
    <n v="-4.6464109274628077E-4"/>
    <n v="-166"/>
  </r>
  <r>
    <x v="34"/>
    <x v="1"/>
    <n v="1249"/>
    <n v="351"/>
    <n v="321307"/>
    <n v="6.37"/>
    <n v="20560"/>
    <n v="2.7948348464241365E-3"/>
    <n v="898"/>
  </r>
  <r>
    <x v="34"/>
    <x v="2"/>
    <n v="1501"/>
    <n v="75"/>
    <n v="262569"/>
    <n v="2.0099999999999998"/>
    <n v="19119"/>
    <n v="5.4309533874905263E-3"/>
    <n v="1426"/>
  </r>
  <r>
    <x v="34"/>
    <x v="3"/>
    <n v="1411"/>
    <n v="186"/>
    <n v="461669"/>
    <n v="3.72"/>
    <n v="43999"/>
    <n v="2.6534161921203288E-3"/>
    <n v="1225"/>
  </r>
  <r>
    <x v="35"/>
    <x v="0"/>
    <n v="1556"/>
    <n v="476"/>
    <n v="351556"/>
    <n v="3.89"/>
    <n v="10825"/>
    <n v="3.0720567989168156E-3"/>
    <n v="1080"/>
  </r>
  <r>
    <x v="35"/>
    <x v="1"/>
    <n v="1159"/>
    <n v="411"/>
    <n v="135987"/>
    <n v="8.6999999999999993"/>
    <n v="40323"/>
    <n v="5.5005257855530306E-3"/>
    <n v="748"/>
  </r>
  <r>
    <x v="35"/>
    <x v="2"/>
    <n v="927"/>
    <n v="358"/>
    <n v="177554"/>
    <n v="6.95"/>
    <n v="48270"/>
    <n v="3.2046588643454949E-3"/>
    <n v="569"/>
  </r>
  <r>
    <x v="35"/>
    <x v="3"/>
    <n v="152"/>
    <n v="355"/>
    <n v="270766"/>
    <n v="9.48"/>
    <n v="18001"/>
    <n v="-7.4972485467156139E-4"/>
    <n v="-203"/>
  </r>
  <r>
    <x v="36"/>
    <x v="0"/>
    <n v="1957"/>
    <n v="234"/>
    <n v="222126"/>
    <n v="4.6100000000000003"/>
    <n v="3314"/>
    <n v="7.7568587198256845E-3"/>
    <n v="1723"/>
  </r>
  <r>
    <x v="36"/>
    <x v="1"/>
    <n v="1294"/>
    <n v="382"/>
    <n v="309914"/>
    <n v="8.0299999999999994"/>
    <n v="23489"/>
    <n v="2.9427518601934728E-3"/>
    <n v="912"/>
  </r>
  <r>
    <x v="36"/>
    <x v="2"/>
    <n v="1587"/>
    <n v="385"/>
    <n v="126582"/>
    <n v="6.99"/>
    <n v="42832"/>
    <n v="9.4958208908059605E-3"/>
    <n v="1202"/>
  </r>
  <r>
    <x v="36"/>
    <x v="3"/>
    <n v="1707"/>
    <n v="263"/>
    <n v="485280"/>
    <n v="9.0299999999999994"/>
    <n v="24494"/>
    <n v="2.9756017144741179E-3"/>
    <n v="1444"/>
  </r>
  <r>
    <x v="37"/>
    <x v="0"/>
    <n v="1138"/>
    <n v="173"/>
    <n v="453243"/>
    <n v="2.86"/>
    <n v="44097"/>
    <n v="2.1291007252180398E-3"/>
    <n v="965"/>
  </r>
  <r>
    <x v="37"/>
    <x v="1"/>
    <n v="1895"/>
    <n v="305"/>
    <n v="104967"/>
    <n v="3.85"/>
    <n v="31853"/>
    <n v="1.5147617822744291E-2"/>
    <n v="1590"/>
  </r>
  <r>
    <x v="37"/>
    <x v="2"/>
    <n v="362"/>
    <n v="399"/>
    <n v="145608"/>
    <n v="7.3"/>
    <n v="37636"/>
    <n v="-2.5410691720235154E-4"/>
    <n v="-37"/>
  </r>
  <r>
    <x v="37"/>
    <x v="3"/>
    <n v="1662"/>
    <n v="487"/>
    <n v="105980"/>
    <n v="9.08"/>
    <n v="22996"/>
    <n v="1.1086997546706926E-2"/>
    <n v="1175"/>
  </r>
  <r>
    <x v="38"/>
    <x v="0"/>
    <n v="1440"/>
    <n v="65"/>
    <n v="126524"/>
    <n v="4.34"/>
    <n v="49772"/>
    <n v="1.0867503398564699E-2"/>
    <n v="1375"/>
  </r>
  <r>
    <x v="38"/>
    <x v="1"/>
    <n v="1884"/>
    <n v="177"/>
    <n v="230448"/>
    <n v="7.8"/>
    <n v="22713"/>
    <n v="7.4073109768798169E-3"/>
    <n v="1707"/>
  </r>
  <r>
    <x v="38"/>
    <x v="2"/>
    <n v="861"/>
    <n v="153"/>
    <n v="317007"/>
    <n v="3.85"/>
    <n v="8718"/>
    <n v="2.2333891680625349E-3"/>
    <n v="708"/>
  </r>
  <r>
    <x v="38"/>
    <x v="3"/>
    <n v="1063"/>
    <n v="47"/>
    <n v="464239"/>
    <n v="6.58"/>
    <n v="39031"/>
    <n v="2.1885278918832756E-3"/>
    <n v="1016"/>
  </r>
  <r>
    <x v="39"/>
    <x v="0"/>
    <n v="1371"/>
    <n v="56"/>
    <n v="257579"/>
    <n v="8.6199999999999992"/>
    <n v="33799"/>
    <n v="5.1052298518124532E-3"/>
    <n v="1315"/>
  </r>
  <r>
    <x v="39"/>
    <x v="1"/>
    <n v="345"/>
    <n v="464"/>
    <n v="366881"/>
    <n v="4.55"/>
    <n v="20553"/>
    <n v="-3.2435585380545735E-4"/>
    <n v="-119"/>
  </r>
  <r>
    <x v="39"/>
    <x v="2"/>
    <n v="946"/>
    <n v="47"/>
    <n v="466575"/>
    <n v="8.33"/>
    <n v="10002"/>
    <n v="1.9268070513850934E-3"/>
    <n v="899"/>
  </r>
  <r>
    <x v="39"/>
    <x v="3"/>
    <n v="510"/>
    <n v="195"/>
    <n v="224534"/>
    <n v="9.4"/>
    <n v="30987"/>
    <n v="1.4029055733207443E-3"/>
    <n v="315"/>
  </r>
  <r>
    <x v="40"/>
    <x v="0"/>
    <n v="393"/>
    <n v="181"/>
    <n v="462142"/>
    <n v="7.23"/>
    <n v="6296"/>
    <n v="4.5873346287504706E-4"/>
    <n v="212"/>
  </r>
  <r>
    <x v="40"/>
    <x v="1"/>
    <n v="1098"/>
    <n v="190"/>
    <n v="340842"/>
    <n v="9.39"/>
    <n v="21539"/>
    <n v="2.6639909400836752E-3"/>
    <n v="908"/>
  </r>
  <r>
    <x v="40"/>
    <x v="2"/>
    <n v="1399"/>
    <n v="49"/>
    <n v="12471"/>
    <n v="5.12"/>
    <n v="14722"/>
    <n v="0.10825114265095021"/>
    <n v="1350"/>
  </r>
  <r>
    <x v="40"/>
    <x v="3"/>
    <n v="1658"/>
    <n v="416"/>
    <n v="98397"/>
    <n v="6.11"/>
    <n v="11383"/>
    <n v="1.2622336046830695E-2"/>
    <n v="1242"/>
  </r>
  <r>
    <x v="41"/>
    <x v="0"/>
    <n v="1102"/>
    <n v="422"/>
    <n v="410330"/>
    <n v="7.74"/>
    <n v="9480"/>
    <n v="1.6572027392586454E-3"/>
    <n v="680"/>
  </r>
  <r>
    <x v="41"/>
    <x v="1"/>
    <n v="1358"/>
    <n v="242"/>
    <n v="342129"/>
    <n v="4.9400000000000004"/>
    <n v="29116"/>
    <n v="3.2619275185675578E-3"/>
    <n v="1116"/>
  </r>
  <r>
    <x v="41"/>
    <x v="2"/>
    <n v="1077"/>
    <n v="216"/>
    <n v="12447"/>
    <n v="1.8"/>
    <n v="14068"/>
    <n v="6.9173294769824048E-2"/>
    <n v="861"/>
  </r>
  <r>
    <x v="41"/>
    <x v="3"/>
    <n v="1596"/>
    <n v="211"/>
    <n v="17380"/>
    <n v="8.64"/>
    <n v="35801"/>
    <n v="7.9689298043728429E-2"/>
    <n v="1385"/>
  </r>
  <r>
    <x v="42"/>
    <x v="0"/>
    <n v="490"/>
    <n v="29"/>
    <n v="364810"/>
    <n v="1.53"/>
    <n v="49077"/>
    <n v="1.2636715002329981E-3"/>
    <n v="461"/>
  </r>
  <r>
    <x v="42"/>
    <x v="1"/>
    <n v="609"/>
    <n v="135"/>
    <n v="373606"/>
    <n v="8.52"/>
    <n v="21453"/>
    <n v="1.268716241173857E-3"/>
    <n v="474"/>
  </r>
  <r>
    <x v="42"/>
    <x v="2"/>
    <n v="364"/>
    <n v="72"/>
    <n v="211090"/>
    <n v="5.53"/>
    <n v="21061"/>
    <n v="1.3832962243592781E-3"/>
    <n v="292"/>
  </r>
  <r>
    <x v="42"/>
    <x v="3"/>
    <n v="442"/>
    <n v="53"/>
    <n v="441931"/>
    <n v="1.87"/>
    <n v="20059"/>
    <n v="8.8022790888170322E-4"/>
    <n v="389"/>
  </r>
  <r>
    <x v="43"/>
    <x v="0"/>
    <n v="1033"/>
    <n v="392"/>
    <n v="282780"/>
    <n v="6.27"/>
    <n v="23140"/>
    <n v="2.2667798288422093E-3"/>
    <n v="641"/>
  </r>
  <r>
    <x v="43"/>
    <x v="1"/>
    <n v="988"/>
    <n v="474"/>
    <n v="370070"/>
    <n v="9.4600000000000009"/>
    <n v="23461"/>
    <n v="1.3889264193260734E-3"/>
    <n v="514"/>
  </r>
  <r>
    <x v="43"/>
    <x v="2"/>
    <n v="1946"/>
    <n v="270"/>
    <n v="198350"/>
    <n v="7.5"/>
    <n v="11805"/>
    <n v="8.4497101083942528E-3"/>
    <n v="1676"/>
  </r>
  <r>
    <x v="43"/>
    <x v="3"/>
    <n v="1957"/>
    <n v="490"/>
    <n v="435726"/>
    <n v="4.7300000000000004"/>
    <n v="15969"/>
    <n v="3.3667947287974553E-3"/>
    <n v="1467"/>
  </r>
  <r>
    <x v="44"/>
    <x v="0"/>
    <n v="559"/>
    <n v="392"/>
    <n v="78789"/>
    <n v="3.19"/>
    <n v="2436"/>
    <n v="2.1195852212872357E-3"/>
    <n v="167"/>
  </r>
  <r>
    <x v="44"/>
    <x v="1"/>
    <n v="1307"/>
    <n v="278"/>
    <n v="98596"/>
    <n v="2.4900000000000002"/>
    <n v="47603"/>
    <n v="1.0436528865268368E-2"/>
    <n v="1029"/>
  </r>
  <r>
    <x v="44"/>
    <x v="2"/>
    <n v="1432"/>
    <n v="425"/>
    <n v="29589"/>
    <n v="4.5"/>
    <n v="42964"/>
    <n v="3.4032917638311531E-2"/>
    <n v="1007"/>
  </r>
  <r>
    <x v="44"/>
    <x v="3"/>
    <n v="623"/>
    <n v="414"/>
    <n v="290354"/>
    <n v="6.49"/>
    <n v="39923"/>
    <n v="7.1981098934404211E-4"/>
    <n v="209"/>
  </r>
  <r>
    <x v="45"/>
    <x v="0"/>
    <n v="198"/>
    <n v="358"/>
    <n v="66682"/>
    <n v="6.73"/>
    <n v="2293"/>
    <n v="-2.3994481269308059E-3"/>
    <n v="-160"/>
  </r>
  <r>
    <x v="45"/>
    <x v="1"/>
    <n v="198"/>
    <n v="373"/>
    <n v="70707"/>
    <n v="4.83"/>
    <n v="25920"/>
    <n v="-2.4750024750024749E-3"/>
    <n v="-175"/>
  </r>
  <r>
    <x v="45"/>
    <x v="2"/>
    <n v="353"/>
    <n v="300"/>
    <n v="142507"/>
    <n v="5.3"/>
    <n v="11035"/>
    <n v="3.7191155522184875E-4"/>
    <n v="53"/>
  </r>
  <r>
    <x v="45"/>
    <x v="3"/>
    <n v="520"/>
    <n v="375"/>
    <n v="369525"/>
    <n v="6.54"/>
    <n v="20733"/>
    <n v="3.9239564305527366E-4"/>
    <n v="145"/>
  </r>
  <r>
    <x v="46"/>
    <x v="0"/>
    <n v="961"/>
    <n v="358"/>
    <n v="62942"/>
    <n v="6.8"/>
    <n v="18693"/>
    <n v="9.5802484827301332E-3"/>
    <n v="603"/>
  </r>
  <r>
    <x v="46"/>
    <x v="1"/>
    <n v="1375"/>
    <n v="330"/>
    <n v="377382"/>
    <n v="2.6"/>
    <n v="7875"/>
    <n v="2.7690774864725927E-3"/>
    <n v="1045"/>
  </r>
  <r>
    <x v="46"/>
    <x v="2"/>
    <n v="1147"/>
    <n v="388"/>
    <n v="333851"/>
    <n v="2.44"/>
    <n v="8471"/>
    <n v="2.2734693021737242E-3"/>
    <n v="759"/>
  </r>
  <r>
    <x v="46"/>
    <x v="3"/>
    <n v="1707"/>
    <n v="74"/>
    <n v="270958"/>
    <n v="3.09"/>
    <n v="14090"/>
    <n v="6.0267642955734836E-3"/>
    <n v="1633"/>
  </r>
  <r>
    <x v="47"/>
    <x v="0"/>
    <n v="1693"/>
    <n v="154"/>
    <n v="445944"/>
    <n v="5.69"/>
    <n v="14216"/>
    <n v="3.4511059684624078E-3"/>
    <n v="1539"/>
  </r>
  <r>
    <x v="47"/>
    <x v="1"/>
    <n v="833"/>
    <n v="380"/>
    <n v="224830"/>
    <n v="3.86"/>
    <n v="3582"/>
    <n v="2.014855668727483E-3"/>
    <n v="453"/>
  </r>
  <r>
    <x v="47"/>
    <x v="2"/>
    <n v="1222"/>
    <n v="274"/>
    <n v="487289"/>
    <n v="3.16"/>
    <n v="32500"/>
    <n v="1.9454574184929272E-3"/>
    <n v="948"/>
  </r>
  <r>
    <x v="47"/>
    <x v="3"/>
    <n v="777"/>
    <n v="140"/>
    <n v="11435"/>
    <n v="1.6"/>
    <n v="6832"/>
    <n v="5.5706165282028861E-2"/>
    <n v="637"/>
  </r>
  <r>
    <x v="48"/>
    <x v="0"/>
    <n v="1957"/>
    <n v="76"/>
    <n v="447902"/>
    <n v="6.09"/>
    <n v="33381"/>
    <n v="4.1995793722733989E-3"/>
    <n v="1881"/>
  </r>
  <r>
    <x v="48"/>
    <x v="1"/>
    <n v="405"/>
    <n v="66"/>
    <n v="418696"/>
    <n v="5.59"/>
    <n v="48419"/>
    <n v="8.0965664826031301E-4"/>
    <n v="339"/>
  </r>
  <r>
    <x v="48"/>
    <x v="2"/>
    <n v="1581"/>
    <n v="71"/>
    <n v="484364"/>
    <n v="3.55"/>
    <n v="16149"/>
    <n v="3.1174901520344203E-3"/>
    <n v="1510"/>
  </r>
  <r>
    <x v="48"/>
    <x v="3"/>
    <n v="1035"/>
    <n v="171"/>
    <n v="148477"/>
    <n v="5.21"/>
    <n v="7541"/>
    <n v="5.8190830903102836E-3"/>
    <n v="864"/>
  </r>
  <r>
    <x v="49"/>
    <x v="0"/>
    <n v="1765"/>
    <n v="109"/>
    <n v="468301"/>
    <n v="1.82"/>
    <n v="20042"/>
    <n v="3.5361871958419907E-3"/>
    <n v="1656"/>
  </r>
  <r>
    <x v="49"/>
    <x v="1"/>
    <n v="837"/>
    <n v="430"/>
    <n v="364820"/>
    <n v="4"/>
    <n v="49400"/>
    <n v="1.1156186612576065E-3"/>
    <n v="407"/>
  </r>
  <r>
    <x v="49"/>
    <x v="2"/>
    <n v="337"/>
    <n v="68"/>
    <n v="456298"/>
    <n v="7.57"/>
    <n v="4007"/>
    <n v="5.8952701962314107E-4"/>
    <n v="269"/>
  </r>
  <r>
    <x v="49"/>
    <x v="3"/>
    <n v="119"/>
    <n v="456"/>
    <n v="82558"/>
    <n v="6.81"/>
    <n v="12174"/>
    <n v="-4.0819787301048958E-3"/>
    <n v="-337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8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7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7DCFF7-2909-4947-A840-9DC874CA83C3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 rowHeaderCaption="Week_Start_Date">
  <location ref="K3:P55" firstHeaderRow="1" firstDataRow="2" firstDataCol="1"/>
  <pivotFields count="9">
    <pivotField axis="axisRow" showAll="0" sortType="descending">
      <items count="5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numFmtId="10" showAll="0"/>
    <pivotField dataField="1" showAll="0"/>
  </pivotFields>
  <rowFields count="1">
    <field x="0"/>
  </rowFields>
  <rowItems count="51">
    <i>
      <x v="30"/>
    </i>
    <i>
      <x v="36"/>
    </i>
    <i>
      <x v="28"/>
    </i>
    <i>
      <x v="38"/>
    </i>
    <i>
      <x v="26"/>
    </i>
    <i>
      <x v="27"/>
    </i>
    <i>
      <x v="48"/>
    </i>
    <i>
      <x v="22"/>
    </i>
    <i>
      <x v="14"/>
    </i>
    <i>
      <x v="43"/>
    </i>
    <i>
      <x v="41"/>
    </i>
    <i>
      <x v="46"/>
    </i>
    <i>
      <x v="25"/>
    </i>
    <i>
      <x v="29"/>
    </i>
    <i>
      <x v="2"/>
    </i>
    <i>
      <x v="18"/>
    </i>
    <i>
      <x v="10"/>
    </i>
    <i>
      <x v="40"/>
    </i>
    <i>
      <x v="37"/>
    </i>
    <i>
      <x v="33"/>
    </i>
    <i>
      <x v="47"/>
    </i>
    <i>
      <x v="31"/>
    </i>
    <i>
      <x/>
    </i>
    <i>
      <x v="34"/>
    </i>
    <i>
      <x v="16"/>
    </i>
    <i>
      <x v="17"/>
    </i>
    <i>
      <x v="5"/>
    </i>
    <i>
      <x v="3"/>
    </i>
    <i>
      <x v="11"/>
    </i>
    <i>
      <x v="1"/>
    </i>
    <i>
      <x v="12"/>
    </i>
    <i>
      <x v="13"/>
    </i>
    <i>
      <x v="20"/>
    </i>
    <i>
      <x v="32"/>
    </i>
    <i>
      <x v="7"/>
    </i>
    <i>
      <x v="21"/>
    </i>
    <i>
      <x v="44"/>
    </i>
    <i>
      <x v="39"/>
    </i>
    <i>
      <x v="23"/>
    </i>
    <i>
      <x v="6"/>
    </i>
    <i>
      <x v="35"/>
    </i>
    <i>
      <x v="8"/>
    </i>
    <i>
      <x v="49"/>
    </i>
    <i>
      <x v="19"/>
    </i>
    <i>
      <x v="42"/>
    </i>
    <i>
      <x v="15"/>
    </i>
    <i>
      <x v="4"/>
    </i>
    <i>
      <x v="9"/>
    </i>
    <i>
      <x v="24"/>
    </i>
    <i>
      <x v="4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Sum of Net_Followers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98C707-EC33-4155-BA46-1E62EB8DC639}" name="PivotTable16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2:AB7" firstHeaderRow="0" firstDataRow="1" firstDataCol="1"/>
  <pivotFields count="18">
    <pivotField showAll="0"/>
    <pivotField showAll="0"/>
    <pivotField numFmtId="22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numFmtId="164" showAll="0"/>
    <pivotField dataField="1" numFmtId="2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Impressions" fld="8" baseField="0" baseItem="0"/>
    <dataField name="Sum of Likes" fld="5" baseField="0" baseItem="0"/>
    <dataField name="Sum of Clicks" fld="10" baseField="0" baseItem="0"/>
    <dataField name="Average of Impressions2" fld="8" subtotal="average" baseField="15" baseItem="0"/>
    <dataField name="Average of Likes2" fld="5" subtotal="average" baseField="15" baseItem="0"/>
    <dataField name="Average of Clicks2" fld="10" subtotal="average" baseField="15" baseItem="0"/>
    <dataField name="Average of Engagement Rate" fld="16" subtotal="average" baseField="15" baseItem="0" numFmtId="2"/>
    <dataField name="Sum of Total Engagement" fld="17" baseField="0" baseItem="0" numFmtId="2"/>
  </dataFields>
  <formats count="2">
    <format dxfId="143">
      <pivotArea outline="0" collapsedLevelsAreSubtotals="1" fieldPosition="0">
        <references count="1">
          <reference field="4294967294" count="1" selected="0">
            <x v="6"/>
          </reference>
        </references>
      </pivotArea>
    </format>
    <format dxfId="142">
      <pivotArea dataOnly="0" labelOnly="1" outline="0" fieldPosition="0">
        <references count="1">
          <reference field="4294967294" count="1">
            <x v="6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558A407-CCFB-4B72-BC77-F8439E66FFEC}" name="PivotTable15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T10:AB15" firstHeaderRow="0" firstDataRow="1" firstDataCol="1"/>
  <pivotFields count="18">
    <pivotField showAll="0"/>
    <pivotField showAll="0"/>
    <pivotField numFmtId="22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showAll="0">
      <items count="2">
        <item x="0"/>
        <item t="default"/>
      </items>
    </pivotField>
    <pivotField dataField="1" showAll="0"/>
  </pivotFields>
  <rowFields count="1">
    <field x="15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Impressions" fld="8" baseField="0" baseItem="0"/>
    <dataField name="Sum of Clicks" fld="10" baseField="0" baseItem="0"/>
    <dataField name="Sum of Likes" fld="5" baseField="0" baseItem="0"/>
    <dataField name="Average of Impressions" fld="8" subtotal="average" baseField="15" baseItem="0"/>
    <dataField name="Average of Clicks" fld="10" subtotal="average" baseField="15" baseItem="0"/>
    <dataField name="Average of Likes" fld="5" subtotal="average" baseField="15" baseItem="0"/>
    <dataField name="Sum of Total Engagement" fld="17" baseField="0" baseItem="0"/>
    <dataField name="Average of Engagement Rate" fld="16" subtotal="average" baseField="1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BCD9507-C905-457B-BC56-E903A761528A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ampaign_Name">
  <location ref="T3:AB8" firstHeaderRow="0" firstDataRow="1" firstDataCol="1"/>
  <pivotFields count="16">
    <pivotField showAll="0"/>
    <pivotField showAll="0"/>
    <pivotField numFmtId="22" showAll="0"/>
    <pivotField showAll="0"/>
    <pivotField showAll="0"/>
    <pivotField dataField="1"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axis="axisRow" showAll="0">
      <items count="5">
        <item x="0"/>
        <item x="2"/>
        <item x="1"/>
        <item x="3"/>
        <item t="default"/>
      </items>
    </pivotField>
    <pivotField dataField="1" numFmtId="164" showAll="0"/>
  </pivotFields>
  <rowFields count="1">
    <field x="14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8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</colItems>
  <dataFields count="8">
    <dataField name="Sum of Impressions" fld="8" baseField="0" baseItem="0"/>
    <dataField name="Sum of Likes" fld="5" baseField="0" baseItem="0"/>
    <dataField name="Sum of Clicks" fld="10" baseField="0" baseItem="0"/>
    <dataField name="Average of Impressions" fld="8" subtotal="average" baseField="14" baseItem="0"/>
    <dataField name="Average of Likes2" fld="5" subtotal="average" baseField="14" baseItem="0"/>
    <dataField name="Average of Clicks2" fld="10" subtotal="average" baseField="14" baseItem="0"/>
    <dataField name="Sum of Engagement Rate" fld="15" baseField="0" baseItem="0" numFmtId="164"/>
    <dataField name="Average of Engagement Rate" fld="15" subtotal="average" baseField="14" baseItem="0" numFmtId="2"/>
  </dataFields>
  <formats count="22">
    <format dxfId="177">
      <pivotArea outline="0" collapsedLevelsAreSubtotals="1" fieldPosition="0">
        <references count="1">
          <reference field="4294967294" count="1" selected="0">
            <x v="7"/>
          </reference>
        </references>
      </pivotArea>
    </format>
    <format dxfId="176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75">
      <pivotArea collapsedLevelsAreSubtotals="1" fieldPosition="0">
        <references count="2">
          <reference field="4294967294" count="1" selected="0">
            <x v="3"/>
          </reference>
          <reference field="14" count="0"/>
        </references>
      </pivotArea>
    </format>
    <format dxfId="174">
      <pivotArea dataOnly="0" labelOnly="1" outline="0" fieldPosition="0">
        <references count="1">
          <reference field="4294967294" count="1">
            <x v="3"/>
          </reference>
        </references>
      </pivotArea>
    </format>
    <format dxfId="173">
      <pivotArea collapsedLevelsAreSubtotals="1" fieldPosition="0">
        <references count="2">
          <reference field="4294967294" count="1" selected="0">
            <x v="4"/>
          </reference>
          <reference field="14" count="0"/>
        </references>
      </pivotArea>
    </format>
    <format dxfId="172">
      <pivotArea dataOnly="0" labelOnly="1" outline="0" fieldPosition="0">
        <references count="1">
          <reference field="4294967294" count="1">
            <x v="4"/>
          </reference>
        </references>
      </pivotArea>
    </format>
    <format dxfId="171">
      <pivotArea collapsedLevelsAreSubtotals="1" fieldPosition="0">
        <references count="2">
          <reference field="4294967294" count="1" selected="0">
            <x v="5"/>
          </reference>
          <reference field="14" count="0"/>
        </references>
      </pivotArea>
    </format>
    <format dxfId="170">
      <pivotArea dataOnly="0" labelOnly="1" outline="0" fieldPosition="0">
        <references count="1">
          <reference field="4294967294" count="1">
            <x v="5"/>
          </reference>
        </references>
      </pivotArea>
    </format>
    <format dxfId="169">
      <pivotArea collapsedLevelsAreSubtotals="1" fieldPosition="0">
        <references count="2">
          <reference field="4294967294" count="1" selected="0">
            <x v="7"/>
          </reference>
          <reference field="14" count="0"/>
        </references>
      </pivotArea>
    </format>
    <format dxfId="168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67">
      <pivotArea collapsedLevelsAreSubtotals="1" fieldPosition="0">
        <references count="2">
          <reference field="4294967294" count="1" selected="0">
            <x v="2"/>
          </reference>
          <reference field="14" count="0"/>
        </references>
      </pivotArea>
    </format>
    <format dxfId="166">
      <pivotArea dataOnly="0" labelOnly="1" outline="0" fieldPosition="0">
        <references count="1">
          <reference field="4294967294" count="1">
            <x v="2"/>
          </reference>
        </references>
      </pivotArea>
    </format>
    <format dxfId="165">
      <pivotArea collapsedLevelsAreSubtotals="1" fieldPosition="0">
        <references count="2">
          <reference field="4294967294" count="1" selected="0">
            <x v="1"/>
          </reference>
          <reference field="14" count="0"/>
        </references>
      </pivotArea>
    </format>
    <format dxfId="164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63">
      <pivotArea collapsedLevelsAreSubtotals="1" fieldPosition="0">
        <references count="2">
          <reference field="4294967294" count="1" selected="0">
            <x v="0"/>
          </reference>
          <reference field="14" count="0"/>
        </references>
      </pivotArea>
    </format>
    <format dxfId="162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61">
      <pivotArea collapsedLevelsAreSubtotals="1" fieldPosition="0">
        <references count="2">
          <reference field="4294967294" count="1" selected="0">
            <x v="7"/>
          </reference>
          <reference field="14" count="0"/>
        </references>
      </pivotArea>
    </format>
    <format dxfId="160">
      <pivotArea dataOnly="0" labelOnly="1" outline="0" fieldPosition="0">
        <references count="1">
          <reference field="4294967294" count="1">
            <x v="7"/>
          </reference>
        </references>
      </pivotArea>
    </format>
    <format dxfId="159">
      <pivotArea field="14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  <format dxfId="157">
      <pivotArea field="14" type="button" dataOnly="0" labelOnly="1" outline="0" axis="axisRow" fieldPosition="0"/>
    </format>
    <format dxfId="156">
      <pivotArea dataOnly="0" labelOnly="1" outline="0" fieldPosition="0">
        <references count="1">
          <reference field="4294967294" count="7">
            <x v="0"/>
            <x v="1"/>
            <x v="2"/>
            <x v="3"/>
            <x v="4"/>
            <x v="5"/>
            <x v="7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A10B8CD-F38B-43CE-8A32-2E121AA86F35}" name="PivotTable9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tag">
  <location ref="P2:Q9" firstHeaderRow="1" firstDataRow="1" firstDataCol="1"/>
  <pivotFields count="14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axis="axisRow" showAll="0">
      <items count="7">
        <item x="1"/>
        <item x="3"/>
        <item x="4"/>
        <item x="0"/>
        <item x="5"/>
        <item x="2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Engagement Rate" fld="12" subtotal="average" baseField="13" baseItem="0" numFmtId="10"/>
  </dataFields>
  <formats count="2">
    <format dxfId="195">
      <pivotArea outline="0" collapsedLevelsAreSubtotals="1" fieldPosition="0"/>
    </format>
    <format dxfId="194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2AD1924-E782-442F-95FB-2B7FC88247E3}" name="PivotTable10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Content type">
  <location ref="P14:U22" firstHeaderRow="1" firstDataRow="2" firstDataCol="1"/>
  <pivotFields count="14">
    <pivotField showAll="0"/>
    <pivotField axis="axisCol" showAll="0">
      <items count="5">
        <item x="3"/>
        <item x="2"/>
        <item x="0"/>
        <item x="1"/>
        <item t="default"/>
      </items>
    </pivotField>
    <pivotField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1">
    <field x="1"/>
  </colFields>
  <colItems count="5">
    <i>
      <x/>
    </i>
    <i>
      <x v="1"/>
    </i>
    <i>
      <x v="2"/>
    </i>
    <i>
      <x v="3"/>
    </i>
    <i t="grand">
      <x/>
    </i>
  </colItems>
  <dataFields count="1">
    <dataField name="Average of Engagement Rate" fld="12" subtotal="average" baseField="3" baseItem="0"/>
  </dataFields>
  <formats count="2">
    <format dxfId="197">
      <pivotArea outline="0" collapsedLevelsAreSubtotals="1" fieldPosition="0"/>
    </format>
    <format dxfId="196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42885F-41FD-441A-8314-C0794D727AD1}" name="PivotTable7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Hastag">
  <location ref="C2:E19" firstHeaderRow="1" firstDataRow="1" firstDataCol="0"/>
  <pivotFields count="1"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6BB1FF-5BA2-43A4-9DB7-67DCD62D0655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D3:E8" firstHeaderRow="1" firstDataRow="1" firstDataCol="1"/>
  <pivotFields count="8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showAll="0"/>
    <pivotField showAll="0"/>
    <pivotField dataField="1"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Follower Growth Rate" fld="7" subtotal="average" baseField="1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9EA6BA-6B45-4B85-9CA4-B3FE58760CAC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:B8" firstHeaderRow="1" firstDataRow="1" firstDataCol="1"/>
  <pivotFields count="16">
    <pivotField showAll="0"/>
    <pivotField axis="axisRow" showAll="0" sortType="descending">
      <items count="5">
        <item x="3"/>
        <item x="2"/>
        <item x="0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5">
    <i>
      <x v="1"/>
    </i>
    <i>
      <x v="2"/>
    </i>
    <i>
      <x v="3"/>
    </i>
    <i>
      <x/>
    </i>
    <i t="grand">
      <x/>
    </i>
  </rowItems>
  <colItems count="1">
    <i/>
  </colItems>
  <dataFields count="1">
    <dataField name="Average of Engagement Rate" fld="15" subtotal="average" baseField="1" baseItem="0" numFmtId="10"/>
  </dataFields>
  <formats count="2">
    <format dxfId="66">
      <pivotArea outline="0" collapsedLevelsAreSubtotals="1" fieldPosition="0"/>
    </format>
    <format dxfId="65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" count="4">
              <x v="0"/>
              <x v="1"/>
              <x v="2"/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6C19345-818F-422B-912A-06828B20B8DE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G3:I8" firstHeaderRow="0" firstDataRow="1" firstDataCol="1"/>
  <pivotFields count="8"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showAll="0"/>
    <pivotField showAll="0"/>
    <pivotField dataField="1" showAll="0"/>
    <pivotField dataField="1" showAll="0"/>
    <pivotField numFmtId="10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Engagement_Rate" fld="5" subtotal="average" baseField="1" baseItem="0"/>
    <dataField name="Sum of Ad_Spend" fld="6" baseField="0" baseItem="0"/>
  </dataFields>
  <chartFormats count="2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25E6EC-2306-4C73-855A-4DF9BD76A3CC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Q3:R10" firstHeaderRow="1" firstDataRow="1" firstDataCol="1"/>
  <pivotFields count="14">
    <pivotField showAll="0"/>
    <pivotField showAll="0"/>
    <pivotField numFmtId="22"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7">
        <item x="1"/>
        <item x="3"/>
        <item x="4"/>
        <item x="0"/>
        <item x="5"/>
        <item x="2"/>
        <item t="default"/>
      </items>
    </pivotField>
  </pivotFields>
  <rowFields count="1">
    <field x="1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Average of Clicks" fld="10" subtotal="average" baseField="13" baseItem="0" numFmtId="2"/>
  </dataFields>
  <formats count="2">
    <format dxfId="76">
      <pivotArea outline="0" collapsedLevelsAreSubtotals="1" fieldPosition="0"/>
    </format>
    <format dxfId="75">
      <pivotArea dataOnly="0" labelOnly="1" outline="0" axis="axisValues" fieldPosition="0"/>
    </format>
  </formats>
  <conditionalFormats count="1">
    <conditionalFormat priority="1">
      <pivotAreas count="1">
        <pivotArea type="data" collapsedLevelsAreSubtotals="1" fieldPosition="0">
          <references count="2">
            <reference field="4294967294" count="1" selected="0">
              <x v="0"/>
            </reference>
            <reference field="13" count="6">
              <x v="0"/>
              <x v="1"/>
              <x v="2"/>
              <x v="3"/>
              <x v="4"/>
              <x v="5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6233661-2A43-426E-90AC-12FA9BC3397A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4:P23" firstHeaderRow="1" firstDataRow="3" firstDataCol="1"/>
  <pivotFields count="16">
    <pivotField showAll="0"/>
    <pivotField axis="axisCol" showAll="0">
      <items count="5">
        <item x="3"/>
        <item x="2"/>
        <item x="0"/>
        <item x="1"/>
        <item t="default"/>
      </items>
    </pivotField>
    <pivotField numFmtId="22" showAll="0"/>
    <pivotField axis="axisRow" showAll="0">
      <items count="7">
        <item x="3"/>
        <item x="4"/>
        <item x="0"/>
        <item x="2"/>
        <item x="1"/>
        <item x="5"/>
        <item t="default"/>
      </items>
    </pivotField>
    <pivotField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numFmtId="164" showAll="0"/>
  </pivotFields>
  <rowFields count="1">
    <field x="3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Fields count="2">
    <field x="1"/>
    <field x="-2"/>
  </colFields>
  <colItems count="15">
    <i>
      <x/>
      <x/>
    </i>
    <i r="1" i="1">
      <x v="1"/>
    </i>
    <i r="1" i="2">
      <x v="2"/>
    </i>
    <i>
      <x v="1"/>
      <x/>
    </i>
    <i r="1" i="1">
      <x v="1"/>
    </i>
    <i r="1" i="2">
      <x v="2"/>
    </i>
    <i>
      <x v="2"/>
      <x/>
    </i>
    <i r="1" i="1">
      <x v="1"/>
    </i>
    <i r="1" i="2">
      <x v="2"/>
    </i>
    <i>
      <x v="3"/>
      <x/>
    </i>
    <i r="1" i="1">
      <x v="1"/>
    </i>
    <i r="1" i="2">
      <x v="2"/>
    </i>
    <i t="grand">
      <x/>
    </i>
    <i t="grand" i="1">
      <x/>
    </i>
    <i t="grand" i="2">
      <x/>
    </i>
  </colItems>
  <dataFields count="3">
    <dataField name="Sum of Likes" fld="5" baseField="0" baseItem="0"/>
    <dataField name="Sum of Shares" fld="6" baseField="0" baseItem="0"/>
    <dataField name="Sum of Comments" fld="7" baseField="0" baseItem="0"/>
  </dataFields>
  <formats count="36">
    <format dxfId="112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0"/>
          </reference>
          <reference field="3" count="0"/>
        </references>
      </pivotArea>
    </format>
    <format dxfId="111">
      <pivotArea dataOnly="0" labelOnly="1" outline="0" fieldPosition="0">
        <references count="2">
          <reference field="4294967294" count="1">
            <x v="0"/>
          </reference>
          <reference field="1" count="1" selected="0">
            <x v="0"/>
          </reference>
        </references>
      </pivotArea>
    </format>
    <format dxfId="110">
      <pivotArea field="3" type="button" dataOnly="0" labelOnly="1" outline="0" axis="axisRow" fieldPosition="0"/>
    </format>
    <format dxfId="109">
      <pivotArea dataOnly="0" labelOnly="1" fieldPosition="0">
        <references count="1">
          <reference field="3" count="0"/>
        </references>
      </pivotArea>
    </format>
    <format dxfId="108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0"/>
          </reference>
          <reference field="3" count="0"/>
        </references>
      </pivotArea>
    </format>
    <format dxfId="107">
      <pivotArea dataOnly="0" labelOnly="1" outline="0" fieldPosition="0">
        <references count="2">
          <reference field="4294967294" count="1">
            <x v="1"/>
          </reference>
          <reference field="1" count="1" selected="0">
            <x v="0"/>
          </reference>
        </references>
      </pivotArea>
    </format>
    <format dxfId="106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0"/>
          </reference>
          <reference field="3" count="0"/>
        </references>
      </pivotArea>
    </format>
    <format dxfId="105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1"/>
          </reference>
          <reference field="3" count="0"/>
        </references>
      </pivotArea>
    </format>
    <format dxfId="104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103">
      <pivotArea type="topRight" dataOnly="0" labelOnly="1" outline="0" offset="B1" fieldPosition="0"/>
    </format>
    <format dxfId="102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1"/>
          </reference>
          <reference field="3" count="0"/>
        </references>
      </pivotArea>
    </format>
    <format dxfId="101">
      <pivotArea dataOnly="0" labelOnly="1" outline="0" fieldPosition="0">
        <references count="2">
          <reference field="4294967294" count="1">
            <x v="1"/>
          </reference>
          <reference field="1" count="1" selected="0">
            <x v="1"/>
          </reference>
        </references>
      </pivotArea>
    </format>
    <format dxfId="100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1"/>
          </reference>
          <reference field="3" count="0"/>
        </references>
      </pivotArea>
    </format>
    <format dxfId="99">
      <pivotArea dataOnly="0" labelOnly="1" outline="0" fieldPosition="0">
        <references count="2">
          <reference field="4294967294" count="1">
            <x v="2"/>
          </reference>
          <reference field="1" count="1" selected="0">
            <x v="1"/>
          </reference>
        </references>
      </pivotArea>
    </format>
    <format dxfId="98">
      <pivotArea dataOnly="0" labelOnly="1" outline="0" fieldPosition="0">
        <references count="2">
          <reference field="4294967294" count="1">
            <x v="0"/>
          </reference>
          <reference field="1" count="1" selected="0">
            <x v="1"/>
          </reference>
        </references>
      </pivotArea>
    </format>
    <format dxfId="97">
      <pivotArea dataOnly="0" labelOnly="1" offset="A256" fieldPosition="0">
        <references count="1">
          <reference field="1" count="1">
            <x v="1"/>
          </reference>
        </references>
      </pivotArea>
    </format>
    <format dxfId="96">
      <pivotArea dataOnly="0" labelOnly="1" offset="A256" fieldPosition="0">
        <references count="1">
          <reference field="1" count="1">
            <x v="1"/>
          </reference>
        </references>
      </pivotArea>
    </format>
    <format dxfId="95">
      <pivotArea dataOnly="0" labelOnly="1" offset="A256" fieldPosition="0">
        <references count="1">
          <reference field="1" count="1">
            <x v="0"/>
          </reference>
        </references>
      </pivotArea>
    </format>
    <format dxfId="94">
      <pivotArea dataOnly="0" labelOnly="1" offset="A256" fieldPosition="0">
        <references count="1">
          <reference field="1" count="1">
            <x v="2"/>
          </reference>
        </references>
      </pivotArea>
    </format>
    <format dxfId="93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2"/>
          </reference>
          <reference field="3" count="0"/>
        </references>
      </pivotArea>
    </format>
    <format dxfId="92">
      <pivotArea dataOnly="0" labelOnly="1" outline="0" fieldPosition="0">
        <references count="2">
          <reference field="4294967294" count="1">
            <x v="1"/>
          </reference>
          <reference field="1" count="1" selected="0">
            <x v="2"/>
          </reference>
        </references>
      </pivotArea>
    </format>
    <format dxfId="91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2"/>
          </reference>
          <reference field="3" count="0"/>
        </references>
      </pivotArea>
    </format>
    <format dxfId="90">
      <pivotArea dataOnly="0" labelOnly="1" outline="0" fieldPosition="0">
        <references count="2">
          <reference field="4294967294" count="1">
            <x v="2"/>
          </reference>
          <reference field="1" count="1" selected="0">
            <x v="2"/>
          </reference>
        </references>
      </pivotArea>
    </format>
    <format dxfId="89">
      <pivotArea collapsedLevelsAreSubtotals="1" fieldPosition="0">
        <references count="3">
          <reference field="4294967294" count="1" selected="0">
            <x v="0"/>
          </reference>
          <reference field="1" count="1" selected="0">
            <x v="3"/>
          </reference>
          <reference field="3" count="0"/>
        </references>
      </pivotArea>
    </format>
    <format dxfId="88">
      <pivotArea dataOnly="0" labelOnly="1" offset="A256" fieldPosition="0">
        <references count="1">
          <reference field="1" count="1">
            <x v="3"/>
          </reference>
        </references>
      </pivotArea>
    </format>
    <format dxfId="87">
      <pivotArea dataOnly="0" labelOnly="1" outline="0" fieldPosition="0">
        <references count="2">
          <reference field="4294967294" count="1">
            <x v="0"/>
          </reference>
          <reference field="1" count="1" selected="0">
            <x v="3"/>
          </reference>
        </references>
      </pivotArea>
    </format>
    <format dxfId="86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3" count="0"/>
        </references>
      </pivotArea>
    </format>
    <format dxfId="85">
      <pivotArea dataOnly="0" labelOnly="1" outline="0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84">
      <pivotArea collapsedLevelsAreSubtotals="1" fieldPosition="0">
        <references count="3">
          <reference field="4294967294" count="1" selected="0">
            <x v="1"/>
          </reference>
          <reference field="1" count="1" selected="0">
            <x v="3"/>
          </reference>
          <reference field="3" count="0"/>
        </references>
      </pivotArea>
    </format>
    <format dxfId="83">
      <pivotArea dataOnly="0" labelOnly="1" outline="0" fieldPosition="0">
        <references count="2">
          <reference field="4294967294" count="1">
            <x v="1"/>
          </reference>
          <reference field="1" count="1" selected="0">
            <x v="3"/>
          </reference>
        </references>
      </pivotArea>
    </format>
    <format dxfId="82">
      <pivotArea collapsedLevelsAreSubtotals="1" fieldPosition="0">
        <references count="3">
          <reference field="4294967294" count="1" selected="0">
            <x v="2"/>
          </reference>
          <reference field="1" count="1" selected="0">
            <x v="3"/>
          </reference>
          <reference field="3" count="0"/>
        </references>
      </pivotArea>
    </format>
    <format dxfId="81">
      <pivotArea dataOnly="0" labelOnly="1" outline="0" fieldPosition="0">
        <references count="2">
          <reference field="4294967294" count="1">
            <x v="2"/>
          </reference>
          <reference field="1" count="1" selected="0">
            <x v="3"/>
          </reference>
        </references>
      </pivotArea>
    </format>
    <format dxfId="80">
      <pivotArea dataOnly="0" labelOnly="1" offset="IV256" fieldPosition="0">
        <references count="1">
          <reference field="1" count="1">
            <x v="3"/>
          </reference>
        </references>
      </pivotArea>
    </format>
    <format dxfId="79">
      <pivotArea dataOnly="0" labelOnly="1" offset="A256" fieldPosition="0">
        <references count="1">
          <reference field="1" count="1">
            <x v="0"/>
          </reference>
        </references>
      </pivotArea>
    </format>
    <format dxfId="78">
      <pivotArea dataOnly="0" labelOnly="1" fieldPosition="0">
        <references count="1">
          <reference field="1" count="0"/>
        </references>
      </pivotArea>
    </format>
    <format dxfId="77">
      <pivotArea dataOnly="0" labelOnly="1" fieldPosition="0">
        <references count="1">
          <reference field="1" count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0DBC6FD-C05E-4FBB-8000-AA56AB0248FB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rowHeaderCaption="Platform">
  <location ref="A3:B8" firstHeaderRow="1" firstDataRow="1" firstDataCol="1"/>
  <pivotFields count="16">
    <pivotField showAll="0"/>
    <pivotField axis="axisRow" showAll="0">
      <items count="5">
        <item x="3"/>
        <item x="2"/>
        <item x="0"/>
        <item x="1"/>
        <item t="default"/>
      </items>
    </pivotField>
    <pivotField numFmtId="22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numFmtId="164" showAl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Average of Engagement Rate" fld="15" subtotal="average" baseField="1" baseItem="0" numFmtId="164"/>
  </dataFields>
  <formats count="1">
    <format dxfId="113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5" xr16:uid="{9DA5E50E-C2E7-4D3A-93B2-DECC4669D0D7}" autoFormatId="16" applyNumberFormats="0" applyBorderFormats="0" applyFontFormats="0" applyPatternFormats="0" applyAlignmentFormats="0" applyWidthHeightFormats="0">
  <queryTableRefresh nextId="18" unboundColumnsRight="1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  <queryTableField id="17" name="Campaign_Name_Filled" tableColumnId="17"/>
      <queryTableField id="16" dataBound="0" tableColumnId="16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9" xr16:uid="{B9022EA2-746C-481C-8200-FB51C9674AF4}" autoFormatId="16" applyNumberFormats="0" applyBorderFormats="0" applyFontFormats="0" applyPatternFormats="0" applyAlignmentFormats="0" applyWidthHeightFormats="0">
  <queryTableRefresh nextId="21" unboundColumnsRight="1">
    <queryTableFields count="18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9" name="Campaign_Name" tableColumnId="18"/>
      <queryTableField id="16" name="Campaign_Name_Filled" tableColumnId="16"/>
      <queryTableField id="17" name="Engagement Rate" tableColumnId="17"/>
      <queryTableField id="18" dataBound="0" tableColumnId="15"/>
    </queryTableFields>
    <queryTableDeletedFields count="1">
      <deletedField name="Campaign_Name"/>
    </queryTableDeletedFields>
  </queryTableRefresh>
</queryTable>
</file>

<file path=xl/queryTables/queryTable3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8" xr16:uid="{0F571B43-1D8B-41E8-8802-3DF4728023BA}" autoFormatId="16" applyNumberFormats="0" applyBorderFormats="0" applyFontFormats="0" applyPatternFormats="0" applyAlignmentFormats="0" applyWidthHeightFormats="0">
  <queryTableRefresh nextId="21" unboundColumnsRight="1">
    <queryTableFields count="18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9" name="Campaign_Name" tableColumnId="18"/>
      <queryTableField id="16" name="Campaign_Name_Filled" tableColumnId="16"/>
      <queryTableField id="17" name="Engagement Rate" tableColumnId="17"/>
      <queryTableField id="18" dataBound="0" tableColumnId="15"/>
    </queryTableFields>
    <queryTableDeletedFields count="1">
      <deletedField name="Campaign_Name"/>
    </queryTableDeletedFields>
  </queryTableRefresh>
</queryTable>
</file>

<file path=xl/queryTables/queryTable4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11" xr16:uid="{FB0C6752-087C-4C42-AAC2-28E893DD1A07}" autoFormatId="16" applyNumberFormats="0" applyBorderFormats="0" applyFontFormats="0" applyPatternFormats="0" applyAlignmentFormats="0" applyWidthHeightFormats="0">
  <queryTableRefresh nextId="15">
    <queryTableFields count="14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Campaign_Name_Filled" tableColumnId="12"/>
      <queryTableField id="13" name="Engagement Rate" tableColumnId="13"/>
      <queryTableField id="14" name="Hastag" tableColumnId="14"/>
    </queryTableFields>
  </queryTableRefresh>
</queryTable>
</file>

<file path=xl/queryTables/queryTable5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10" xr16:uid="{78FBCC02-6098-4C21-82F6-DFFA4F6D1555}" autoFormatId="16" applyNumberFormats="0" applyBorderFormats="0" applyFontFormats="0" applyPatternFormats="0" applyAlignmentFormats="0" applyWidthHeightFormats="0">
  <queryTableRefresh nextId="19">
    <queryTableFields count="15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3" name="Campaign_Name_Filled" tableColumnId="13"/>
      <queryTableField id="14" name="Engagement Rate" tableColumnId="14"/>
      <queryTableField id="17" name="Attribute" tableColumnId="12"/>
      <queryTableField id="16" name="Hastag" tableColumnId="16"/>
    </queryTableFields>
    <queryTableDeletedFields count="1">
      <deletedField name="Attribute"/>
    </queryTableDeletedFields>
  </queryTableRefresh>
</queryTable>
</file>

<file path=xl/queryTables/queryTable6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6" xr16:uid="{1107AC38-4059-44CF-AA44-C49B537D9648}" autoFormatId="16" applyNumberFormats="0" applyBorderFormats="0" applyFontFormats="0" applyPatternFormats="0" applyAlignmentFormats="0" applyWidthHeightFormats="0">
  <queryTableRefresh nextId="20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8" name="Campaign_Name" tableColumnId="15"/>
      <queryTableField id="16" name="Campaign_Name_Filled" tableColumnId="16"/>
      <queryTableField id="17" name="Engagement Rate" tableColumnId="17"/>
    </queryTableFields>
    <queryTableDeletedFields count="1">
      <deletedField name="Campaign_Name"/>
    </queryTableDeletedFields>
  </queryTableRefresh>
</queryTable>
</file>

<file path=xl/queryTables/queryTable7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7" xr16:uid="{F94F1651-F551-45A9-8578-52E96D5ABC65}" autoFormatId="16" applyNumberFormats="0" applyBorderFormats="0" applyFontFormats="0" applyPatternFormats="0" applyAlignmentFormats="0" applyWidthHeightFormats="0">
  <queryTableRefresh nextId="26" unboundColumnsRight="1">
    <queryTableFields count="18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24" name="Campaign_Name" tableColumnId="23"/>
      <queryTableField id="16" name="Campaign_Name_Filled" tableColumnId="16"/>
      <queryTableField id="17" name="Engagement Rate" tableColumnId="17"/>
      <queryTableField id="18" dataBound="0" tableColumnId="15"/>
    </queryTableFields>
    <queryTableDeletedFields count="1">
      <deletedField name="Campaign_Name"/>
    </queryTableDeletedFields>
  </queryTableRefresh>
</queryTable>
</file>

<file path=xl/queryTables/queryTable8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4" connectionId="4" xr16:uid="{D12306E9-769C-4B97-A9D0-584324A9C62B}" autoFormatId="16" applyNumberFormats="0" applyBorderFormats="0" applyFontFormats="0" applyPatternFormats="0" applyAlignmentFormats="0" applyWidthHeightFormats="0">
  <queryTableRefresh nextId="18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  <queryTableField id="16" name="Campaign_Name_Filled" tableColumnId="16"/>
      <queryTableField id="17" name="Campaign_From_Hashtag3.Campaign_Name" tableColumnId="17"/>
    </queryTableFields>
  </queryTableRefresh>
</queryTable>
</file>

<file path=xl/queryTables/queryTable9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3" connectionId="3" xr16:uid="{7DF1F4F7-0689-4B92-B1C5-077F22AB2BD6}" autoFormatId="16" applyNumberFormats="0" applyBorderFormats="0" applyFontFormats="0" applyPatternFormats="0" applyAlignmentFormats="0" applyWidthHeightFormats="0">
  <queryTableRefresh nextId="18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  <queryTableField id="16" name="Campaign_Name_Filled" tableColumnId="16"/>
      <queryTableField id="17" name="Campaign_From_Hashtag2" tableColumnId="17"/>
    </queryTableFields>
  </queryTableRefresh>
</queryTable>
</file>

<file path=xl/queryTables/queryTable10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2" connectionId="2" xr16:uid="{D25EE98B-188D-4FBB-BCD0-0D1361346D10}" autoFormatId="16" applyNumberFormats="0" applyBorderFormats="0" applyFontFormats="0" applyPatternFormats="0" applyAlignmentFormats="0" applyWidthHeightFormats="0">
  <queryTableRefresh nextId="18">
    <queryTableFields count="17">
      <queryTableField id="1" name="Post ID" tableColumnId="1"/>
      <queryTableField id="2" name="Platform" tableColumnId="2"/>
      <queryTableField id="3" name="Date" tableColumnId="3"/>
      <queryTableField id="4" name="Content Type" tableColumnId="4"/>
      <queryTableField id="5" name="Post Text" tableColumnId="5"/>
      <queryTableField id="6" name="Likes" tableColumnId="6"/>
      <queryTableField id="7" name="Shares" tableColumnId="7"/>
      <queryTableField id="8" name="Comments" tableColumnId="8"/>
      <queryTableField id="9" name="Impressions" tableColumnId="9"/>
      <queryTableField id="10" name="Reach" tableColumnId="10"/>
      <queryTableField id="11" name="Clicks" tableColumnId="11"/>
      <queryTableField id="12" name="Hashtags Used.1" tableColumnId="12"/>
      <queryTableField id="13" name="Hashtags Used.2" tableColumnId="13"/>
      <queryTableField id="14" name="Hashtags Used.3" tableColumnId="14"/>
      <queryTableField id="15" name="Campaign_Name" tableColumnId="15"/>
      <queryTableField id="16" name="Campaign_Name_Filled" tableColumnId="16"/>
      <queryTableField id="17" name="Campaign_From_Hashtag1" tableColumnId="17"/>
    </queryTableFields>
  </queryTableRefresh>
</queryTable>
</file>

<file path=xl/queryTables/queryTable1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F20EBBB-068B-4B75-845D-584BC2FDE975}" autoFormatId="16" applyNumberFormats="0" applyBorderFormats="0" applyFontFormats="0" applyPatternFormats="0" applyAlignmentFormats="0" applyWidthHeightFormats="0">
  <queryTableRefresh nextId="8">
    <queryTableFields count="7">
      <queryTableField id="1" name="Campaign_Name" tableColumnId="1"/>
      <queryTableField id="2" name="Start_Date" tableColumnId="2"/>
      <queryTableField id="3" name="End_Date" tableColumnId="3"/>
      <queryTableField id="4" name="Objective" tableColumnId="4"/>
      <queryTableField id="5" name="Total_Budget" tableColumnId="5"/>
      <queryTableField id="6" name="Target_Platforms" tableColumnId="6"/>
      <queryTableField id="7" name="Hastag" tableColumnId="7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3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4.xml"/></Relationships>
</file>

<file path=xl/tables/_rels/table6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5.xml"/></Relationships>
</file>

<file path=xl/tables/_rels/table7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6.xml"/></Relationships>
</file>

<file path=xl/tables/_rels/table8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7.xml"/></Relationships>
</file>

<file path=xl/tables/_rels/table10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8.xml"/></Relationships>
</file>

<file path=xl/tables/_rels/table1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9.xml"/></Relationships>
</file>

<file path=xl/tables/_rels/table12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0.xml"/></Relationships>
</file>

<file path=xl/tables/_rels/table13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55E9AAB-4AA9-4C8D-B751-6B7F5D9C385A}" name="Table1_1" displayName="Table1_1" ref="A1:Q301" tableType="queryTable" totalsRowShown="0">
  <autoFilter ref="A1:Q301" xr:uid="{055E9AAB-4AA9-4C8D-B751-6B7F5D9C385A}">
    <filterColumn colId="14">
      <filters blank="1"/>
    </filterColumn>
  </autoFilter>
  <tableColumns count="17">
    <tableColumn id="1" xr3:uid="{7CC8E028-DE1B-4F10-BE6B-330D3580DC02}" uniqueName="1" name="Post ID" queryTableFieldId="1" dataDxfId="207"/>
    <tableColumn id="2" xr3:uid="{38A77EC0-AAC2-4E54-9CA9-9473C056F004}" uniqueName="2" name="Platform" queryTableFieldId="2" dataDxfId="206"/>
    <tableColumn id="3" xr3:uid="{B6AC4607-AB9B-4B08-A232-95BEE9E9028F}" uniqueName="3" name="Date" queryTableFieldId="3" dataDxfId="205"/>
    <tableColumn id="4" xr3:uid="{D4EBA7E3-9C3A-49F8-B5D9-7721635F9EBA}" uniqueName="4" name="Content Type" queryTableFieldId="4" dataDxfId="204"/>
    <tableColumn id="5" xr3:uid="{D9745049-161A-4ACB-B4A3-5E9AA5EEF7F8}" uniqueName="5" name="Post Text" queryTableFieldId="5" dataDxfId="203"/>
    <tableColumn id="6" xr3:uid="{4706348F-B042-4025-864A-778C94FF899E}" uniqueName="6" name="Likes" queryTableFieldId="6"/>
    <tableColumn id="7" xr3:uid="{E98C4938-0997-49BA-8360-4E1C79C973A8}" uniqueName="7" name="Shares" queryTableFieldId="7"/>
    <tableColumn id="8" xr3:uid="{182CE888-18D2-4C77-9FF9-67DD3DE5F081}" uniqueName="8" name="Comments" queryTableFieldId="8"/>
    <tableColumn id="9" xr3:uid="{F51DFF35-4000-405B-8AEF-C66E8D04FA14}" uniqueName="9" name="Impressions" queryTableFieldId="9"/>
    <tableColumn id="10" xr3:uid="{CBB50CA9-0EBB-48E4-A158-106E6ADEEA58}" uniqueName="10" name="Reach" queryTableFieldId="10"/>
    <tableColumn id="11" xr3:uid="{82EF73BF-1CBD-4750-8CBF-4E322EC7ACB5}" uniqueName="11" name="Clicks" queryTableFieldId="11"/>
    <tableColumn id="12" xr3:uid="{A61E1264-8FEE-461C-B4F5-4AF05924D5CA}" uniqueName="12" name="Hashtags Used.1" queryTableFieldId="12" dataDxfId="202"/>
    <tableColumn id="13" xr3:uid="{760885BD-3E91-44DF-8A97-BBFE7EA4C843}" uniqueName="13" name="Hashtags Used.2" queryTableFieldId="13" dataDxfId="201"/>
    <tableColumn id="14" xr3:uid="{56917217-2B25-4B38-A690-3FF44A090198}" uniqueName="14" name="Hashtags Used.3" queryTableFieldId="14" dataDxfId="200"/>
    <tableColumn id="15" xr3:uid="{DAAB5CFA-D0DF-473D-AC2D-483DBDE74D8A}" uniqueName="15" name="Campaign_Name" queryTableFieldId="15" dataDxfId="199"/>
    <tableColumn id="17" xr3:uid="{159FFF3A-3535-40BD-B831-CE95E0E443F7}" uniqueName="17" name="Campaign_Name_Filled" queryTableFieldId="17"/>
    <tableColumn id="16" xr3:uid="{B414BDB8-B7BB-472F-AA92-9BF816C54D7C}" uniqueName="16" name="Engagement Rate" queryTableFieldId="16" dataDxfId="198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4827A94-4160-4776-A0F9-EB11D907A1A1}" name="Table9" displayName="Table9" ref="A1:I201" totalsRowShown="0" headerRowDxfId="187" dataDxfId="186">
  <autoFilter ref="A1:I201" xr:uid="{14827A94-4160-4776-A0F9-EB11D907A1A1}"/>
  <tableColumns count="9">
    <tableColumn id="1" xr3:uid="{3AF0CE68-670F-408F-A7DB-FD6E4E32330A}" name="Week_Start_Date" dataDxfId="185"/>
    <tableColumn id="2" xr3:uid="{9FC5296D-E844-45BA-BA34-69BE1B32B7EA}" name="Platform" dataDxfId="184"/>
    <tableColumn id="3" xr3:uid="{16F356E8-0D07-4B9E-AAB5-98BA287A8E8D}" name="New_Followers" dataDxfId="183"/>
    <tableColumn id="4" xr3:uid="{1BDBFDF1-30F2-4CBE-A3CE-D26C96B7365B}" name="Unfollows" dataDxfId="182"/>
    <tableColumn id="5" xr3:uid="{D167DBC9-7DD7-480C-80DD-5E2AC2AEDBE4}" name="Total_Followers" dataDxfId="181"/>
    <tableColumn id="6" xr3:uid="{E16E0A17-8C0E-4363-8678-A3E60C7D42AC}" name="Engagement_Rate" dataDxfId="180"/>
    <tableColumn id="7" xr3:uid="{32156F3D-A5BF-4EBA-9721-00C8D71CDF7D}" name="Ad_Spend" dataDxfId="179"/>
    <tableColumn id="8" xr3:uid="{515A316E-557E-424B-8E7F-2EF52433FF68}" name="Follower Growth Rate" dataDxfId="178">
      <calculatedColumnFormula>(C2-D2)/E2</calculatedColumnFormula>
    </tableColumn>
    <tableColumn id="9" xr3:uid="{27399FB8-DC78-4312-AE62-759A61FC92F2}" name="Net_Followers">
      <calculatedColumnFormula>C2-D2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9B202D27-9DF8-4BD6-A5D7-891E7F15143B}" name="Table1_21718" displayName="Table1_21718" ref="A1:R301" tableType="queryTable" totalsRowShown="0">
  <autoFilter ref="A1:R301" xr:uid="{9B202D27-9DF8-4BD6-A5D7-891E7F15143B}"/>
  <sortState xmlns:xlrd2="http://schemas.microsoft.com/office/spreadsheetml/2017/richdata2" ref="A2:R301">
    <sortCondition ref="A1:A301"/>
  </sortState>
  <tableColumns count="18">
    <tableColumn id="1" xr3:uid="{54353642-D813-41C4-BC19-85460C1F2436}" uniqueName="1" name="Post ID" queryTableFieldId="1" dataDxfId="141"/>
    <tableColumn id="2" xr3:uid="{C684C481-D99E-4E64-A29B-26D35CAB5FE2}" uniqueName="2" name="Platform" queryTableFieldId="2" dataDxfId="140"/>
    <tableColumn id="3" xr3:uid="{0578C4E2-E0D2-476F-A5D2-7A5A65E00C74}" uniqueName="3" name="Date" queryTableFieldId="3" dataDxfId="139"/>
    <tableColumn id="4" xr3:uid="{7C771791-5F9D-482D-8E6C-73CA22FBC7EE}" uniqueName="4" name="Content Type" queryTableFieldId="4" dataDxfId="138"/>
    <tableColumn id="5" xr3:uid="{60033348-6BA0-4655-9DCC-555DCEBBFD7A}" uniqueName="5" name="Post Text" queryTableFieldId="5" dataDxfId="137"/>
    <tableColumn id="6" xr3:uid="{CD33519A-7707-4569-ABF5-4DA8A1031C1C}" uniqueName="6" name="Likes" queryTableFieldId="6" dataDxfId="136"/>
    <tableColumn id="7" xr3:uid="{C068A605-4193-429E-98BF-11898EEAA3FD}" uniqueName="7" name="Shares" queryTableFieldId="7" dataDxfId="135"/>
    <tableColumn id="8" xr3:uid="{112D0523-CF4B-48E2-AB6B-8F993A1D871E}" uniqueName="8" name="Comments" queryTableFieldId="8" dataDxfId="134"/>
    <tableColumn id="9" xr3:uid="{A396E6E0-32F7-4FD4-A1D1-7DD71F5651D7}" uniqueName="9" name="Impressions" queryTableFieldId="9" dataDxfId="133"/>
    <tableColumn id="10" xr3:uid="{B979C586-CAAA-4BF2-B4B5-F9E2CB99F6EB}" uniqueName="10" name="Reach" queryTableFieldId="10" dataDxfId="132"/>
    <tableColumn id="11" xr3:uid="{7B5D6BCE-9A39-484B-A636-1371B213917E}" uniqueName="11" name="Clicks" queryTableFieldId="11"/>
    <tableColumn id="12" xr3:uid="{91D81ACC-F16E-48BA-ADAD-E02B96F02C95}" uniqueName="12" name="Hashtags Used.1" queryTableFieldId="12" dataDxfId="131"/>
    <tableColumn id="13" xr3:uid="{B577E81E-5EBE-40F4-9BEF-203252397F43}" uniqueName="13" name="Hashtags Used.2" queryTableFieldId="13" dataDxfId="130"/>
    <tableColumn id="14" xr3:uid="{EE9D1488-210E-4387-AAC0-743DE02FD5BC}" uniqueName="14" name="Hashtags Used.3" queryTableFieldId="14" dataDxfId="129"/>
    <tableColumn id="18" xr3:uid="{4FEBA3A9-2868-41EE-9FD7-BDA70C84E59F}" uniqueName="18" name="Campaign_Name" queryTableFieldId="19" dataDxfId="128"/>
    <tableColumn id="16" xr3:uid="{4C5D7DE6-357F-42DB-87A0-32E2C397AFEA}" uniqueName="16" name="Campaign_Name_Filled" queryTableFieldId="16" dataDxfId="127"/>
    <tableColumn id="17" xr3:uid="{9F0B3B5E-65DE-486B-9A88-F770BBFCD649}" uniqueName="17" name="Engagement Rate" queryTableFieldId="17" dataDxfId="126"/>
    <tableColumn id="15" xr3:uid="{154264B8-C3FF-4CDC-ADA5-8C817CD5E3B6}" uniqueName="15" name="Total Engagement" queryTableFieldId="18" dataDxfId="125">
      <calculatedColumnFormula>Table1_21718[[#This Row],[Likes]]+Table1_21718[[#This Row],[Shares]]+Table1_21718[[#This Row],[Comments]]</calculatedColumnFormula>
    </tableColumn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1E1084AF-9E42-4D8A-BCCE-3AF58EE704BB}" name="Table1_217" displayName="Table1_217" ref="A1:R301" tableType="queryTable" totalsRowShown="0">
  <autoFilter ref="A1:R301" xr:uid="{1E1084AF-9E42-4D8A-BCCE-3AF58EE704BB}"/>
  <sortState xmlns:xlrd2="http://schemas.microsoft.com/office/spreadsheetml/2017/richdata2" ref="A2:R301">
    <sortCondition ref="A1:A301"/>
  </sortState>
  <tableColumns count="18">
    <tableColumn id="1" xr3:uid="{99128B98-057C-4887-B305-07F69BF1EACC}" uniqueName="1" name="Post ID" queryTableFieldId="1" dataDxfId="155"/>
    <tableColumn id="2" xr3:uid="{15EBDDCC-B0A7-4C19-8E3A-0D284BAA5609}" uniqueName="2" name="Platform" queryTableFieldId="2" dataDxfId="154"/>
    <tableColumn id="3" xr3:uid="{461C1A07-4022-4127-92E3-05E773099F4B}" uniqueName="3" name="Date" queryTableFieldId="3" dataDxfId="153"/>
    <tableColumn id="4" xr3:uid="{1E00B832-DDF3-4CF5-AA43-DC1ABFB43584}" uniqueName="4" name="Content Type" queryTableFieldId="4" dataDxfId="152"/>
    <tableColumn id="5" xr3:uid="{22F4D55B-B24D-4C72-8290-2174DF061B2F}" uniqueName="5" name="Post Text" queryTableFieldId="5" dataDxfId="151"/>
    <tableColumn id="6" xr3:uid="{C75BFAC6-7744-45F2-8C19-9D2AA4BCA8DF}" uniqueName="6" name="Likes" queryTableFieldId="6"/>
    <tableColumn id="7" xr3:uid="{A0F141AE-1274-4CB9-BD5A-51C87489E658}" uniqueName="7" name="Shares" queryTableFieldId="7"/>
    <tableColumn id="8" xr3:uid="{82D50AEA-352E-4A3A-AF99-757493A645E8}" uniqueName="8" name="Comments" queryTableFieldId="8"/>
    <tableColumn id="9" xr3:uid="{926A2474-0E33-4F11-9B03-0CA6946C4727}" uniqueName="9" name="Impressions" queryTableFieldId="9"/>
    <tableColumn id="10" xr3:uid="{4E16CBDF-2573-487B-9708-021563874180}" uniqueName="10" name="Reach" queryTableFieldId="10"/>
    <tableColumn id="11" xr3:uid="{9371F652-8BF6-4E2F-9A48-629D26421FB5}" uniqueName="11" name="Clicks" queryTableFieldId="11"/>
    <tableColumn id="12" xr3:uid="{737DE96C-3F51-4637-B1A2-83AA30190DE3}" uniqueName="12" name="Hashtags Used.1" queryTableFieldId="12" dataDxfId="150"/>
    <tableColumn id="13" xr3:uid="{588465CD-35BB-42A6-8D67-79DDA161D560}" uniqueName="13" name="Hashtags Used.2" queryTableFieldId="13" dataDxfId="149"/>
    <tableColumn id="14" xr3:uid="{5CACD6C4-6B2A-46DA-837A-51B196E89C6F}" uniqueName="14" name="Hashtags Used.3" queryTableFieldId="14" dataDxfId="148"/>
    <tableColumn id="18" xr3:uid="{3223C0D9-03EC-4D12-808B-EC8D07C4EA8E}" uniqueName="18" name="Campaign_Name" queryTableFieldId="19" dataDxfId="147"/>
    <tableColumn id="16" xr3:uid="{1F56693C-D74A-41D4-BD8C-04C3F05405E6}" uniqueName="16" name="Campaign_Name_Filled" queryTableFieldId="16" dataDxfId="146"/>
    <tableColumn id="17" xr3:uid="{DF351276-5996-49DC-95D7-803604F56108}" uniqueName="17" name="Engagement Rate" queryTableFieldId="17" dataDxfId="145"/>
    <tableColumn id="15" xr3:uid="{6BF5A3D1-78A5-46D6-BBD7-BF5E2A9E7286}" uniqueName="15" name="Total Engagement" queryTableFieldId="18" dataDxfId="144">
      <calculatedColumnFormula>Table1_217[[#This Row],[Likes]]+Table1_217[[#This Row],[Shares]]+Table1_217[[#This Row],[Comments]]</calculatedColumnFormula>
    </tableColumn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ABD2837D-ECCD-4165-BC38-27519AE62445}" name="Table1_2__2_1" displayName="Table1_2__2_1" ref="A1:N340" tableType="queryTable" totalsRowShown="0">
  <autoFilter ref="A1:N340" xr:uid="{ABD2837D-ECCD-4165-BC38-27519AE62445}"/>
  <tableColumns count="14">
    <tableColumn id="1" xr3:uid="{03B0D7E6-F47D-46CB-A75B-EA85396F1AD0}" uniqueName="1" name="Post ID" queryTableFieldId="1" dataDxfId="193"/>
    <tableColumn id="2" xr3:uid="{D9CCCD4D-E373-4607-9854-113A8F856AA3}" uniqueName="2" name="Platform" queryTableFieldId="2" dataDxfId="192"/>
    <tableColumn id="3" xr3:uid="{C7E06AAD-7C54-45E1-B43A-1E2F22201B9B}" uniqueName="3" name="Date" queryTableFieldId="3"/>
    <tableColumn id="4" xr3:uid="{1D7507C8-F636-4C8B-9F1F-7EA98D9B97BB}" uniqueName="4" name="Content Type" queryTableFieldId="4" dataDxfId="191"/>
    <tableColumn id="5" xr3:uid="{92B5317F-38E1-4C7C-8635-FDF86649059D}" uniqueName="5" name="Post Text" queryTableFieldId="5" dataDxfId="190"/>
    <tableColumn id="6" xr3:uid="{F5F029E6-3628-4321-A95B-BD337E93A0EA}" uniqueName="6" name="Likes" queryTableFieldId="6"/>
    <tableColumn id="7" xr3:uid="{0864282C-1ED5-4E28-AD64-B7F203041C5C}" uniqueName="7" name="Shares" queryTableFieldId="7"/>
    <tableColumn id="8" xr3:uid="{7E9A480B-3BB4-4090-9BEB-46F27D44DA0B}" uniqueName="8" name="Comments" queryTableFieldId="8"/>
    <tableColumn id="9" xr3:uid="{6BF54CB3-0632-4F46-895C-D08FC08C9705}" uniqueName="9" name="Impressions" queryTableFieldId="9"/>
    <tableColumn id="10" xr3:uid="{3724A0E8-AB26-49D2-9946-130C243E2A33}" uniqueName="10" name="Reach" queryTableFieldId="10"/>
    <tableColumn id="11" xr3:uid="{02D827A3-4544-4289-AD81-8443B06BB04C}" uniqueName="11" name="Clicks" queryTableFieldId="11"/>
    <tableColumn id="12" xr3:uid="{8C50B9DE-76AB-46F2-A608-10735EB1FAE8}" uniqueName="12" name="Campaign_Name_Filled" queryTableFieldId="12" dataDxfId="189"/>
    <tableColumn id="13" xr3:uid="{ECB83737-41B3-483F-93B2-271037DD2B14}" uniqueName="13" name="Engagement Rate" queryTableFieldId="13"/>
    <tableColumn id="14" xr3:uid="{55F8ECCD-CBFC-4806-BFC7-07524676673B}" uniqueName="14" name="Hastag" queryTableFieldId="14" dataDxfId="188"/>
  </tableColumns>
  <tableStyleInfo name="TableStyleMedium7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3100EE6C-8F99-4DE4-B2CB-32146827CDB0}" name="Table1_3" displayName="Table1_3" ref="A1:O340" tableType="queryTable" totalsRowShown="0">
  <autoFilter ref="A1:O340" xr:uid="{3100EE6C-8F99-4DE4-B2CB-32146827CDB0}"/>
  <tableColumns count="15">
    <tableColumn id="1" xr3:uid="{92A22DA1-9F97-4CC6-ABD5-BE0D1ED3DEAF}" uniqueName="1" name="Post ID" queryTableFieldId="1" dataDxfId="74"/>
    <tableColumn id="2" xr3:uid="{805FBC94-39FD-4785-98B4-0BF30DBA64E6}" uniqueName="2" name="Platform" queryTableFieldId="2" dataDxfId="73"/>
    <tableColumn id="3" xr3:uid="{8CFB4513-B59A-4439-B16D-41B7A86CD0F0}" uniqueName="3" name="Date" queryTableFieldId="3" dataDxfId="72"/>
    <tableColumn id="4" xr3:uid="{34744302-4A18-46B3-AC46-8FA852EA9456}" uniqueName="4" name="Content Type" queryTableFieldId="4" dataDxfId="71"/>
    <tableColumn id="5" xr3:uid="{3DC084E6-6A3A-45B6-A2AA-B07AEED331F0}" uniqueName="5" name="Post Text" queryTableFieldId="5" dataDxfId="70"/>
    <tableColumn id="6" xr3:uid="{B8D38EA4-8D83-4569-9B5D-6CD89DC4AE2F}" uniqueName="6" name="Likes" queryTableFieldId="6"/>
    <tableColumn id="7" xr3:uid="{F74EB725-7C51-4803-87C5-E4E58A0B8CD9}" uniqueName="7" name="Shares" queryTableFieldId="7"/>
    <tableColumn id="8" xr3:uid="{AE8E449A-F5C2-4F54-981B-317FE24C5779}" uniqueName="8" name="Comments" queryTableFieldId="8"/>
    <tableColumn id="9" xr3:uid="{2F864F31-6D1E-4753-98C8-20EF9BA700E1}" uniqueName="9" name="Impressions" queryTableFieldId="9"/>
    <tableColumn id="10" xr3:uid="{8E06EE1F-E601-46D1-85C6-6F9EF1574F05}" uniqueName="10" name="Reach" queryTableFieldId="10"/>
    <tableColumn id="11" xr3:uid="{93C80767-31A0-4242-ADF5-D74C7884CB97}" uniqueName="11" name="Clicks" queryTableFieldId="11"/>
    <tableColumn id="13" xr3:uid="{BB93887E-0AF9-46F6-AF99-F4CAD2D0D138}" uniqueName="13" name="Campaign_Name_Filled" queryTableFieldId="13" dataDxfId="69"/>
    <tableColumn id="14" xr3:uid="{FBA0A1F3-4DAB-4843-8455-0BA2C3863A45}" uniqueName="14" name="Engagement Rate" queryTableFieldId="14"/>
    <tableColumn id="12" xr3:uid="{8413E334-5D40-47D8-ABE0-0BC85CD0426A}" uniqueName="12" name="Attribute" queryTableFieldId="17" dataDxfId="68"/>
    <tableColumn id="16" xr3:uid="{07C1227C-71F7-4D2D-9D7E-63CFBDF02EED}" uniqueName="16" name="Hastag" queryTableFieldId="16" dataDxfId="67"/>
  </tableColumns>
  <tableStyleInfo name="TableStyleMedium7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1FE8217E-128E-4C71-A9CE-B4D7FBB667AB}" name="Table1_2" displayName="Table1_2" ref="A1:Q301" tableType="queryTable" totalsRowShown="0">
  <autoFilter ref="A1:Q301" xr:uid="{1FE8217E-128E-4C71-A9CE-B4D7FBB667AB}"/>
  <sortState xmlns:xlrd2="http://schemas.microsoft.com/office/spreadsheetml/2017/richdata2" ref="A2:Q301">
    <sortCondition ref="A1:A301"/>
  </sortState>
  <tableColumns count="17">
    <tableColumn id="1" xr3:uid="{2CEC5D2C-32B0-4E33-981B-5AD7BDFAE4D9}" uniqueName="1" name="Post ID" queryTableFieldId="1" dataDxfId="124"/>
    <tableColumn id="2" xr3:uid="{25EF75DD-7BD3-442C-B152-E4A48C328520}" uniqueName="2" name="Platform" queryTableFieldId="2" dataDxfId="123"/>
    <tableColumn id="3" xr3:uid="{894D702C-B3E8-4D42-A3B1-AD860D0CFA8B}" uniqueName="3" name="Date" queryTableFieldId="3" dataDxfId="122"/>
    <tableColumn id="4" xr3:uid="{74184B89-97B6-4CAD-A95E-484B28C7ADF3}" uniqueName="4" name="Content Type" queryTableFieldId="4" dataDxfId="121"/>
    <tableColumn id="5" xr3:uid="{D94A13C5-B44A-4E09-9E99-C2DE84CC583A}" uniqueName="5" name="Post Text" queryTableFieldId="5" dataDxfId="120"/>
    <tableColumn id="6" xr3:uid="{C8C9363C-77D7-402B-8EFA-94759BC12C91}" uniqueName="6" name="Likes" queryTableFieldId="6"/>
    <tableColumn id="7" xr3:uid="{803C124E-98AD-47D1-96AC-80D9769B3C11}" uniqueName="7" name="Shares" queryTableFieldId="7"/>
    <tableColumn id="8" xr3:uid="{ACF663C7-3C01-4259-8974-AE281D7F6D6C}" uniqueName="8" name="Comments" queryTableFieldId="8"/>
    <tableColumn id="9" xr3:uid="{D1D48FFB-79E7-4F1B-A76B-0FF9F488A203}" uniqueName="9" name="Impressions" queryTableFieldId="9"/>
    <tableColumn id="10" xr3:uid="{E67524C5-2724-4FCF-8E71-5C3BC7A756CB}" uniqueName="10" name="Reach" queryTableFieldId="10"/>
    <tableColumn id="11" xr3:uid="{255F9AA1-0AB5-4740-AB04-69B7B6EF20E5}" uniqueName="11" name="Clicks" queryTableFieldId="11"/>
    <tableColumn id="12" xr3:uid="{1781337C-F305-4DC0-B7BD-F4480B6B96D4}" uniqueName="12" name="Hashtags Used.1" queryTableFieldId="12" dataDxfId="119"/>
    <tableColumn id="13" xr3:uid="{7712FB06-9EFD-44D4-9174-3078E58DB3B6}" uniqueName="13" name="Hashtags Used.2" queryTableFieldId="13" dataDxfId="118"/>
    <tableColumn id="14" xr3:uid="{99ECEFC2-3DC5-4508-9490-CC484B99140B}" uniqueName="14" name="Hashtags Used.3" queryTableFieldId="14" dataDxfId="117"/>
    <tableColumn id="15" xr3:uid="{8E168EF7-DEF6-4D49-8F22-AC460F4765F8}" uniqueName="15" name="Campaign_Name" queryTableFieldId="18" dataDxfId="116"/>
    <tableColumn id="16" xr3:uid="{AEC00800-0DC1-4ABA-A1DB-FC13EF81A8B5}" uniqueName="16" name="Campaign_Name_Filled" queryTableFieldId="16" dataDxfId="115"/>
    <tableColumn id="17" xr3:uid="{34920E01-F6AC-4C55-A8D8-F9677C9AB06C}" uniqueName="17" name="Engagement Rate" queryTableFieldId="17" dataDxfId="114"/>
  </tableColumns>
  <tableStyleInfo name="TableStyleMedium7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6AEE03F-8FC4-4C47-90FB-76A43ED42715}" name="Table1_214" displayName="Table1_214" ref="A1:R301" tableType="queryTable" totalsRowShown="0">
  <autoFilter ref="A1:R301" xr:uid="{46AEE03F-8FC4-4C47-90FB-76A43ED42715}"/>
  <sortState xmlns:xlrd2="http://schemas.microsoft.com/office/spreadsheetml/2017/richdata2" ref="A2:R301">
    <sortCondition ref="A1:A301"/>
  </sortState>
  <tableColumns count="18">
    <tableColumn id="1" xr3:uid="{0B03A843-395D-43F1-82EA-F038F3FDD447}" uniqueName="1" name="Post ID" queryTableFieldId="1" dataDxfId="47"/>
    <tableColumn id="2" xr3:uid="{264070D2-3E3D-44AE-88A6-079C30A798D7}" uniqueName="2" name="Platform" queryTableFieldId="2" dataDxfId="46"/>
    <tableColumn id="3" xr3:uid="{08FAD6BA-5E90-4FE3-8379-A47B52DFF185}" uniqueName="3" name="Date" queryTableFieldId="3" dataDxfId="45"/>
    <tableColumn id="4" xr3:uid="{FFFBF3E0-732C-4A01-8050-62F017B5BB68}" uniqueName="4" name="Content Type" queryTableFieldId="4" dataDxfId="44"/>
    <tableColumn id="5" xr3:uid="{CE21A184-4308-4D21-9FF0-853BF92A3904}" uniqueName="5" name="Post Text" queryTableFieldId="5" dataDxfId="43"/>
    <tableColumn id="6" xr3:uid="{8A4E3BB2-18CC-4401-A88E-9775F46F7C51}" uniqueName="6" name="Likes" queryTableFieldId="6"/>
    <tableColumn id="7" xr3:uid="{7AECE22F-F5CE-47F6-9041-BDA0A3EDF012}" uniqueName="7" name="Shares" queryTableFieldId="7"/>
    <tableColumn id="8" xr3:uid="{02BAEE1C-94A9-421A-B857-35F09C0DE8A9}" uniqueName="8" name="Comments" queryTableFieldId="8"/>
    <tableColumn id="9" xr3:uid="{EC203B81-E558-49C1-951F-C89C453E0DEC}" uniqueName="9" name="Impressions" queryTableFieldId="9"/>
    <tableColumn id="10" xr3:uid="{F678FDFD-EA4D-4461-8B13-78E5B44224A3}" uniqueName="10" name="Reach" queryTableFieldId="10"/>
    <tableColumn id="11" xr3:uid="{5251A37D-1144-420A-BD43-428FBF77E5B0}" uniqueName="11" name="Clicks" queryTableFieldId="11"/>
    <tableColumn id="12" xr3:uid="{51CD5E0B-BCA7-421A-B39C-7EE9CCCC671E}" uniqueName="12" name="Hashtags Used.1" queryTableFieldId="12" dataDxfId="42"/>
    <tableColumn id="13" xr3:uid="{536FFC79-211D-42DF-B2DD-4F701E821C0A}" uniqueName="13" name="Hashtags Used.2" queryTableFieldId="13" dataDxfId="41"/>
    <tableColumn id="14" xr3:uid="{E47F61FF-8224-431E-8C28-2F6528C2FCCD}" uniqueName="14" name="Hashtags Used.3" queryTableFieldId="14" dataDxfId="40"/>
    <tableColumn id="23" xr3:uid="{D378B468-D8FC-47EF-954B-0C70B2FD4F39}" uniqueName="23" name="Campaign_Name" queryTableFieldId="24" dataDxfId="39"/>
    <tableColumn id="16" xr3:uid="{8CF266F8-74C4-4FF7-8CEF-A696C21C7670}" uniqueName="16" name="Campaign_Name_Filled" queryTableFieldId="16" dataDxfId="38"/>
    <tableColumn id="17" xr3:uid="{870F23B0-291C-48EF-BC61-BA314F1A0A46}" uniqueName="17" name="Engagement Rate" queryTableFieldId="17" dataDxfId="37"/>
    <tableColumn id="15" xr3:uid="{48C7FAEF-0EF1-4022-BAD6-576A39F4BDBA}" uniqueName="15" name="Column1" queryTableFieldId="18" dataDxfId="36">
      <calculatedColumnFormula>IFERROR(
  IF(
    AND(
      INT($C2) &gt;= INT(INDEX('Campaign Metadata'!$B:$B, MATCH(TRIM($P2), 'Campaign Metadata'!$A:$A, 0))),
      INT($C2) &lt;= INT(INDEX('Campaign Metadata'!$C:$C, MATCH(TRIM($P2), 'Campaign Metadata'!$A:$A, 0)))
    ),
    "During Campaign",
    "Before Campaign"
  ),
  "No Campaign"
)</calculatedColumnFormula>
    </tableColumn>
  </tableColumns>
  <tableStyleInfo name="TableStyleMedium7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EDC837D-4375-4606-9631-878A1A44E500}" name="Table1" displayName="Table1" ref="A1:M301" totalsRowShown="0" headerRowDxfId="64" dataDxfId="62" headerRowBorderDxfId="63" tableBorderDxfId="61">
  <autoFilter ref="A1:M301" xr:uid="{2EDC837D-4375-4606-9631-878A1A44E500}"/>
  <tableColumns count="13">
    <tableColumn id="1" xr3:uid="{EF94C96C-9A0F-4B97-848C-F777978D56F1}" name="Post ID" dataDxfId="60"/>
    <tableColumn id="2" xr3:uid="{7A3096EA-896A-4F99-97B1-B67D5ACBA03E}" name="Platform" dataDxfId="59"/>
    <tableColumn id="3" xr3:uid="{1D33E275-CF0D-4BCE-8607-12009CFD7EA0}" name="Date" dataDxfId="58"/>
    <tableColumn id="4" xr3:uid="{3737E906-EF8A-46E4-B92B-53DB2D96BF37}" name="Content Type" dataDxfId="57"/>
    <tableColumn id="5" xr3:uid="{00305C01-3341-4394-AE68-0F332D75E6E3}" name="Post Text" dataDxfId="56"/>
    <tableColumn id="6" xr3:uid="{BA26DA65-CD3B-4E6D-8AED-BDB0B1D95BBB}" name="Likes" dataDxfId="55"/>
    <tableColumn id="7" xr3:uid="{5782C6B5-6CA8-464C-97B9-11AE0E2F3CAC}" name="Shares" dataDxfId="54"/>
    <tableColumn id="8" xr3:uid="{A4BFA692-24B2-4F44-B809-0501F9A696D0}" name="Comments" dataDxfId="53"/>
    <tableColumn id="9" xr3:uid="{26769740-334B-44A6-A8D2-4F3944D8570F}" name="Impressions" dataDxfId="52"/>
    <tableColumn id="10" xr3:uid="{C83673E4-361C-4D53-8212-E101F8623846}" name="Reach" dataDxfId="51"/>
    <tableColumn id="11" xr3:uid="{49688F1A-57F7-45F1-984E-E8BDA7FA8778}" name="Clicks" dataDxfId="50"/>
    <tableColumn id="12" xr3:uid="{79486C13-F8AB-489C-BED1-8225D7DD1356}" name="Hashtags Used" dataDxfId="49"/>
    <tableColumn id="13" xr3:uid="{0F6F22BD-7A62-41F9-A233-1158746A22A4}" name="Campaign_Name" dataDxfId="48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72A23AC9-24E3-4844-AA84-EBBBC5FC358A}" name="Merge3" displayName="Merge3" ref="A1:Q301" tableType="queryTable" totalsRowShown="0">
  <autoFilter ref="A1:Q301" xr:uid="{72A23AC9-24E3-4844-AA84-EBBBC5FC358A}"/>
  <tableColumns count="17">
    <tableColumn id="1" xr3:uid="{3CD01817-ADB1-45CD-BBC4-5261F0A32344}" uniqueName="1" name="Post ID" queryTableFieldId="1" dataDxfId="35"/>
    <tableColumn id="2" xr3:uid="{844FECC5-6F0B-46AF-BF14-30CABBE69C34}" uniqueName="2" name="Platform" queryTableFieldId="2" dataDxfId="34"/>
    <tableColumn id="3" xr3:uid="{9FAD7BA8-ADE0-4C12-AA62-729A0AD4AA93}" uniqueName="3" name="Date" queryTableFieldId="3" dataDxfId="33"/>
    <tableColumn id="4" xr3:uid="{4E36A4C4-400C-4580-BCEB-959E1EC73C6F}" uniqueName="4" name="Content Type" queryTableFieldId="4" dataDxfId="32"/>
    <tableColumn id="5" xr3:uid="{0D73BE97-D5EB-42B7-9A13-416E957A8E99}" uniqueName="5" name="Post Text" queryTableFieldId="5" dataDxfId="31"/>
    <tableColumn id="6" xr3:uid="{2FD987D3-D6EB-4463-9DF2-0B2C77F05C98}" uniqueName="6" name="Likes" queryTableFieldId="6"/>
    <tableColumn id="7" xr3:uid="{E98F9449-90E4-42DF-94A6-F09A62A5E5C6}" uniqueName="7" name="Shares" queryTableFieldId="7"/>
    <tableColumn id="8" xr3:uid="{8FD506BE-B1D9-431F-B196-0A490CE8DB1F}" uniqueName="8" name="Comments" queryTableFieldId="8"/>
    <tableColumn id="9" xr3:uid="{1EE7D30F-46F3-4349-ADED-8DEEFF031675}" uniqueName="9" name="Impressions" queryTableFieldId="9"/>
    <tableColumn id="10" xr3:uid="{D3695932-F0E0-450C-9E6E-674F9E5FFA6E}" uniqueName="10" name="Reach" queryTableFieldId="10"/>
    <tableColumn id="11" xr3:uid="{E9C9C829-BCDA-45FF-8C31-B2213A735365}" uniqueName="11" name="Clicks" queryTableFieldId="11"/>
    <tableColumn id="12" xr3:uid="{4D3B3605-E42B-4C96-A9E7-A1DEF00C15F6}" uniqueName="12" name="Hashtags Used.1" queryTableFieldId="12" dataDxfId="30"/>
    <tableColumn id="13" xr3:uid="{C4FB6F28-03F2-4ECD-871C-4F64B85ED5C4}" uniqueName="13" name="Hashtags Used.2" queryTableFieldId="13" dataDxfId="29"/>
    <tableColumn id="14" xr3:uid="{8278E9DC-FEED-4A85-9F70-4AE20D093659}" uniqueName="14" name="Hashtags Used.3" queryTableFieldId="14" dataDxfId="28"/>
    <tableColumn id="15" xr3:uid="{BD767348-C40A-42E9-8D60-605DEB3021A0}" uniqueName="15" name="Campaign_Name" queryTableFieldId="15" dataDxfId="27"/>
    <tableColumn id="16" xr3:uid="{F38F8730-F936-4CE9-B64E-A25CEDD053C4}" uniqueName="16" name="Campaign_Name_Filled" queryTableFieldId="16"/>
    <tableColumn id="17" xr3:uid="{0A010167-8C2D-4150-9D69-ADA3745A8FD2}" uniqueName="17" name="Campaign_From_Hashtag3.Campaign_Name" queryTableFieldId="17" dataDxfId="26"/>
  </tableColumns>
  <tableStyleInfo name="TableStyleMedium7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8F278F21-A02D-481B-83FD-EAC1E9B73340}" name="Merge2" displayName="Merge2" ref="A1:Q301" tableType="queryTable" totalsRowShown="0">
  <autoFilter ref="A1:Q301" xr:uid="{8F278F21-A02D-481B-83FD-EAC1E9B73340}"/>
  <tableColumns count="17">
    <tableColumn id="1" xr3:uid="{8DC00F05-923E-4FC8-A0C3-EF81DF6D6C30}" uniqueName="1" name="Post ID" queryTableFieldId="1" dataDxfId="25"/>
    <tableColumn id="2" xr3:uid="{9279E95A-7049-4A22-B972-A13F4C576F98}" uniqueName="2" name="Platform" queryTableFieldId="2" dataDxfId="24"/>
    <tableColumn id="3" xr3:uid="{A80B3711-1260-444C-817D-38360997938A}" uniqueName="3" name="Date" queryTableFieldId="3" dataDxfId="23"/>
    <tableColumn id="4" xr3:uid="{C3B3205C-591E-44ED-823C-E5DF718E3A84}" uniqueName="4" name="Content Type" queryTableFieldId="4" dataDxfId="22"/>
    <tableColumn id="5" xr3:uid="{9A9F77E0-EA8A-4F7E-9ACB-F181B2F23A35}" uniqueName="5" name="Post Text" queryTableFieldId="5" dataDxfId="21"/>
    <tableColumn id="6" xr3:uid="{A4EBF24D-E923-4E3A-A901-4F6CA2E4536F}" uniqueName="6" name="Likes" queryTableFieldId="6"/>
    <tableColumn id="7" xr3:uid="{14D1C307-78B5-4296-815C-9AD267FCF835}" uniqueName="7" name="Shares" queryTableFieldId="7"/>
    <tableColumn id="8" xr3:uid="{2DF31E7B-3B3D-47D0-BF0C-227A2FCB8714}" uniqueName="8" name="Comments" queryTableFieldId="8"/>
    <tableColumn id="9" xr3:uid="{50D5FB83-1BC0-437F-B0FD-D42054F04337}" uniqueName="9" name="Impressions" queryTableFieldId="9"/>
    <tableColumn id="10" xr3:uid="{E5DD0045-D119-4202-955C-696B0DE9228D}" uniqueName="10" name="Reach" queryTableFieldId="10"/>
    <tableColumn id="11" xr3:uid="{4F65798C-83AC-4D4A-949A-002DE826CA38}" uniqueName="11" name="Clicks" queryTableFieldId="11"/>
    <tableColumn id="12" xr3:uid="{E7B27F0C-4172-45A1-8152-FD084082EED6}" uniqueName="12" name="Hashtags Used.1" queryTableFieldId="12" dataDxfId="20"/>
    <tableColumn id="13" xr3:uid="{7C37BEC0-D5B6-4B04-B6BC-1131311534CE}" uniqueName="13" name="Hashtags Used.2" queryTableFieldId="13" dataDxfId="19"/>
    <tableColumn id="14" xr3:uid="{AEDF579E-06E9-4910-B647-54A31DC7037B}" uniqueName="14" name="Hashtags Used.3" queryTableFieldId="14" dataDxfId="18"/>
    <tableColumn id="15" xr3:uid="{F1A7E8AA-B214-467A-B757-D13F56EA7571}" uniqueName="15" name="Campaign_Name" queryTableFieldId="15" dataDxfId="17"/>
    <tableColumn id="16" xr3:uid="{A0F13632-F3C5-4D5F-A7CA-006FD01B4447}" uniqueName="16" name="Campaign_Name_Filled" queryTableFieldId="16"/>
    <tableColumn id="17" xr3:uid="{77964890-AFC9-4A07-A804-DEE90CE9E2CC}" uniqueName="17" name="Campaign_From_Hashtag2" queryTableFieldId="17" dataDxfId="16"/>
  </tableColumns>
  <tableStyleInfo name="TableStyleMedium7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E34BEDBC-8E08-4BFE-B065-4D3BD01795F7}" name="Merge1" displayName="Merge1" ref="A1:Q301" tableType="queryTable" totalsRowShown="0">
  <autoFilter ref="A1:Q301" xr:uid="{E34BEDBC-8E08-4BFE-B065-4D3BD01795F7}"/>
  <tableColumns count="17">
    <tableColumn id="1" xr3:uid="{81D5E2B9-F76F-4417-9B97-7C617AAE6B9A}" uniqueName="1" name="Post ID" queryTableFieldId="1" dataDxfId="15"/>
    <tableColumn id="2" xr3:uid="{07D8BCFB-EED2-42E4-84C5-6344F31FEE1F}" uniqueName="2" name="Platform" queryTableFieldId="2" dataDxfId="14"/>
    <tableColumn id="3" xr3:uid="{DDF5B56A-0C30-4756-8615-621AA3D4205B}" uniqueName="3" name="Date" queryTableFieldId="3" dataDxfId="13"/>
    <tableColumn id="4" xr3:uid="{BC823B6A-7B38-4646-B4F1-E4B2289707C8}" uniqueName="4" name="Content Type" queryTableFieldId="4" dataDxfId="12"/>
    <tableColumn id="5" xr3:uid="{16858445-0583-4465-B870-C6D141B59C3A}" uniqueName="5" name="Post Text" queryTableFieldId="5" dataDxfId="11"/>
    <tableColumn id="6" xr3:uid="{8B5E65B5-2E76-401D-81B8-777BECFA6B34}" uniqueName="6" name="Likes" queryTableFieldId="6"/>
    <tableColumn id="7" xr3:uid="{BE79FF31-548F-47C3-B5C7-642FBD070699}" uniqueName="7" name="Shares" queryTableFieldId="7"/>
    <tableColumn id="8" xr3:uid="{EB26B71B-2DD6-416A-BC67-86EAA4AD3A3E}" uniqueName="8" name="Comments" queryTableFieldId="8"/>
    <tableColumn id="9" xr3:uid="{8FD8279B-AE16-49CE-8CD7-8EBA759E7247}" uniqueName="9" name="Impressions" queryTableFieldId="9"/>
    <tableColumn id="10" xr3:uid="{BDCEEF77-2570-4B7D-AB16-5E5397E36FDF}" uniqueName="10" name="Reach" queryTableFieldId="10"/>
    <tableColumn id="11" xr3:uid="{FF58D969-2F51-4FF5-8720-3E82472F98EB}" uniqueName="11" name="Clicks" queryTableFieldId="11"/>
    <tableColumn id="12" xr3:uid="{9AAF280A-2020-44A8-A598-60DB797B5AE4}" uniqueName="12" name="Hashtags Used.1" queryTableFieldId="12" dataDxfId="10"/>
    <tableColumn id="13" xr3:uid="{3EBC1B1A-EF5C-42DD-8FD3-9FC9EEDA9B80}" uniqueName="13" name="Hashtags Used.2" queryTableFieldId="13" dataDxfId="9"/>
    <tableColumn id="14" xr3:uid="{A75546D3-77A6-4A97-AED3-523A3BCB3702}" uniqueName="14" name="Hashtags Used.3" queryTableFieldId="14" dataDxfId="8"/>
    <tableColumn id="15" xr3:uid="{5395F2B6-E808-4B9A-A3FC-93CA54F78BE9}" uniqueName="15" name="Campaign_Name" queryTableFieldId="15" dataDxfId="7"/>
    <tableColumn id="16" xr3:uid="{4C9F920B-9777-46F9-B1B5-41C9F53D2E82}" uniqueName="16" name="Campaign_Name_Filled" queryTableFieldId="16"/>
    <tableColumn id="17" xr3:uid="{43B95A1F-DC9E-4C83-9CC8-02BEF8237BF4}" uniqueName="17" name="Campaign_From_Hashtag1" queryTableFieldId="17" dataDxfId="6"/>
  </tableColumns>
  <tableStyleInfo name="TableStyleMedium7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6DD0654-CF45-4895-A999-DFFA324412F3}" name="Campaign_Metadata" displayName="Campaign_Metadata" ref="A1:G8" tableType="queryTable" totalsRowShown="0">
  <autoFilter ref="A1:G8" xr:uid="{A6DD0654-CF45-4895-A999-DFFA324412F3}"/>
  <tableColumns count="7">
    <tableColumn id="1" xr3:uid="{3DB04DE2-5958-4C93-A977-9698B1580E74}" uniqueName="1" name="Campaign_Name" queryTableFieldId="1" dataDxfId="5"/>
    <tableColumn id="2" xr3:uid="{1C8ACF98-9AB8-43B8-8D66-AD5B04EE5C8B}" uniqueName="2" name="Start_Date" queryTableFieldId="2" dataDxfId="4"/>
    <tableColumn id="3" xr3:uid="{A5E5959B-694C-4944-9379-091B1AC87F63}" uniqueName="3" name="End_Date" queryTableFieldId="3" dataDxfId="3"/>
    <tableColumn id="4" xr3:uid="{C46CE7D9-77EC-4D1C-95D5-CFE34E4BF4F1}" uniqueName="4" name="Objective" queryTableFieldId="4" dataDxfId="2"/>
    <tableColumn id="5" xr3:uid="{4096CFD1-692E-4EB7-AEFB-F76ED6D5EA4B}" uniqueName="5" name="Total_Budget" queryTableFieldId="5"/>
    <tableColumn id="6" xr3:uid="{945AFC21-D64B-4F27-972F-D762D61DED00}" uniqueName="6" name="Target_Platforms" queryTableFieldId="6" dataDxfId="1"/>
    <tableColumn id="7" xr3:uid="{03389B92-36CD-456A-9E3A-EF61C9C69F8B}" uniqueName="7" name="Hastag" queryTableFieldId="7" dataDxfId="0"/>
  </tableColumns>
  <tableStyleInfo name="TableStyleMedium7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D01CA3B-26B2-496D-BA66-DD9184C394A2}" name="Table3" displayName="Table3" ref="J20:J21" insertRow="1" totalsRowShown="0">
  <autoFilter ref="J20:J21" xr:uid="{BD01CA3B-26B2-496D-BA66-DD9184C394A2}"/>
  <tableColumns count="1">
    <tableColumn id="1" xr3:uid="{86424394-703F-4A80-9F1B-03CE668ACF92}" name="Colu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0.xml"/><Relationship Id="rId2" Type="http://schemas.openxmlformats.org/officeDocument/2006/relationships/pivotTable" Target="../pivotTables/pivotTable9.xml"/><Relationship Id="rId1" Type="http://schemas.openxmlformats.org/officeDocument/2006/relationships/pivotTable" Target="../pivotTables/pivotTable8.xml"/><Relationship Id="rId4" Type="http://schemas.openxmlformats.org/officeDocument/2006/relationships/drawing" Target="../drawings/drawing2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ivotTable" Target="../pivotTables/pivotTable11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7C9461-ABCC-40D7-8FC1-94DEBEA330A0}">
  <dimension ref="A1:Q301"/>
  <sheetViews>
    <sheetView topLeftCell="H1" workbookViewId="0">
      <selection activeCell="E101" sqref="E10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18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t="s">
        <v>617</v>
      </c>
    </row>
    <row r="2" spans="1:17" hidden="1" x14ac:dyDescent="0.3">
      <c r="A2" t="s">
        <v>13</v>
      </c>
      <c r="B2" t="s">
        <v>14</v>
      </c>
      <c r="C2" s="5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</row>
    <row r="3" spans="1:17" hidden="1" x14ac:dyDescent="0.3">
      <c r="A3" t="s">
        <v>20</v>
      </c>
      <c r="B3" t="s">
        <v>14</v>
      </c>
      <c r="C3" s="5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</row>
    <row r="4" spans="1:17" hidden="1" x14ac:dyDescent="0.3">
      <c r="A4" t="s">
        <v>26</v>
      </c>
      <c r="B4" t="s">
        <v>27</v>
      </c>
      <c r="C4" s="5">
        <v>45789</v>
      </c>
      <c r="D4" t="s">
        <v>16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O4" t="s">
        <v>31</v>
      </c>
      <c r="P4" t="s">
        <v>31</v>
      </c>
    </row>
    <row r="5" spans="1:17" hidden="1" x14ac:dyDescent="0.3">
      <c r="A5" t="s">
        <v>32</v>
      </c>
      <c r="B5" t="s">
        <v>33</v>
      </c>
      <c r="C5" s="5">
        <v>45516</v>
      </c>
      <c r="D5" t="s">
        <v>35</v>
      </c>
      <c r="E5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37</v>
      </c>
      <c r="O5" t="s">
        <v>38</v>
      </c>
      <c r="P5" t="s">
        <v>38</v>
      </c>
    </row>
    <row r="6" spans="1:17" hidden="1" x14ac:dyDescent="0.3">
      <c r="A6" t="s">
        <v>39</v>
      </c>
      <c r="B6" t="s">
        <v>27</v>
      </c>
      <c r="C6" s="5">
        <v>45469</v>
      </c>
      <c r="D6" t="s">
        <v>16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O6" t="s">
        <v>19</v>
      </c>
      <c r="P6" t="s">
        <v>19</v>
      </c>
    </row>
    <row r="7" spans="1:17" hidden="1" x14ac:dyDescent="0.3">
      <c r="A7" t="s">
        <v>42</v>
      </c>
      <c r="B7" t="s">
        <v>43</v>
      </c>
      <c r="C7" s="5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  <c r="P7" t="s">
        <v>25</v>
      </c>
    </row>
    <row r="8" spans="1:17" hidden="1" x14ac:dyDescent="0.3">
      <c r="A8" t="s">
        <v>47</v>
      </c>
      <c r="B8" t="s">
        <v>14</v>
      </c>
      <c r="C8" s="5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  <c r="P8" t="s">
        <v>25</v>
      </c>
    </row>
    <row r="9" spans="1:17" hidden="1" x14ac:dyDescent="0.3">
      <c r="A9" t="s">
        <v>50</v>
      </c>
      <c r="B9" t="s">
        <v>27</v>
      </c>
      <c r="C9" s="5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  <c r="P9" t="s">
        <v>38</v>
      </c>
    </row>
    <row r="10" spans="1:17" hidden="1" x14ac:dyDescent="0.3">
      <c r="A10" t="s">
        <v>54</v>
      </c>
      <c r="B10" t="s">
        <v>43</v>
      </c>
      <c r="C10" s="5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</row>
    <row r="11" spans="1:17" hidden="1" x14ac:dyDescent="0.3">
      <c r="A11" t="s">
        <v>57</v>
      </c>
      <c r="B11" t="s">
        <v>43</v>
      </c>
      <c r="C11" s="5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</row>
    <row r="12" spans="1:17" hidden="1" x14ac:dyDescent="0.3">
      <c r="A12" t="s">
        <v>60</v>
      </c>
      <c r="B12" t="s">
        <v>33</v>
      </c>
      <c r="C12" s="5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</row>
    <row r="13" spans="1:17" hidden="1" x14ac:dyDescent="0.3">
      <c r="A13" t="s">
        <v>63</v>
      </c>
      <c r="B13" t="s">
        <v>43</v>
      </c>
      <c r="C13" s="5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</row>
    <row r="14" spans="1:17" hidden="1" x14ac:dyDescent="0.3">
      <c r="A14" t="s">
        <v>66</v>
      </c>
      <c r="B14" t="s">
        <v>27</v>
      </c>
      <c r="C14" s="5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</row>
    <row r="15" spans="1:17" x14ac:dyDescent="0.3">
      <c r="A15" t="s">
        <v>69</v>
      </c>
      <c r="B15" t="s">
        <v>43</v>
      </c>
      <c r="C15" s="5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</row>
    <row r="16" spans="1:17" hidden="1" x14ac:dyDescent="0.3">
      <c r="A16" t="s">
        <v>72</v>
      </c>
      <c r="B16" t="s">
        <v>43</v>
      </c>
      <c r="C16" s="5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</row>
    <row r="17" spans="1:16" hidden="1" x14ac:dyDescent="0.3">
      <c r="A17" t="s">
        <v>76</v>
      </c>
      <c r="B17" t="s">
        <v>43</v>
      </c>
      <c r="C17" s="5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</row>
    <row r="18" spans="1:16" hidden="1" x14ac:dyDescent="0.3">
      <c r="A18" t="s">
        <v>78</v>
      </c>
      <c r="B18" t="s">
        <v>43</v>
      </c>
      <c r="C18" s="5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</row>
    <row r="19" spans="1:16" hidden="1" x14ac:dyDescent="0.3">
      <c r="A19" t="s">
        <v>80</v>
      </c>
      <c r="B19" t="s">
        <v>33</v>
      </c>
      <c r="C19" s="5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</row>
    <row r="20" spans="1:16" hidden="1" x14ac:dyDescent="0.3">
      <c r="A20" t="s">
        <v>83</v>
      </c>
      <c r="B20" t="s">
        <v>33</v>
      </c>
      <c r="C20" s="5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</row>
    <row r="21" spans="1:16" hidden="1" x14ac:dyDescent="0.3">
      <c r="A21" t="s">
        <v>86</v>
      </c>
      <c r="B21" t="s">
        <v>33</v>
      </c>
      <c r="C21" s="5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</row>
    <row r="22" spans="1:16" hidden="1" x14ac:dyDescent="0.3">
      <c r="A22" t="s">
        <v>89</v>
      </c>
      <c r="B22" t="s">
        <v>33</v>
      </c>
      <c r="C22" s="5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</row>
    <row r="23" spans="1:16" hidden="1" x14ac:dyDescent="0.3">
      <c r="A23" t="s">
        <v>91</v>
      </c>
      <c r="B23" t="s">
        <v>43</v>
      </c>
      <c r="C23" s="5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</row>
    <row r="24" spans="1:16" hidden="1" x14ac:dyDescent="0.3">
      <c r="A24" t="s">
        <v>93</v>
      </c>
      <c r="B24" t="s">
        <v>43</v>
      </c>
      <c r="C24" s="5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</row>
    <row r="25" spans="1:16" hidden="1" x14ac:dyDescent="0.3">
      <c r="A25" t="s">
        <v>96</v>
      </c>
      <c r="B25" t="s">
        <v>43</v>
      </c>
      <c r="C25" s="5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</row>
    <row r="26" spans="1:16" x14ac:dyDescent="0.3">
      <c r="A26" t="s">
        <v>98</v>
      </c>
      <c r="B26" t="s">
        <v>14</v>
      </c>
      <c r="C26" s="5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</row>
    <row r="27" spans="1:16" hidden="1" x14ac:dyDescent="0.3">
      <c r="A27" t="s">
        <v>100</v>
      </c>
      <c r="B27" t="s">
        <v>27</v>
      </c>
      <c r="C27" s="5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</row>
    <row r="28" spans="1:16" hidden="1" x14ac:dyDescent="0.3">
      <c r="A28" t="s">
        <v>102</v>
      </c>
      <c r="B28" t="s">
        <v>27</v>
      </c>
      <c r="C28" s="5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</row>
    <row r="29" spans="1:16" hidden="1" x14ac:dyDescent="0.3">
      <c r="A29" t="s">
        <v>105</v>
      </c>
      <c r="B29" t="s">
        <v>33</v>
      </c>
      <c r="C29" s="5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</row>
    <row r="30" spans="1:16" hidden="1" x14ac:dyDescent="0.3">
      <c r="A30" t="s">
        <v>107</v>
      </c>
      <c r="B30" t="s">
        <v>33</v>
      </c>
      <c r="C30" s="5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</row>
    <row r="31" spans="1:16" x14ac:dyDescent="0.3">
      <c r="A31" t="s">
        <v>109</v>
      </c>
      <c r="B31" t="s">
        <v>33</v>
      </c>
      <c r="C31" s="5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</row>
    <row r="32" spans="1:16" hidden="1" x14ac:dyDescent="0.3">
      <c r="A32" t="s">
        <v>111</v>
      </c>
      <c r="B32" t="s">
        <v>33</v>
      </c>
      <c r="C32" s="5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</row>
    <row r="33" spans="1:16" hidden="1" x14ac:dyDescent="0.3">
      <c r="A33" t="s">
        <v>114</v>
      </c>
      <c r="B33" t="s">
        <v>14</v>
      </c>
      <c r="C33" s="5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</row>
    <row r="34" spans="1:16" hidden="1" x14ac:dyDescent="0.3">
      <c r="A34" t="s">
        <v>116</v>
      </c>
      <c r="B34" t="s">
        <v>43</v>
      </c>
      <c r="C34" s="5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</row>
    <row r="35" spans="1:16" hidden="1" x14ac:dyDescent="0.3">
      <c r="A35" t="s">
        <v>118</v>
      </c>
      <c r="B35" t="s">
        <v>43</v>
      </c>
      <c r="C35" s="5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</row>
    <row r="36" spans="1:16" hidden="1" x14ac:dyDescent="0.3">
      <c r="A36" t="s">
        <v>120</v>
      </c>
      <c r="B36" t="s">
        <v>33</v>
      </c>
      <c r="C36" s="5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</row>
    <row r="37" spans="1:16" hidden="1" x14ac:dyDescent="0.3">
      <c r="A37" t="s">
        <v>122</v>
      </c>
      <c r="B37" t="s">
        <v>33</v>
      </c>
      <c r="C37" s="5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</row>
    <row r="38" spans="1:16" hidden="1" x14ac:dyDescent="0.3">
      <c r="A38" t="s">
        <v>124</v>
      </c>
      <c r="B38" t="s">
        <v>43</v>
      </c>
      <c r="C38" s="5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</row>
    <row r="39" spans="1:16" hidden="1" x14ac:dyDescent="0.3">
      <c r="A39" t="s">
        <v>126</v>
      </c>
      <c r="B39" t="s">
        <v>27</v>
      </c>
      <c r="C39" s="5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</row>
    <row r="40" spans="1:16" x14ac:dyDescent="0.3">
      <c r="A40" t="s">
        <v>128</v>
      </c>
      <c r="B40" t="s">
        <v>43</v>
      </c>
      <c r="C40" s="5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</row>
    <row r="41" spans="1:16" hidden="1" x14ac:dyDescent="0.3">
      <c r="A41" t="s">
        <v>130</v>
      </c>
      <c r="B41" t="s">
        <v>14</v>
      </c>
      <c r="C41" s="5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</row>
    <row r="42" spans="1:16" hidden="1" x14ac:dyDescent="0.3">
      <c r="A42" t="s">
        <v>133</v>
      </c>
      <c r="B42" t="s">
        <v>33</v>
      </c>
      <c r="C42" s="5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</row>
    <row r="43" spans="1:16" x14ac:dyDescent="0.3">
      <c r="A43" t="s">
        <v>135</v>
      </c>
      <c r="B43" t="s">
        <v>27</v>
      </c>
      <c r="C43" s="5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</row>
    <row r="44" spans="1:16" hidden="1" x14ac:dyDescent="0.3">
      <c r="A44" t="s">
        <v>137</v>
      </c>
      <c r="B44" t="s">
        <v>33</v>
      </c>
      <c r="C44" s="5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</row>
    <row r="45" spans="1:16" x14ac:dyDescent="0.3">
      <c r="A45" t="s">
        <v>139</v>
      </c>
      <c r="B45" t="s">
        <v>14</v>
      </c>
      <c r="C45" s="5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</row>
    <row r="46" spans="1:16" hidden="1" x14ac:dyDescent="0.3">
      <c r="A46" t="s">
        <v>141</v>
      </c>
      <c r="B46" t="s">
        <v>43</v>
      </c>
      <c r="C46" s="5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</row>
    <row r="47" spans="1:16" hidden="1" x14ac:dyDescent="0.3">
      <c r="A47" t="s">
        <v>143</v>
      </c>
      <c r="B47" t="s">
        <v>14</v>
      </c>
      <c r="C47" s="5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</row>
    <row r="48" spans="1:16" x14ac:dyDescent="0.3">
      <c r="A48" t="s">
        <v>146</v>
      </c>
      <c r="B48" t="s">
        <v>14</v>
      </c>
      <c r="C48" s="5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</row>
    <row r="49" spans="1:16" x14ac:dyDescent="0.3">
      <c r="A49" t="s">
        <v>148</v>
      </c>
      <c r="B49" t="s">
        <v>14</v>
      </c>
      <c r="C49" s="5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</row>
    <row r="50" spans="1:16" hidden="1" x14ac:dyDescent="0.3">
      <c r="A50" t="s">
        <v>150</v>
      </c>
      <c r="B50" t="s">
        <v>14</v>
      </c>
      <c r="C50" s="5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</row>
    <row r="51" spans="1:16" hidden="1" x14ac:dyDescent="0.3">
      <c r="A51" t="s">
        <v>152</v>
      </c>
      <c r="B51" t="s">
        <v>27</v>
      </c>
      <c r="C51" s="5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</row>
    <row r="52" spans="1:16" hidden="1" x14ac:dyDescent="0.3">
      <c r="A52" t="s">
        <v>155</v>
      </c>
      <c r="B52" t="s">
        <v>43</v>
      </c>
      <c r="C52" s="5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</row>
    <row r="53" spans="1:16" hidden="1" x14ac:dyDescent="0.3">
      <c r="A53" t="s">
        <v>157</v>
      </c>
      <c r="B53" t="s">
        <v>43</v>
      </c>
      <c r="C53" s="5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</row>
    <row r="54" spans="1:16" x14ac:dyDescent="0.3">
      <c r="A54" t="s">
        <v>159</v>
      </c>
      <c r="B54" t="s">
        <v>27</v>
      </c>
      <c r="C54" s="5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</row>
    <row r="55" spans="1:16" hidden="1" x14ac:dyDescent="0.3">
      <c r="A55" t="s">
        <v>161</v>
      </c>
      <c r="B55" t="s">
        <v>27</v>
      </c>
      <c r="C55" s="5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</row>
    <row r="56" spans="1:16" hidden="1" x14ac:dyDescent="0.3">
      <c r="A56" t="s">
        <v>163</v>
      </c>
      <c r="B56" t="s">
        <v>43</v>
      </c>
      <c r="C56" s="5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</row>
    <row r="57" spans="1:16" hidden="1" x14ac:dyDescent="0.3">
      <c r="A57" t="s">
        <v>165</v>
      </c>
      <c r="B57" t="s">
        <v>43</v>
      </c>
      <c r="C57" s="5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</row>
    <row r="58" spans="1:16" hidden="1" x14ac:dyDescent="0.3">
      <c r="A58" t="s">
        <v>167</v>
      </c>
      <c r="B58" t="s">
        <v>14</v>
      </c>
      <c r="C58" s="5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</row>
    <row r="59" spans="1:16" hidden="1" x14ac:dyDescent="0.3">
      <c r="A59" t="s">
        <v>169</v>
      </c>
      <c r="B59" t="s">
        <v>33</v>
      </c>
      <c r="C59" s="5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</row>
    <row r="60" spans="1:16" x14ac:dyDescent="0.3">
      <c r="A60" t="s">
        <v>171</v>
      </c>
      <c r="B60" t="s">
        <v>33</v>
      </c>
      <c r="C60" s="5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</row>
    <row r="61" spans="1:16" hidden="1" x14ac:dyDescent="0.3">
      <c r="A61" t="s">
        <v>173</v>
      </c>
      <c r="B61" t="s">
        <v>33</v>
      </c>
      <c r="C61" s="5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</row>
    <row r="62" spans="1:16" hidden="1" x14ac:dyDescent="0.3">
      <c r="A62" t="s">
        <v>176</v>
      </c>
      <c r="B62" t="s">
        <v>14</v>
      </c>
      <c r="C62" s="5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</row>
    <row r="63" spans="1:16" hidden="1" x14ac:dyDescent="0.3">
      <c r="A63" t="s">
        <v>178</v>
      </c>
      <c r="B63" t="s">
        <v>14</v>
      </c>
      <c r="C63" s="5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</row>
    <row r="64" spans="1:16" hidden="1" x14ac:dyDescent="0.3">
      <c r="A64" t="s">
        <v>180</v>
      </c>
      <c r="B64" t="s">
        <v>14</v>
      </c>
      <c r="C64" s="5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</row>
    <row r="65" spans="1:16" hidden="1" x14ac:dyDescent="0.3">
      <c r="A65" t="s">
        <v>181</v>
      </c>
      <c r="B65" t="s">
        <v>43</v>
      </c>
      <c r="C65" s="5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</row>
    <row r="66" spans="1:16" x14ac:dyDescent="0.3">
      <c r="A66" t="s">
        <v>183</v>
      </c>
      <c r="B66" t="s">
        <v>33</v>
      </c>
      <c r="C66" s="5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</row>
    <row r="67" spans="1:16" hidden="1" x14ac:dyDescent="0.3">
      <c r="A67" t="s">
        <v>185</v>
      </c>
      <c r="B67" t="s">
        <v>14</v>
      </c>
      <c r="C67" s="5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</row>
    <row r="68" spans="1:16" hidden="1" x14ac:dyDescent="0.3">
      <c r="A68" t="s">
        <v>187</v>
      </c>
      <c r="B68" t="s">
        <v>43</v>
      </c>
      <c r="C68" s="5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</row>
    <row r="69" spans="1:16" x14ac:dyDescent="0.3">
      <c r="A69" t="s">
        <v>189</v>
      </c>
      <c r="B69" t="s">
        <v>33</v>
      </c>
      <c r="C69" s="5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</row>
    <row r="70" spans="1:16" hidden="1" x14ac:dyDescent="0.3">
      <c r="A70" t="s">
        <v>191</v>
      </c>
      <c r="B70" t="s">
        <v>14</v>
      </c>
      <c r="C70" s="5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</row>
    <row r="71" spans="1:16" x14ac:dyDescent="0.3">
      <c r="A71" t="s">
        <v>192</v>
      </c>
      <c r="B71" t="s">
        <v>43</v>
      </c>
      <c r="C71" s="5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</row>
    <row r="72" spans="1:16" hidden="1" x14ac:dyDescent="0.3">
      <c r="A72" t="s">
        <v>194</v>
      </c>
      <c r="B72" t="s">
        <v>27</v>
      </c>
      <c r="C72" s="5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</row>
    <row r="73" spans="1:16" hidden="1" x14ac:dyDescent="0.3">
      <c r="A73" t="s">
        <v>196</v>
      </c>
      <c r="B73" t="s">
        <v>27</v>
      </c>
      <c r="C73" s="5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</row>
    <row r="74" spans="1:16" hidden="1" x14ac:dyDescent="0.3">
      <c r="A74" t="s">
        <v>198</v>
      </c>
      <c r="B74" t="s">
        <v>43</v>
      </c>
      <c r="C74" s="5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</row>
    <row r="75" spans="1:16" hidden="1" x14ac:dyDescent="0.3">
      <c r="A75" t="s">
        <v>200</v>
      </c>
      <c r="B75" t="s">
        <v>27</v>
      </c>
      <c r="C75" s="5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</row>
    <row r="76" spans="1:16" hidden="1" x14ac:dyDescent="0.3">
      <c r="A76" t="s">
        <v>202</v>
      </c>
      <c r="B76" t="s">
        <v>33</v>
      </c>
      <c r="C76" s="5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</row>
    <row r="77" spans="1:16" hidden="1" x14ac:dyDescent="0.3">
      <c r="A77" t="s">
        <v>204</v>
      </c>
      <c r="B77" t="s">
        <v>14</v>
      </c>
      <c r="C77" s="5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</row>
    <row r="78" spans="1:16" x14ac:dyDescent="0.3">
      <c r="A78" t="s">
        <v>206</v>
      </c>
      <c r="B78" t="s">
        <v>43</v>
      </c>
      <c r="C78" s="5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</row>
    <row r="79" spans="1:16" hidden="1" x14ac:dyDescent="0.3">
      <c r="A79" t="s">
        <v>207</v>
      </c>
      <c r="B79" t="s">
        <v>14</v>
      </c>
      <c r="C79" s="5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</row>
    <row r="80" spans="1:16" hidden="1" x14ac:dyDescent="0.3">
      <c r="A80" t="s">
        <v>208</v>
      </c>
      <c r="B80" t="s">
        <v>33</v>
      </c>
      <c r="C80" s="5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</row>
    <row r="81" spans="1:16" x14ac:dyDescent="0.3">
      <c r="A81" t="s">
        <v>210</v>
      </c>
      <c r="B81" t="s">
        <v>33</v>
      </c>
      <c r="C81" s="5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</row>
    <row r="82" spans="1:16" hidden="1" x14ac:dyDescent="0.3">
      <c r="A82" t="s">
        <v>211</v>
      </c>
      <c r="B82" t="s">
        <v>33</v>
      </c>
      <c r="C82" s="5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</row>
    <row r="83" spans="1:16" hidden="1" x14ac:dyDescent="0.3">
      <c r="A83" t="s">
        <v>213</v>
      </c>
      <c r="B83" t="s">
        <v>33</v>
      </c>
      <c r="C83" s="5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</row>
    <row r="84" spans="1:16" x14ac:dyDescent="0.3">
      <c r="A84" t="s">
        <v>217</v>
      </c>
      <c r="B84" t="s">
        <v>27</v>
      </c>
      <c r="C84" s="5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</row>
    <row r="85" spans="1:16" hidden="1" x14ac:dyDescent="0.3">
      <c r="A85" t="s">
        <v>220</v>
      </c>
      <c r="B85" t="s">
        <v>43</v>
      </c>
      <c r="C85" s="5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</row>
    <row r="86" spans="1:16" hidden="1" x14ac:dyDescent="0.3">
      <c r="A86" t="s">
        <v>222</v>
      </c>
      <c r="B86" t="s">
        <v>33</v>
      </c>
      <c r="C86" s="5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</row>
    <row r="87" spans="1:16" hidden="1" x14ac:dyDescent="0.3">
      <c r="A87" t="s">
        <v>223</v>
      </c>
      <c r="B87" t="s">
        <v>27</v>
      </c>
      <c r="C87" s="5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</row>
    <row r="88" spans="1:16" hidden="1" x14ac:dyDescent="0.3">
      <c r="A88" t="s">
        <v>225</v>
      </c>
      <c r="B88" t="s">
        <v>14</v>
      </c>
      <c r="C88" s="5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</row>
    <row r="89" spans="1:16" hidden="1" x14ac:dyDescent="0.3">
      <c r="A89" t="s">
        <v>227</v>
      </c>
      <c r="B89" t="s">
        <v>43</v>
      </c>
      <c r="C89" s="5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</row>
    <row r="90" spans="1:16" x14ac:dyDescent="0.3">
      <c r="A90" t="s">
        <v>229</v>
      </c>
      <c r="B90" t="s">
        <v>14</v>
      </c>
      <c r="C90" s="5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</row>
    <row r="91" spans="1:16" hidden="1" x14ac:dyDescent="0.3">
      <c r="A91" t="s">
        <v>231</v>
      </c>
      <c r="B91" t="s">
        <v>33</v>
      </c>
      <c r="C91" s="5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</row>
    <row r="92" spans="1:16" hidden="1" x14ac:dyDescent="0.3">
      <c r="A92" t="s">
        <v>233</v>
      </c>
      <c r="B92" t="s">
        <v>43</v>
      </c>
      <c r="C92" s="5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</row>
    <row r="93" spans="1:16" hidden="1" x14ac:dyDescent="0.3">
      <c r="A93" t="s">
        <v>235</v>
      </c>
      <c r="B93" t="s">
        <v>14</v>
      </c>
      <c r="C93" s="5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</row>
    <row r="94" spans="1:16" hidden="1" x14ac:dyDescent="0.3">
      <c r="A94" t="s">
        <v>236</v>
      </c>
      <c r="B94" t="s">
        <v>33</v>
      </c>
      <c r="C94" s="5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</row>
    <row r="95" spans="1:16" hidden="1" x14ac:dyDescent="0.3">
      <c r="A95" t="s">
        <v>238</v>
      </c>
      <c r="B95" t="s">
        <v>33</v>
      </c>
      <c r="C95" s="5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</row>
    <row r="96" spans="1:16" hidden="1" x14ac:dyDescent="0.3">
      <c r="A96" t="s">
        <v>239</v>
      </c>
      <c r="B96" t="s">
        <v>33</v>
      </c>
      <c r="C96" s="5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</row>
    <row r="97" spans="1:16" x14ac:dyDescent="0.3">
      <c r="A97" t="s">
        <v>241</v>
      </c>
      <c r="B97" t="s">
        <v>14</v>
      </c>
      <c r="C97" s="5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</row>
    <row r="98" spans="1:16" hidden="1" x14ac:dyDescent="0.3">
      <c r="A98" t="s">
        <v>243</v>
      </c>
      <c r="B98" t="s">
        <v>33</v>
      </c>
      <c r="C98" s="5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</row>
    <row r="99" spans="1:16" hidden="1" x14ac:dyDescent="0.3">
      <c r="A99" t="s">
        <v>245</v>
      </c>
      <c r="B99" t="s">
        <v>14</v>
      </c>
      <c r="C99" s="5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</row>
    <row r="100" spans="1:16" hidden="1" x14ac:dyDescent="0.3">
      <c r="A100" t="s">
        <v>246</v>
      </c>
      <c r="B100" t="s">
        <v>27</v>
      </c>
      <c r="C100" s="5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</row>
    <row r="101" spans="1:16" x14ac:dyDescent="0.3">
      <c r="A101" t="s">
        <v>248</v>
      </c>
      <c r="B101" t="s">
        <v>27</v>
      </c>
      <c r="C101" s="5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</row>
    <row r="102" spans="1:16" hidden="1" x14ac:dyDescent="0.3">
      <c r="A102" t="s">
        <v>250</v>
      </c>
      <c r="B102" t="s">
        <v>27</v>
      </c>
      <c r="C102" s="5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</row>
    <row r="103" spans="1:16" hidden="1" x14ac:dyDescent="0.3">
      <c r="A103" t="s">
        <v>251</v>
      </c>
      <c r="B103" t="s">
        <v>14</v>
      </c>
      <c r="C103" s="5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</row>
    <row r="104" spans="1:16" hidden="1" x14ac:dyDescent="0.3">
      <c r="A104" t="s">
        <v>253</v>
      </c>
      <c r="B104" t="s">
        <v>43</v>
      </c>
      <c r="C104" s="5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</row>
    <row r="105" spans="1:16" hidden="1" x14ac:dyDescent="0.3">
      <c r="A105" t="s">
        <v>255</v>
      </c>
      <c r="B105" t="s">
        <v>27</v>
      </c>
      <c r="C105" s="5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</row>
    <row r="106" spans="1:16" hidden="1" x14ac:dyDescent="0.3">
      <c r="A106" t="s">
        <v>257</v>
      </c>
      <c r="B106" t="s">
        <v>33</v>
      </c>
      <c r="C106" s="5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</row>
    <row r="107" spans="1:16" hidden="1" x14ac:dyDescent="0.3">
      <c r="A107" t="s">
        <v>259</v>
      </c>
      <c r="B107" t="s">
        <v>33</v>
      </c>
      <c r="C107" s="5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</row>
    <row r="108" spans="1:16" x14ac:dyDescent="0.3">
      <c r="A108" t="s">
        <v>261</v>
      </c>
      <c r="B108" t="s">
        <v>27</v>
      </c>
      <c r="C108" s="5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</row>
    <row r="109" spans="1:16" hidden="1" x14ac:dyDescent="0.3">
      <c r="A109" t="s">
        <v>263</v>
      </c>
      <c r="B109" t="s">
        <v>14</v>
      </c>
      <c r="C109" s="5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</row>
    <row r="110" spans="1:16" hidden="1" x14ac:dyDescent="0.3">
      <c r="A110" t="s">
        <v>265</v>
      </c>
      <c r="B110" t="s">
        <v>14</v>
      </c>
      <c r="C110" s="5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</row>
    <row r="111" spans="1:16" hidden="1" x14ac:dyDescent="0.3">
      <c r="A111" t="s">
        <v>267</v>
      </c>
      <c r="B111" t="s">
        <v>33</v>
      </c>
      <c r="C111" s="5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</row>
    <row r="112" spans="1:16" hidden="1" x14ac:dyDescent="0.3">
      <c r="A112" t="s">
        <v>269</v>
      </c>
      <c r="B112" t="s">
        <v>27</v>
      </c>
      <c r="C112" s="5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</row>
    <row r="113" spans="1:16" hidden="1" x14ac:dyDescent="0.3">
      <c r="A113" t="s">
        <v>271</v>
      </c>
      <c r="B113" t="s">
        <v>14</v>
      </c>
      <c r="C113" s="5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</row>
    <row r="114" spans="1:16" hidden="1" x14ac:dyDescent="0.3">
      <c r="A114" t="s">
        <v>273</v>
      </c>
      <c r="B114" t="s">
        <v>14</v>
      </c>
      <c r="C114" s="5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</row>
    <row r="115" spans="1:16" hidden="1" x14ac:dyDescent="0.3">
      <c r="A115" t="s">
        <v>275</v>
      </c>
      <c r="B115" t="s">
        <v>14</v>
      </c>
      <c r="C115" s="5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</row>
    <row r="116" spans="1:16" hidden="1" x14ac:dyDescent="0.3">
      <c r="A116" t="s">
        <v>277</v>
      </c>
      <c r="B116" t="s">
        <v>14</v>
      </c>
      <c r="C116" s="5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</row>
    <row r="117" spans="1:16" x14ac:dyDescent="0.3">
      <c r="A117" t="s">
        <v>279</v>
      </c>
      <c r="B117" t="s">
        <v>27</v>
      </c>
      <c r="C117" s="5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</row>
    <row r="118" spans="1:16" hidden="1" x14ac:dyDescent="0.3">
      <c r="A118" t="s">
        <v>281</v>
      </c>
      <c r="B118" t="s">
        <v>14</v>
      </c>
      <c r="C118" s="5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</row>
    <row r="119" spans="1:16" hidden="1" x14ac:dyDescent="0.3">
      <c r="A119" t="s">
        <v>283</v>
      </c>
      <c r="B119" t="s">
        <v>43</v>
      </c>
      <c r="C119" s="5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</row>
    <row r="120" spans="1:16" x14ac:dyDescent="0.3">
      <c r="A120" t="s">
        <v>284</v>
      </c>
      <c r="B120" t="s">
        <v>33</v>
      </c>
      <c r="C120" s="5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</row>
    <row r="121" spans="1:16" hidden="1" x14ac:dyDescent="0.3">
      <c r="A121" t="s">
        <v>286</v>
      </c>
      <c r="B121" t="s">
        <v>43</v>
      </c>
      <c r="C121" s="5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</row>
    <row r="122" spans="1:16" x14ac:dyDescent="0.3">
      <c r="A122" t="s">
        <v>287</v>
      </c>
      <c r="B122" t="s">
        <v>33</v>
      </c>
      <c r="C122" s="5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</row>
    <row r="123" spans="1:16" hidden="1" x14ac:dyDescent="0.3">
      <c r="A123" t="s">
        <v>288</v>
      </c>
      <c r="B123" t="s">
        <v>33</v>
      </c>
      <c r="C123" s="5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</row>
    <row r="124" spans="1:16" hidden="1" x14ac:dyDescent="0.3">
      <c r="A124" t="s">
        <v>289</v>
      </c>
      <c r="B124" t="s">
        <v>33</v>
      </c>
      <c r="C124" s="5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</row>
    <row r="125" spans="1:16" hidden="1" x14ac:dyDescent="0.3">
      <c r="A125" t="s">
        <v>290</v>
      </c>
      <c r="B125" t="s">
        <v>27</v>
      </c>
      <c r="C125" s="5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</row>
    <row r="126" spans="1:16" hidden="1" x14ac:dyDescent="0.3">
      <c r="A126" t="s">
        <v>292</v>
      </c>
      <c r="B126" t="s">
        <v>14</v>
      </c>
      <c r="C126" s="5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</row>
    <row r="127" spans="1:16" x14ac:dyDescent="0.3">
      <c r="A127" t="s">
        <v>294</v>
      </c>
      <c r="B127" t="s">
        <v>33</v>
      </c>
      <c r="C127" s="5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</row>
    <row r="128" spans="1:16" hidden="1" x14ac:dyDescent="0.3">
      <c r="A128" t="s">
        <v>295</v>
      </c>
      <c r="B128" t="s">
        <v>43</v>
      </c>
      <c r="C128" s="5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</row>
    <row r="129" spans="1:16" x14ac:dyDescent="0.3">
      <c r="A129" t="s">
        <v>296</v>
      </c>
      <c r="B129" t="s">
        <v>14</v>
      </c>
      <c r="C129" s="5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</row>
    <row r="130" spans="1:16" x14ac:dyDescent="0.3">
      <c r="A130" t="s">
        <v>297</v>
      </c>
      <c r="B130" t="s">
        <v>14</v>
      </c>
      <c r="C130" s="5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</row>
    <row r="131" spans="1:16" hidden="1" x14ac:dyDescent="0.3">
      <c r="A131" t="s">
        <v>298</v>
      </c>
      <c r="B131" t="s">
        <v>27</v>
      </c>
      <c r="C131" s="5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</row>
    <row r="132" spans="1:16" hidden="1" x14ac:dyDescent="0.3">
      <c r="A132" t="s">
        <v>300</v>
      </c>
      <c r="B132" t="s">
        <v>33</v>
      </c>
      <c r="C132" s="5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</row>
    <row r="133" spans="1:16" hidden="1" x14ac:dyDescent="0.3">
      <c r="A133" t="s">
        <v>301</v>
      </c>
      <c r="B133" t="s">
        <v>33</v>
      </c>
      <c r="C133" s="5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</row>
    <row r="134" spans="1:16" hidden="1" x14ac:dyDescent="0.3">
      <c r="A134" t="s">
        <v>302</v>
      </c>
      <c r="B134" t="s">
        <v>43</v>
      </c>
      <c r="C134" s="5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</row>
    <row r="135" spans="1:16" hidden="1" x14ac:dyDescent="0.3">
      <c r="A135" t="s">
        <v>304</v>
      </c>
      <c r="B135" t="s">
        <v>14</v>
      </c>
      <c r="C135" s="5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</row>
    <row r="136" spans="1:16" hidden="1" x14ac:dyDescent="0.3">
      <c r="A136" t="s">
        <v>306</v>
      </c>
      <c r="B136" t="s">
        <v>43</v>
      </c>
      <c r="C136" s="5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</row>
    <row r="137" spans="1:16" hidden="1" x14ac:dyDescent="0.3">
      <c r="A137" t="s">
        <v>308</v>
      </c>
      <c r="B137" t="s">
        <v>33</v>
      </c>
      <c r="C137" s="5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</row>
    <row r="138" spans="1:16" x14ac:dyDescent="0.3">
      <c r="A138" t="s">
        <v>310</v>
      </c>
      <c r="B138" t="s">
        <v>43</v>
      </c>
      <c r="C138" s="5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</row>
    <row r="139" spans="1:16" hidden="1" x14ac:dyDescent="0.3">
      <c r="A139" t="s">
        <v>311</v>
      </c>
      <c r="B139" t="s">
        <v>14</v>
      </c>
      <c r="C139" s="5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</row>
    <row r="140" spans="1:16" hidden="1" x14ac:dyDescent="0.3">
      <c r="A140" t="s">
        <v>312</v>
      </c>
      <c r="B140" t="s">
        <v>27</v>
      </c>
      <c r="C140" s="5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</row>
    <row r="141" spans="1:16" hidden="1" x14ac:dyDescent="0.3">
      <c r="A141" t="s">
        <v>314</v>
      </c>
      <c r="B141" t="s">
        <v>43</v>
      </c>
      <c r="C141" s="5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</row>
    <row r="142" spans="1:16" x14ac:dyDescent="0.3">
      <c r="A142" t="s">
        <v>317</v>
      </c>
      <c r="B142" t="s">
        <v>14</v>
      </c>
      <c r="C142" s="5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</row>
    <row r="143" spans="1:16" hidden="1" x14ac:dyDescent="0.3">
      <c r="A143" t="s">
        <v>319</v>
      </c>
      <c r="B143" t="s">
        <v>27</v>
      </c>
      <c r="C143" s="5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</row>
    <row r="144" spans="1:16" hidden="1" x14ac:dyDescent="0.3">
      <c r="A144" t="s">
        <v>320</v>
      </c>
      <c r="B144" t="s">
        <v>27</v>
      </c>
      <c r="C144" s="5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</row>
    <row r="145" spans="1:16" hidden="1" x14ac:dyDescent="0.3">
      <c r="A145" t="s">
        <v>321</v>
      </c>
      <c r="B145" t="s">
        <v>27</v>
      </c>
      <c r="C145" s="5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</row>
    <row r="146" spans="1:16" hidden="1" x14ac:dyDescent="0.3">
      <c r="A146" t="s">
        <v>322</v>
      </c>
      <c r="B146" t="s">
        <v>33</v>
      </c>
      <c r="C146" s="5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</row>
    <row r="147" spans="1:16" x14ac:dyDescent="0.3">
      <c r="A147" t="s">
        <v>323</v>
      </c>
      <c r="B147" t="s">
        <v>27</v>
      </c>
      <c r="C147" s="5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</row>
    <row r="148" spans="1:16" hidden="1" x14ac:dyDescent="0.3">
      <c r="A148" t="s">
        <v>326</v>
      </c>
      <c r="B148" t="s">
        <v>33</v>
      </c>
      <c r="C148" s="5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</row>
    <row r="149" spans="1:16" hidden="1" x14ac:dyDescent="0.3">
      <c r="A149" t="s">
        <v>327</v>
      </c>
      <c r="B149" t="s">
        <v>33</v>
      </c>
      <c r="C149" s="5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</row>
    <row r="150" spans="1:16" hidden="1" x14ac:dyDescent="0.3">
      <c r="A150" t="s">
        <v>328</v>
      </c>
      <c r="B150" t="s">
        <v>14</v>
      </c>
      <c r="C150" s="5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</row>
    <row r="151" spans="1:16" hidden="1" x14ac:dyDescent="0.3">
      <c r="A151" t="s">
        <v>330</v>
      </c>
      <c r="B151" t="s">
        <v>27</v>
      </c>
      <c r="C151" s="5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</row>
    <row r="152" spans="1:16" hidden="1" x14ac:dyDescent="0.3">
      <c r="A152" t="s">
        <v>332</v>
      </c>
      <c r="B152" t="s">
        <v>33</v>
      </c>
      <c r="C152" s="5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</row>
    <row r="153" spans="1:16" hidden="1" x14ac:dyDescent="0.3">
      <c r="A153" t="s">
        <v>333</v>
      </c>
      <c r="B153" t="s">
        <v>43</v>
      </c>
      <c r="C153" s="5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</row>
    <row r="154" spans="1:16" hidden="1" x14ac:dyDescent="0.3">
      <c r="A154" t="s">
        <v>335</v>
      </c>
      <c r="B154" t="s">
        <v>14</v>
      </c>
      <c r="C154" s="5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</row>
    <row r="155" spans="1:16" hidden="1" x14ac:dyDescent="0.3">
      <c r="A155" t="s">
        <v>337</v>
      </c>
      <c r="B155" t="s">
        <v>33</v>
      </c>
      <c r="C155" s="5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</row>
    <row r="156" spans="1:16" hidden="1" x14ac:dyDescent="0.3">
      <c r="A156" t="s">
        <v>338</v>
      </c>
      <c r="B156" t="s">
        <v>27</v>
      </c>
      <c r="C156" s="5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</row>
    <row r="157" spans="1:16" hidden="1" x14ac:dyDescent="0.3">
      <c r="A157" t="s">
        <v>340</v>
      </c>
      <c r="B157" t="s">
        <v>43</v>
      </c>
      <c r="C157" s="5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</row>
    <row r="158" spans="1:16" hidden="1" x14ac:dyDescent="0.3">
      <c r="A158" t="s">
        <v>342</v>
      </c>
      <c r="B158" t="s">
        <v>27</v>
      </c>
      <c r="C158" s="5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</row>
    <row r="159" spans="1:16" hidden="1" x14ac:dyDescent="0.3">
      <c r="A159" t="s">
        <v>344</v>
      </c>
      <c r="B159" t="s">
        <v>33</v>
      </c>
      <c r="C159" s="5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</row>
    <row r="160" spans="1:16" hidden="1" x14ac:dyDescent="0.3">
      <c r="A160" t="s">
        <v>346</v>
      </c>
      <c r="B160" t="s">
        <v>43</v>
      </c>
      <c r="C160" s="5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</row>
    <row r="161" spans="1:16" x14ac:dyDescent="0.3">
      <c r="A161" t="s">
        <v>347</v>
      </c>
      <c r="B161" t="s">
        <v>14</v>
      </c>
      <c r="C161" s="5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</row>
    <row r="162" spans="1:16" hidden="1" x14ac:dyDescent="0.3">
      <c r="A162" t="s">
        <v>349</v>
      </c>
      <c r="B162" t="s">
        <v>14</v>
      </c>
      <c r="C162" s="5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</row>
    <row r="163" spans="1:16" x14ac:dyDescent="0.3">
      <c r="A163" t="s">
        <v>351</v>
      </c>
      <c r="B163" t="s">
        <v>43</v>
      </c>
      <c r="C163" s="5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</row>
    <row r="164" spans="1:16" hidden="1" x14ac:dyDescent="0.3">
      <c r="A164" t="s">
        <v>353</v>
      </c>
      <c r="B164" t="s">
        <v>33</v>
      </c>
      <c r="C164" s="5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</row>
    <row r="165" spans="1:16" hidden="1" x14ac:dyDescent="0.3">
      <c r="A165" t="s">
        <v>355</v>
      </c>
      <c r="B165" t="s">
        <v>27</v>
      </c>
      <c r="C165" s="5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</row>
    <row r="166" spans="1:16" hidden="1" x14ac:dyDescent="0.3">
      <c r="A166" t="s">
        <v>356</v>
      </c>
      <c r="B166" t="s">
        <v>14</v>
      </c>
      <c r="C166" s="5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</row>
    <row r="167" spans="1:16" hidden="1" x14ac:dyDescent="0.3">
      <c r="A167" t="s">
        <v>357</v>
      </c>
      <c r="B167" t="s">
        <v>14</v>
      </c>
      <c r="C167" s="5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</row>
    <row r="168" spans="1:16" x14ac:dyDescent="0.3">
      <c r="A168" t="s">
        <v>358</v>
      </c>
      <c r="B168" t="s">
        <v>33</v>
      </c>
      <c r="C168" s="5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</row>
    <row r="169" spans="1:16" hidden="1" x14ac:dyDescent="0.3">
      <c r="A169" t="s">
        <v>359</v>
      </c>
      <c r="B169" t="s">
        <v>43</v>
      </c>
      <c r="C169" s="5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</row>
    <row r="170" spans="1:16" hidden="1" x14ac:dyDescent="0.3">
      <c r="A170" t="s">
        <v>361</v>
      </c>
      <c r="B170" t="s">
        <v>27</v>
      </c>
      <c r="C170" s="5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</row>
    <row r="171" spans="1:16" hidden="1" x14ac:dyDescent="0.3">
      <c r="A171" t="s">
        <v>363</v>
      </c>
      <c r="B171" t="s">
        <v>14</v>
      </c>
      <c r="C171" s="5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</row>
    <row r="172" spans="1:16" hidden="1" x14ac:dyDescent="0.3">
      <c r="A172" t="s">
        <v>365</v>
      </c>
      <c r="B172" t="s">
        <v>27</v>
      </c>
      <c r="C172" s="5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</row>
    <row r="173" spans="1:16" hidden="1" x14ac:dyDescent="0.3">
      <c r="A173" t="s">
        <v>367</v>
      </c>
      <c r="B173" t="s">
        <v>43</v>
      </c>
      <c r="C173" s="5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</row>
    <row r="174" spans="1:16" hidden="1" x14ac:dyDescent="0.3">
      <c r="A174" t="s">
        <v>369</v>
      </c>
      <c r="B174" t="s">
        <v>14</v>
      </c>
      <c r="C174" s="5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</row>
    <row r="175" spans="1:16" x14ac:dyDescent="0.3">
      <c r="A175" t="s">
        <v>371</v>
      </c>
      <c r="B175" t="s">
        <v>43</v>
      </c>
      <c r="C175" s="5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</row>
    <row r="176" spans="1:16" hidden="1" x14ac:dyDescent="0.3">
      <c r="A176" t="s">
        <v>372</v>
      </c>
      <c r="B176" t="s">
        <v>33</v>
      </c>
      <c r="C176" s="5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</row>
    <row r="177" spans="1:16" hidden="1" x14ac:dyDescent="0.3">
      <c r="A177" t="s">
        <v>374</v>
      </c>
      <c r="B177" t="s">
        <v>43</v>
      </c>
      <c r="C177" s="5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</row>
    <row r="178" spans="1:16" hidden="1" x14ac:dyDescent="0.3">
      <c r="A178" t="s">
        <v>376</v>
      </c>
      <c r="B178" t="s">
        <v>33</v>
      </c>
      <c r="C178" s="5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</row>
    <row r="179" spans="1:16" hidden="1" x14ac:dyDescent="0.3">
      <c r="A179" t="s">
        <v>378</v>
      </c>
      <c r="B179" t="s">
        <v>33</v>
      </c>
      <c r="C179" s="5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</row>
    <row r="180" spans="1:16" x14ac:dyDescent="0.3">
      <c r="A180" t="s">
        <v>379</v>
      </c>
      <c r="B180" t="s">
        <v>43</v>
      </c>
      <c r="C180" s="5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</row>
    <row r="181" spans="1:16" hidden="1" x14ac:dyDescent="0.3">
      <c r="A181" t="s">
        <v>380</v>
      </c>
      <c r="B181" t="s">
        <v>27</v>
      </c>
      <c r="C181" s="5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</row>
    <row r="182" spans="1:16" hidden="1" x14ac:dyDescent="0.3">
      <c r="A182" t="s">
        <v>381</v>
      </c>
      <c r="B182" t="s">
        <v>27</v>
      </c>
      <c r="C182" s="5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</row>
    <row r="183" spans="1:16" hidden="1" x14ac:dyDescent="0.3">
      <c r="A183" t="s">
        <v>383</v>
      </c>
      <c r="B183" t="s">
        <v>43</v>
      </c>
      <c r="C183" s="5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</row>
    <row r="184" spans="1:16" hidden="1" x14ac:dyDescent="0.3">
      <c r="A184" t="s">
        <v>384</v>
      </c>
      <c r="B184" t="s">
        <v>33</v>
      </c>
      <c r="C184" s="5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</row>
    <row r="185" spans="1:16" hidden="1" x14ac:dyDescent="0.3">
      <c r="A185" t="s">
        <v>386</v>
      </c>
      <c r="B185" t="s">
        <v>14</v>
      </c>
      <c r="C185" s="5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</row>
    <row r="186" spans="1:16" x14ac:dyDescent="0.3">
      <c r="A186" t="s">
        <v>388</v>
      </c>
      <c r="B186" t="s">
        <v>33</v>
      </c>
      <c r="C186" s="5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</row>
    <row r="187" spans="1:16" hidden="1" x14ac:dyDescent="0.3">
      <c r="A187" t="s">
        <v>390</v>
      </c>
      <c r="B187" t="s">
        <v>43</v>
      </c>
      <c r="C187" s="5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</row>
    <row r="188" spans="1:16" hidden="1" x14ac:dyDescent="0.3">
      <c r="A188" t="s">
        <v>391</v>
      </c>
      <c r="B188" t="s">
        <v>14</v>
      </c>
      <c r="C188" s="5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</row>
    <row r="189" spans="1:16" hidden="1" x14ac:dyDescent="0.3">
      <c r="A189" t="s">
        <v>393</v>
      </c>
      <c r="B189" t="s">
        <v>27</v>
      </c>
      <c r="C189" s="5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</row>
    <row r="190" spans="1:16" hidden="1" x14ac:dyDescent="0.3">
      <c r="A190" t="s">
        <v>394</v>
      </c>
      <c r="B190" t="s">
        <v>43</v>
      </c>
      <c r="C190" s="5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</row>
    <row r="191" spans="1:16" x14ac:dyDescent="0.3">
      <c r="A191" t="s">
        <v>395</v>
      </c>
      <c r="B191" t="s">
        <v>27</v>
      </c>
      <c r="C191" s="5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</row>
    <row r="192" spans="1:16" hidden="1" x14ac:dyDescent="0.3">
      <c r="A192" t="s">
        <v>397</v>
      </c>
      <c r="B192" t="s">
        <v>27</v>
      </c>
      <c r="C192" s="5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</row>
    <row r="193" spans="1:16" x14ac:dyDescent="0.3">
      <c r="A193" t="s">
        <v>398</v>
      </c>
      <c r="B193" t="s">
        <v>33</v>
      </c>
      <c r="C193" s="5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</row>
    <row r="194" spans="1:16" hidden="1" x14ac:dyDescent="0.3">
      <c r="A194" t="s">
        <v>400</v>
      </c>
      <c r="B194" t="s">
        <v>14</v>
      </c>
      <c r="C194" s="5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</row>
    <row r="195" spans="1:16" hidden="1" x14ac:dyDescent="0.3">
      <c r="A195" t="s">
        <v>402</v>
      </c>
      <c r="B195" t="s">
        <v>27</v>
      </c>
      <c r="C195" s="5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</row>
    <row r="196" spans="1:16" hidden="1" x14ac:dyDescent="0.3">
      <c r="A196" t="s">
        <v>403</v>
      </c>
      <c r="B196" t="s">
        <v>33</v>
      </c>
      <c r="C196" s="5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</row>
    <row r="197" spans="1:16" hidden="1" x14ac:dyDescent="0.3">
      <c r="A197" t="s">
        <v>405</v>
      </c>
      <c r="B197" t="s">
        <v>33</v>
      </c>
      <c r="C197" s="5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</row>
    <row r="198" spans="1:16" hidden="1" x14ac:dyDescent="0.3">
      <c r="A198" t="s">
        <v>407</v>
      </c>
      <c r="B198" t="s">
        <v>14</v>
      </c>
      <c r="C198" s="5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</row>
    <row r="199" spans="1:16" hidden="1" x14ac:dyDescent="0.3">
      <c r="A199" t="s">
        <v>408</v>
      </c>
      <c r="B199" t="s">
        <v>14</v>
      </c>
      <c r="C199" s="5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</row>
    <row r="200" spans="1:16" hidden="1" x14ac:dyDescent="0.3">
      <c r="A200" t="s">
        <v>410</v>
      </c>
      <c r="B200" t="s">
        <v>27</v>
      </c>
      <c r="C200" s="5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</row>
    <row r="201" spans="1:16" hidden="1" x14ac:dyDescent="0.3">
      <c r="A201" t="s">
        <v>411</v>
      </c>
      <c r="B201" t="s">
        <v>43</v>
      </c>
      <c r="C201" s="5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</row>
    <row r="202" spans="1:16" hidden="1" x14ac:dyDescent="0.3">
      <c r="A202" t="s">
        <v>413</v>
      </c>
      <c r="B202" t="s">
        <v>14</v>
      </c>
      <c r="C202" s="5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</row>
    <row r="203" spans="1:16" hidden="1" x14ac:dyDescent="0.3">
      <c r="A203" t="s">
        <v>415</v>
      </c>
      <c r="B203" t="s">
        <v>43</v>
      </c>
      <c r="C203" s="5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</row>
    <row r="204" spans="1:16" hidden="1" x14ac:dyDescent="0.3">
      <c r="A204" t="s">
        <v>417</v>
      </c>
      <c r="B204" t="s">
        <v>33</v>
      </c>
      <c r="C204" s="5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</row>
    <row r="205" spans="1:16" hidden="1" x14ac:dyDescent="0.3">
      <c r="A205" t="s">
        <v>419</v>
      </c>
      <c r="B205" t="s">
        <v>33</v>
      </c>
      <c r="C205" s="5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</row>
    <row r="206" spans="1:16" hidden="1" x14ac:dyDescent="0.3">
      <c r="A206" t="s">
        <v>420</v>
      </c>
      <c r="B206" t="s">
        <v>14</v>
      </c>
      <c r="C206" s="5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</row>
    <row r="207" spans="1:16" hidden="1" x14ac:dyDescent="0.3">
      <c r="A207" t="s">
        <v>422</v>
      </c>
      <c r="B207" t="s">
        <v>14</v>
      </c>
      <c r="C207" s="5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</row>
    <row r="208" spans="1:16" hidden="1" x14ac:dyDescent="0.3">
      <c r="A208" t="s">
        <v>423</v>
      </c>
      <c r="B208" t="s">
        <v>14</v>
      </c>
      <c r="C208" s="5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</row>
    <row r="209" spans="1:16" hidden="1" x14ac:dyDescent="0.3">
      <c r="A209" t="s">
        <v>425</v>
      </c>
      <c r="B209" t="s">
        <v>27</v>
      </c>
      <c r="C209" s="5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</row>
    <row r="210" spans="1:16" hidden="1" x14ac:dyDescent="0.3">
      <c r="A210" t="s">
        <v>426</v>
      </c>
      <c r="B210" t="s">
        <v>14</v>
      </c>
      <c r="C210" s="5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</row>
    <row r="211" spans="1:16" hidden="1" x14ac:dyDescent="0.3">
      <c r="A211" t="s">
        <v>428</v>
      </c>
      <c r="B211" t="s">
        <v>27</v>
      </c>
      <c r="C211" s="5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</row>
    <row r="212" spans="1:16" hidden="1" x14ac:dyDescent="0.3">
      <c r="A212" t="s">
        <v>429</v>
      </c>
      <c r="B212" t="s">
        <v>14</v>
      </c>
      <c r="C212" s="5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</row>
    <row r="213" spans="1:16" hidden="1" x14ac:dyDescent="0.3">
      <c r="A213" t="s">
        <v>431</v>
      </c>
      <c r="B213" t="s">
        <v>27</v>
      </c>
      <c r="C213" s="5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</row>
    <row r="214" spans="1:16" hidden="1" x14ac:dyDescent="0.3">
      <c r="A214" t="s">
        <v>432</v>
      </c>
      <c r="B214" t="s">
        <v>43</v>
      </c>
      <c r="C214" s="5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</row>
    <row r="215" spans="1:16" hidden="1" x14ac:dyDescent="0.3">
      <c r="A215" t="s">
        <v>434</v>
      </c>
      <c r="B215" t="s">
        <v>33</v>
      </c>
      <c r="C215" s="5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</row>
    <row r="216" spans="1:16" hidden="1" x14ac:dyDescent="0.3">
      <c r="A216" t="s">
        <v>435</v>
      </c>
      <c r="B216" t="s">
        <v>43</v>
      </c>
      <c r="C216" s="5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</row>
    <row r="217" spans="1:16" hidden="1" x14ac:dyDescent="0.3">
      <c r="A217" t="s">
        <v>437</v>
      </c>
      <c r="B217" t="s">
        <v>27</v>
      </c>
      <c r="C217" s="5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</row>
    <row r="218" spans="1:16" x14ac:dyDescent="0.3">
      <c r="A218" t="s">
        <v>438</v>
      </c>
      <c r="B218" t="s">
        <v>43</v>
      </c>
      <c r="C218" s="5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</row>
    <row r="219" spans="1:16" hidden="1" x14ac:dyDescent="0.3">
      <c r="A219" t="s">
        <v>439</v>
      </c>
      <c r="B219" t="s">
        <v>43</v>
      </c>
      <c r="C219" s="5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</row>
    <row r="220" spans="1:16" hidden="1" x14ac:dyDescent="0.3">
      <c r="A220" t="s">
        <v>440</v>
      </c>
      <c r="B220" t="s">
        <v>14</v>
      </c>
      <c r="C220" s="5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</row>
    <row r="221" spans="1:16" x14ac:dyDescent="0.3">
      <c r="A221" t="s">
        <v>441</v>
      </c>
      <c r="B221" t="s">
        <v>33</v>
      </c>
      <c r="C221" s="5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</row>
    <row r="222" spans="1:16" x14ac:dyDescent="0.3">
      <c r="A222" t="s">
        <v>442</v>
      </c>
      <c r="B222" t="s">
        <v>43</v>
      </c>
      <c r="C222" s="5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</row>
    <row r="223" spans="1:16" hidden="1" x14ac:dyDescent="0.3">
      <c r="A223" t="s">
        <v>443</v>
      </c>
      <c r="B223" t="s">
        <v>43</v>
      </c>
      <c r="C223" s="5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</row>
    <row r="224" spans="1:16" x14ac:dyDescent="0.3">
      <c r="A224" t="s">
        <v>446</v>
      </c>
      <c r="B224" t="s">
        <v>14</v>
      </c>
      <c r="C224" s="5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</row>
    <row r="225" spans="1:16" hidden="1" x14ac:dyDescent="0.3">
      <c r="A225" t="s">
        <v>447</v>
      </c>
      <c r="B225" t="s">
        <v>43</v>
      </c>
      <c r="C225" s="5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</row>
    <row r="226" spans="1:16" x14ac:dyDescent="0.3">
      <c r="A226" t="s">
        <v>449</v>
      </c>
      <c r="B226" t="s">
        <v>14</v>
      </c>
      <c r="C226" s="5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</row>
    <row r="227" spans="1:16" x14ac:dyDescent="0.3">
      <c r="A227" t="s">
        <v>450</v>
      </c>
      <c r="B227" t="s">
        <v>33</v>
      </c>
      <c r="C227" s="5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</row>
    <row r="228" spans="1:16" hidden="1" x14ac:dyDescent="0.3">
      <c r="A228" t="s">
        <v>452</v>
      </c>
      <c r="B228" t="s">
        <v>33</v>
      </c>
      <c r="C228" s="5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</row>
    <row r="229" spans="1:16" hidden="1" x14ac:dyDescent="0.3">
      <c r="A229" t="s">
        <v>454</v>
      </c>
      <c r="B229" t="s">
        <v>33</v>
      </c>
      <c r="C229" s="5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</row>
    <row r="230" spans="1:16" x14ac:dyDescent="0.3">
      <c r="A230" t="s">
        <v>456</v>
      </c>
      <c r="B230" t="s">
        <v>33</v>
      </c>
      <c r="C230" s="5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</row>
    <row r="231" spans="1:16" hidden="1" x14ac:dyDescent="0.3">
      <c r="A231" t="s">
        <v>457</v>
      </c>
      <c r="B231" t="s">
        <v>43</v>
      </c>
      <c r="C231" s="5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</row>
    <row r="232" spans="1:16" hidden="1" x14ac:dyDescent="0.3">
      <c r="A232" t="s">
        <v>458</v>
      </c>
      <c r="B232" t="s">
        <v>33</v>
      </c>
      <c r="C232" s="5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</row>
    <row r="233" spans="1:16" hidden="1" x14ac:dyDescent="0.3">
      <c r="A233" t="s">
        <v>459</v>
      </c>
      <c r="B233" t="s">
        <v>14</v>
      </c>
      <c r="C233" s="5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</row>
    <row r="234" spans="1:16" hidden="1" x14ac:dyDescent="0.3">
      <c r="A234" t="s">
        <v>461</v>
      </c>
      <c r="B234" t="s">
        <v>43</v>
      </c>
      <c r="C234" s="5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</row>
    <row r="235" spans="1:16" x14ac:dyDescent="0.3">
      <c r="A235" t="s">
        <v>462</v>
      </c>
      <c r="B235" t="s">
        <v>43</v>
      </c>
      <c r="C235" s="5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</row>
    <row r="236" spans="1:16" hidden="1" x14ac:dyDescent="0.3">
      <c r="A236" t="s">
        <v>464</v>
      </c>
      <c r="B236" t="s">
        <v>43</v>
      </c>
      <c r="C236" s="5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</row>
    <row r="237" spans="1:16" hidden="1" x14ac:dyDescent="0.3">
      <c r="A237" t="s">
        <v>465</v>
      </c>
      <c r="B237" t="s">
        <v>43</v>
      </c>
      <c r="C237" s="5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</row>
    <row r="238" spans="1:16" hidden="1" x14ac:dyDescent="0.3">
      <c r="A238" t="s">
        <v>467</v>
      </c>
      <c r="B238" t="s">
        <v>33</v>
      </c>
      <c r="C238" s="5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</row>
    <row r="239" spans="1:16" hidden="1" x14ac:dyDescent="0.3">
      <c r="A239" t="s">
        <v>468</v>
      </c>
      <c r="B239" t="s">
        <v>14</v>
      </c>
      <c r="C239" s="5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</row>
    <row r="240" spans="1:16" x14ac:dyDescent="0.3">
      <c r="A240" t="s">
        <v>470</v>
      </c>
      <c r="B240" t="s">
        <v>27</v>
      </c>
      <c r="C240" s="5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</row>
    <row r="241" spans="1:16" hidden="1" x14ac:dyDescent="0.3">
      <c r="A241" t="s">
        <v>471</v>
      </c>
      <c r="B241" t="s">
        <v>14</v>
      </c>
      <c r="C241" s="5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</row>
    <row r="242" spans="1:16" hidden="1" x14ac:dyDescent="0.3">
      <c r="A242" t="s">
        <v>472</v>
      </c>
      <c r="B242" t="s">
        <v>43</v>
      </c>
      <c r="C242" s="5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</row>
    <row r="243" spans="1:16" hidden="1" x14ac:dyDescent="0.3">
      <c r="A243" t="s">
        <v>474</v>
      </c>
      <c r="B243" t="s">
        <v>43</v>
      </c>
      <c r="C243" s="5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</row>
    <row r="244" spans="1:16" hidden="1" x14ac:dyDescent="0.3">
      <c r="A244" t="s">
        <v>475</v>
      </c>
      <c r="B244" t="s">
        <v>14</v>
      </c>
      <c r="C244" s="5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</row>
    <row r="245" spans="1:16" hidden="1" x14ac:dyDescent="0.3">
      <c r="A245" t="s">
        <v>477</v>
      </c>
      <c r="B245" t="s">
        <v>27</v>
      </c>
      <c r="C245" s="5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</row>
    <row r="246" spans="1:16" hidden="1" x14ac:dyDescent="0.3">
      <c r="A246" t="s">
        <v>479</v>
      </c>
      <c r="B246" t="s">
        <v>43</v>
      </c>
      <c r="C246" s="5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</row>
    <row r="247" spans="1:16" hidden="1" x14ac:dyDescent="0.3">
      <c r="A247" t="s">
        <v>481</v>
      </c>
      <c r="B247" t="s">
        <v>43</v>
      </c>
      <c r="C247" s="5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</row>
    <row r="248" spans="1:16" x14ac:dyDescent="0.3">
      <c r="A248" t="s">
        <v>483</v>
      </c>
      <c r="B248" t="s">
        <v>43</v>
      </c>
      <c r="C248" s="5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</row>
    <row r="249" spans="1:16" x14ac:dyDescent="0.3">
      <c r="A249" t="s">
        <v>486</v>
      </c>
      <c r="B249" t="s">
        <v>43</v>
      </c>
      <c r="C249" s="5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</row>
    <row r="250" spans="1:16" hidden="1" x14ac:dyDescent="0.3">
      <c r="A250" t="s">
        <v>487</v>
      </c>
      <c r="B250" t="s">
        <v>14</v>
      </c>
      <c r="C250" s="5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</row>
    <row r="251" spans="1:16" x14ac:dyDescent="0.3">
      <c r="A251" t="s">
        <v>488</v>
      </c>
      <c r="B251" t="s">
        <v>43</v>
      </c>
      <c r="C251" s="5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</row>
    <row r="252" spans="1:16" x14ac:dyDescent="0.3">
      <c r="A252" t="s">
        <v>489</v>
      </c>
      <c r="B252" t="s">
        <v>33</v>
      </c>
      <c r="C252" s="5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</row>
    <row r="253" spans="1:16" hidden="1" x14ac:dyDescent="0.3">
      <c r="A253" t="s">
        <v>491</v>
      </c>
      <c r="B253" t="s">
        <v>43</v>
      </c>
      <c r="C253" s="5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</row>
    <row r="254" spans="1:16" x14ac:dyDescent="0.3">
      <c r="A254" t="s">
        <v>492</v>
      </c>
      <c r="B254" t="s">
        <v>14</v>
      </c>
      <c r="C254" s="5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</row>
    <row r="255" spans="1:16" hidden="1" x14ac:dyDescent="0.3">
      <c r="A255" t="s">
        <v>494</v>
      </c>
      <c r="B255" t="s">
        <v>14</v>
      </c>
      <c r="C255" s="5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</row>
    <row r="256" spans="1:16" hidden="1" x14ac:dyDescent="0.3">
      <c r="A256" t="s">
        <v>496</v>
      </c>
      <c r="B256" t="s">
        <v>43</v>
      </c>
      <c r="C256" s="5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</row>
    <row r="257" spans="1:16" hidden="1" x14ac:dyDescent="0.3">
      <c r="A257" t="s">
        <v>497</v>
      </c>
      <c r="B257" t="s">
        <v>27</v>
      </c>
      <c r="C257" s="5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</row>
    <row r="258" spans="1:16" hidden="1" x14ac:dyDescent="0.3">
      <c r="A258" t="s">
        <v>498</v>
      </c>
      <c r="B258" t="s">
        <v>43</v>
      </c>
      <c r="C258" s="5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</row>
    <row r="259" spans="1:16" hidden="1" x14ac:dyDescent="0.3">
      <c r="A259" t="s">
        <v>500</v>
      </c>
      <c r="B259" t="s">
        <v>33</v>
      </c>
      <c r="C259" s="5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</row>
    <row r="260" spans="1:16" hidden="1" x14ac:dyDescent="0.3">
      <c r="A260" t="s">
        <v>502</v>
      </c>
      <c r="B260" t="s">
        <v>43</v>
      </c>
      <c r="C260" s="5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</row>
    <row r="261" spans="1:16" hidden="1" x14ac:dyDescent="0.3">
      <c r="A261" t="s">
        <v>503</v>
      </c>
      <c r="B261" t="s">
        <v>33</v>
      </c>
      <c r="C261" s="5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</row>
    <row r="262" spans="1:16" hidden="1" x14ac:dyDescent="0.3">
      <c r="A262" t="s">
        <v>506</v>
      </c>
      <c r="B262" t="s">
        <v>33</v>
      </c>
      <c r="C262" s="5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</row>
    <row r="263" spans="1:16" x14ac:dyDescent="0.3">
      <c r="A263" t="s">
        <v>508</v>
      </c>
      <c r="B263" t="s">
        <v>27</v>
      </c>
      <c r="C263" s="5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</row>
    <row r="264" spans="1:16" hidden="1" x14ac:dyDescent="0.3">
      <c r="A264" t="s">
        <v>509</v>
      </c>
      <c r="B264" t="s">
        <v>33</v>
      </c>
      <c r="C264" s="5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</row>
    <row r="265" spans="1:16" hidden="1" x14ac:dyDescent="0.3">
      <c r="A265" t="s">
        <v>511</v>
      </c>
      <c r="B265" t="s">
        <v>14</v>
      </c>
      <c r="C265" s="5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</row>
    <row r="266" spans="1:16" hidden="1" x14ac:dyDescent="0.3">
      <c r="A266" t="s">
        <v>513</v>
      </c>
      <c r="B266" t="s">
        <v>14</v>
      </c>
      <c r="C266" s="5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</row>
    <row r="267" spans="1:16" hidden="1" x14ac:dyDescent="0.3">
      <c r="A267" t="s">
        <v>515</v>
      </c>
      <c r="B267" t="s">
        <v>43</v>
      </c>
      <c r="C267" s="5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</row>
    <row r="268" spans="1:16" x14ac:dyDescent="0.3">
      <c r="A268" t="s">
        <v>516</v>
      </c>
      <c r="B268" t="s">
        <v>14</v>
      </c>
      <c r="C268" s="5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</row>
    <row r="269" spans="1:16" hidden="1" x14ac:dyDescent="0.3">
      <c r="A269" t="s">
        <v>517</v>
      </c>
      <c r="B269" t="s">
        <v>33</v>
      </c>
      <c r="C269" s="5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</row>
    <row r="270" spans="1:16" hidden="1" x14ac:dyDescent="0.3">
      <c r="A270" t="s">
        <v>519</v>
      </c>
      <c r="B270" t="s">
        <v>33</v>
      </c>
      <c r="C270" s="5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</row>
    <row r="271" spans="1:16" hidden="1" x14ac:dyDescent="0.3">
      <c r="A271" t="s">
        <v>521</v>
      </c>
      <c r="B271" t="s">
        <v>27</v>
      </c>
      <c r="C271" s="5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</row>
    <row r="272" spans="1:16" hidden="1" x14ac:dyDescent="0.3">
      <c r="A272" t="s">
        <v>522</v>
      </c>
      <c r="B272" t="s">
        <v>33</v>
      </c>
      <c r="C272" s="5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</row>
    <row r="273" spans="1:16" hidden="1" x14ac:dyDescent="0.3">
      <c r="A273" t="s">
        <v>524</v>
      </c>
      <c r="B273" t="s">
        <v>33</v>
      </c>
      <c r="C273" s="5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</row>
    <row r="274" spans="1:16" hidden="1" x14ac:dyDescent="0.3">
      <c r="A274" t="s">
        <v>525</v>
      </c>
      <c r="B274" t="s">
        <v>27</v>
      </c>
      <c r="C274" s="5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</row>
    <row r="275" spans="1:16" hidden="1" x14ac:dyDescent="0.3">
      <c r="A275" t="s">
        <v>527</v>
      </c>
      <c r="B275" t="s">
        <v>14</v>
      </c>
      <c r="C275" s="5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</row>
    <row r="276" spans="1:16" hidden="1" x14ac:dyDescent="0.3">
      <c r="A276" t="s">
        <v>528</v>
      </c>
      <c r="B276" t="s">
        <v>43</v>
      </c>
      <c r="C276" s="5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</row>
    <row r="277" spans="1:16" hidden="1" x14ac:dyDescent="0.3">
      <c r="A277" t="s">
        <v>529</v>
      </c>
      <c r="B277" t="s">
        <v>14</v>
      </c>
      <c r="C277" s="5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</row>
    <row r="278" spans="1:16" hidden="1" x14ac:dyDescent="0.3">
      <c r="A278" t="s">
        <v>531</v>
      </c>
      <c r="B278" t="s">
        <v>43</v>
      </c>
      <c r="C278" s="5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</row>
    <row r="279" spans="1:16" hidden="1" x14ac:dyDescent="0.3">
      <c r="A279" t="s">
        <v>532</v>
      </c>
      <c r="B279" t="s">
        <v>14</v>
      </c>
      <c r="C279" s="5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</row>
    <row r="280" spans="1:16" hidden="1" x14ac:dyDescent="0.3">
      <c r="A280" t="s">
        <v>534</v>
      </c>
      <c r="B280" t="s">
        <v>27</v>
      </c>
      <c r="C280" s="5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</row>
    <row r="281" spans="1:16" hidden="1" x14ac:dyDescent="0.3">
      <c r="A281" t="s">
        <v>535</v>
      </c>
      <c r="B281" t="s">
        <v>27</v>
      </c>
      <c r="C281" s="5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</row>
    <row r="282" spans="1:16" hidden="1" x14ac:dyDescent="0.3">
      <c r="A282" t="s">
        <v>536</v>
      </c>
      <c r="B282" t="s">
        <v>27</v>
      </c>
      <c r="C282" s="5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</row>
    <row r="283" spans="1:16" hidden="1" x14ac:dyDescent="0.3">
      <c r="A283" t="s">
        <v>538</v>
      </c>
      <c r="B283" t="s">
        <v>33</v>
      </c>
      <c r="C283" s="5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</row>
    <row r="284" spans="1:16" hidden="1" x14ac:dyDescent="0.3">
      <c r="A284" t="s">
        <v>540</v>
      </c>
      <c r="B284" t="s">
        <v>14</v>
      </c>
      <c r="C284" s="5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</row>
    <row r="285" spans="1:16" hidden="1" x14ac:dyDescent="0.3">
      <c r="A285" t="s">
        <v>542</v>
      </c>
      <c r="B285" t="s">
        <v>14</v>
      </c>
      <c r="C285" s="5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</row>
    <row r="286" spans="1:16" x14ac:dyDescent="0.3">
      <c r="A286" t="s">
        <v>543</v>
      </c>
      <c r="B286" t="s">
        <v>27</v>
      </c>
      <c r="C286" s="5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</row>
    <row r="287" spans="1:16" hidden="1" x14ac:dyDescent="0.3">
      <c r="A287" t="s">
        <v>544</v>
      </c>
      <c r="B287" t="s">
        <v>27</v>
      </c>
      <c r="C287" s="5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</row>
    <row r="288" spans="1:16" hidden="1" x14ac:dyDescent="0.3">
      <c r="A288" t="s">
        <v>546</v>
      </c>
      <c r="B288" t="s">
        <v>33</v>
      </c>
      <c r="C288" s="5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</row>
    <row r="289" spans="1:16" hidden="1" x14ac:dyDescent="0.3">
      <c r="A289" t="s">
        <v>547</v>
      </c>
      <c r="B289" t="s">
        <v>27</v>
      </c>
      <c r="C289" s="5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</row>
    <row r="290" spans="1:16" x14ac:dyDescent="0.3">
      <c r="A290" t="s">
        <v>549</v>
      </c>
      <c r="B290" t="s">
        <v>43</v>
      </c>
      <c r="C290" s="5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</row>
    <row r="291" spans="1:16" hidden="1" x14ac:dyDescent="0.3">
      <c r="A291" t="s">
        <v>550</v>
      </c>
      <c r="B291" t="s">
        <v>33</v>
      </c>
      <c r="C291" s="5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</row>
    <row r="292" spans="1:16" hidden="1" x14ac:dyDescent="0.3">
      <c r="A292" t="s">
        <v>552</v>
      </c>
      <c r="B292" t="s">
        <v>43</v>
      </c>
      <c r="C292" s="5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</row>
    <row r="293" spans="1:16" x14ac:dyDescent="0.3">
      <c r="A293" t="s">
        <v>553</v>
      </c>
      <c r="B293" t="s">
        <v>43</v>
      </c>
      <c r="C293" s="5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</row>
    <row r="294" spans="1:16" hidden="1" x14ac:dyDescent="0.3">
      <c r="A294" t="s">
        <v>555</v>
      </c>
      <c r="B294" t="s">
        <v>43</v>
      </c>
      <c r="C294" s="5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</row>
    <row r="295" spans="1:16" hidden="1" x14ac:dyDescent="0.3">
      <c r="A295" t="s">
        <v>557</v>
      </c>
      <c r="B295" t="s">
        <v>43</v>
      </c>
      <c r="C295" s="5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</row>
    <row r="296" spans="1:16" hidden="1" x14ac:dyDescent="0.3">
      <c r="A296" t="s">
        <v>559</v>
      </c>
      <c r="B296" t="s">
        <v>14</v>
      </c>
      <c r="C296" s="5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</row>
    <row r="297" spans="1:16" hidden="1" x14ac:dyDescent="0.3">
      <c r="A297" t="s">
        <v>560</v>
      </c>
      <c r="B297" t="s">
        <v>14</v>
      </c>
      <c r="C297" s="5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</row>
    <row r="298" spans="1:16" hidden="1" x14ac:dyDescent="0.3">
      <c r="A298" t="s">
        <v>562</v>
      </c>
      <c r="B298" t="s">
        <v>14</v>
      </c>
      <c r="C298" s="5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</row>
    <row r="299" spans="1:16" hidden="1" x14ac:dyDescent="0.3">
      <c r="A299" t="s">
        <v>564</v>
      </c>
      <c r="B299" t="s">
        <v>43</v>
      </c>
      <c r="C299" s="5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</row>
    <row r="300" spans="1:16" hidden="1" x14ac:dyDescent="0.3">
      <c r="A300" t="s">
        <v>565</v>
      </c>
      <c r="B300" t="s">
        <v>43</v>
      </c>
      <c r="C300" s="5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</row>
    <row r="301" spans="1:16" hidden="1" x14ac:dyDescent="0.3">
      <c r="A301" t="s">
        <v>566</v>
      </c>
      <c r="B301" t="s">
        <v>14</v>
      </c>
      <c r="C301" s="5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C82A9F-AC4D-48D9-A535-AFB394A9429A}">
  <dimension ref="A1:T201"/>
  <sheetViews>
    <sheetView tabSelected="1" topLeftCell="P1" zoomScale="86" zoomScaleNormal="90" workbookViewId="0">
      <selection activeCell="Y59" sqref="Y59"/>
    </sheetView>
  </sheetViews>
  <sheetFormatPr defaultRowHeight="14.4" x14ac:dyDescent="0.3"/>
  <cols>
    <col min="1" max="1" width="23.77734375" customWidth="1"/>
    <col min="2" max="2" width="16.44140625" customWidth="1"/>
    <col min="3" max="3" width="20.33203125" customWidth="1"/>
    <col min="4" max="4" width="17.21875" customWidth="1"/>
    <col min="5" max="5" width="21.109375" customWidth="1"/>
    <col min="6" max="6" width="23.88671875" customWidth="1"/>
    <col min="7" max="7" width="16.44140625" customWidth="1"/>
    <col min="8" max="8" width="23.77734375" customWidth="1"/>
    <col min="9" max="9" width="19.21875" customWidth="1"/>
    <col min="11" max="11" width="19.5546875" bestFit="1" customWidth="1"/>
    <col min="12" max="12" width="15.5546875" bestFit="1" customWidth="1"/>
    <col min="13" max="13" width="9.44140625" bestFit="1" customWidth="1"/>
    <col min="14" max="14" width="6.88671875" bestFit="1" customWidth="1"/>
    <col min="15" max="15" width="8.44140625" bestFit="1" customWidth="1"/>
    <col min="16" max="16" width="10.77734375" bestFit="1" customWidth="1"/>
    <col min="18" max="18" width="18.33203125" style="60" customWidth="1"/>
    <col min="19" max="19" width="11.5546875" bestFit="1" customWidth="1"/>
    <col min="20" max="20" width="22.33203125" style="7" customWidth="1"/>
    <col min="21" max="21" width="14.21875" customWidth="1"/>
    <col min="22" max="22" width="14.77734375" bestFit="1" customWidth="1"/>
    <col min="23" max="23" width="15.33203125" bestFit="1" customWidth="1"/>
    <col min="24" max="24" width="15.77734375" customWidth="1"/>
    <col min="25" max="25" width="14" customWidth="1"/>
  </cols>
  <sheetData>
    <row r="1" spans="1:20" x14ac:dyDescent="0.3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40" t="s">
        <v>636</v>
      </c>
      <c r="I1" s="55" t="s">
        <v>655</v>
      </c>
      <c r="R1" s="58" t="s">
        <v>567</v>
      </c>
      <c r="S1" s="56" t="s">
        <v>625</v>
      </c>
      <c r="T1" s="57" t="s">
        <v>657</v>
      </c>
    </row>
    <row r="2" spans="1:20" x14ac:dyDescent="0.3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  <c r="H2" s="38">
        <f>(C2-D2)/E2</f>
        <v>3.0428616268120576E-3</v>
      </c>
      <c r="I2">
        <f>C2-D2</f>
        <v>1047</v>
      </c>
      <c r="R2" s="59">
        <v>45656</v>
      </c>
      <c r="S2">
        <v>6530</v>
      </c>
    </row>
    <row r="3" spans="1:20" x14ac:dyDescent="0.3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  <c r="H3" s="38">
        <f t="shared" ref="H3:H66" si="0">(C3-D3)/E3</f>
        <v>2.3491348994232664E-2</v>
      </c>
      <c r="I3">
        <f t="shared" ref="I3:I66" si="1">C3-D3</f>
        <v>1002</v>
      </c>
      <c r="K3" s="9" t="s">
        <v>656</v>
      </c>
      <c r="L3" s="9" t="s">
        <v>627</v>
      </c>
      <c r="R3" s="59">
        <v>45698</v>
      </c>
      <c r="S3">
        <v>5281</v>
      </c>
    </row>
    <row r="4" spans="1:20" x14ac:dyDescent="0.3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  <c r="H4" s="38">
        <f t="shared" si="0"/>
        <v>2.826320879360366E-3</v>
      </c>
      <c r="I4">
        <f t="shared" si="1"/>
        <v>415</v>
      </c>
      <c r="K4" s="9" t="s">
        <v>567</v>
      </c>
      <c r="L4" t="s">
        <v>43</v>
      </c>
      <c r="M4" t="s">
        <v>33</v>
      </c>
      <c r="N4" t="s">
        <v>14</v>
      </c>
      <c r="O4" t="s">
        <v>27</v>
      </c>
      <c r="P4" t="s">
        <v>625</v>
      </c>
      <c r="R4" s="59">
        <v>45642</v>
      </c>
      <c r="S4">
        <v>5044</v>
      </c>
      <c r="T4" s="7">
        <f>AVERAGE(S2:S4)</f>
        <v>5618.333333333333</v>
      </c>
    </row>
    <row r="5" spans="1:20" x14ac:dyDescent="0.3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  <c r="H5" s="38">
        <f t="shared" si="0"/>
        <v>2.7557542170624167E-3</v>
      </c>
      <c r="I5">
        <f t="shared" si="1"/>
        <v>1090</v>
      </c>
      <c r="K5" s="10" t="s">
        <v>582</v>
      </c>
      <c r="L5">
        <v>1776</v>
      </c>
      <c r="M5">
        <v>1765</v>
      </c>
      <c r="N5">
        <v>1529</v>
      </c>
      <c r="O5">
        <v>1460</v>
      </c>
      <c r="P5">
        <v>6530</v>
      </c>
      <c r="R5" s="59">
        <v>45712</v>
      </c>
      <c r="S5">
        <v>4806</v>
      </c>
      <c r="T5" s="7">
        <f t="shared" ref="T5:T51" si="2">AVERAGE(S3:S5)</f>
        <v>5043.666666666667</v>
      </c>
    </row>
    <row r="6" spans="1:20" x14ac:dyDescent="0.3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  <c r="H6" s="38">
        <f t="shared" si="0"/>
        <v>1.0517322049758936E-2</v>
      </c>
      <c r="I6">
        <f t="shared" si="1"/>
        <v>517</v>
      </c>
      <c r="K6" s="10" t="s">
        <v>249</v>
      </c>
      <c r="L6">
        <v>912</v>
      </c>
      <c r="M6">
        <v>1723</v>
      </c>
      <c r="N6">
        <v>1202</v>
      </c>
      <c r="O6">
        <v>1444</v>
      </c>
      <c r="P6">
        <v>5281</v>
      </c>
      <c r="R6" s="59">
        <v>45628</v>
      </c>
      <c r="S6">
        <v>4795</v>
      </c>
      <c r="T6" s="7">
        <f t="shared" si="2"/>
        <v>4881.666666666667</v>
      </c>
    </row>
    <row r="7" spans="1:20" x14ac:dyDescent="0.3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  <c r="H7" s="38">
        <f t="shared" si="0"/>
        <v>4.0530081660374974E-3</v>
      </c>
      <c r="I7">
        <f t="shared" si="1"/>
        <v>1283</v>
      </c>
      <c r="K7" s="10" t="s">
        <v>112</v>
      </c>
      <c r="L7">
        <v>1377</v>
      </c>
      <c r="M7">
        <v>1432</v>
      </c>
      <c r="N7">
        <v>1359</v>
      </c>
      <c r="O7">
        <v>876</v>
      </c>
      <c r="P7">
        <v>5044</v>
      </c>
      <c r="R7" s="59">
        <v>45635</v>
      </c>
      <c r="S7">
        <v>4792</v>
      </c>
      <c r="T7" s="7">
        <f t="shared" si="2"/>
        <v>4797.666666666667</v>
      </c>
    </row>
    <row r="8" spans="1:20" x14ac:dyDescent="0.3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  <c r="H8" s="38">
        <f t="shared" si="0"/>
        <v>7.3128442639386348E-4</v>
      </c>
      <c r="I8">
        <f t="shared" si="1"/>
        <v>186</v>
      </c>
      <c r="K8" s="10" t="s">
        <v>147</v>
      </c>
      <c r="L8">
        <v>1707</v>
      </c>
      <c r="M8">
        <v>1375</v>
      </c>
      <c r="N8">
        <v>708</v>
      </c>
      <c r="O8">
        <v>1016</v>
      </c>
      <c r="P8">
        <v>4806</v>
      </c>
      <c r="R8" s="59">
        <v>45782</v>
      </c>
      <c r="S8">
        <v>4594</v>
      </c>
      <c r="T8" s="7">
        <f t="shared" si="2"/>
        <v>4727</v>
      </c>
    </row>
    <row r="9" spans="1:20" x14ac:dyDescent="0.3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  <c r="H9" s="38">
        <f t="shared" si="0"/>
        <v>2.4016739232334168E-3</v>
      </c>
      <c r="I9">
        <f t="shared" si="1"/>
        <v>994</v>
      </c>
      <c r="K9" s="10" t="s">
        <v>581</v>
      </c>
      <c r="L9">
        <v>1706</v>
      </c>
      <c r="M9">
        <v>1625</v>
      </c>
      <c r="N9">
        <v>1173</v>
      </c>
      <c r="O9">
        <v>291</v>
      </c>
      <c r="P9">
        <v>4795</v>
      </c>
      <c r="R9" s="59">
        <v>45600</v>
      </c>
      <c r="S9">
        <v>4584</v>
      </c>
      <c r="T9" s="7">
        <f t="shared" si="2"/>
        <v>4656.666666666667</v>
      </c>
    </row>
    <row r="10" spans="1:20" x14ac:dyDescent="0.3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  <c r="H10" s="38">
        <f t="shared" si="0"/>
        <v>1.9542790614208243E-3</v>
      </c>
      <c r="I10">
        <f t="shared" si="1"/>
        <v>893</v>
      </c>
      <c r="K10" s="10" t="s">
        <v>221</v>
      </c>
      <c r="L10">
        <v>1373</v>
      </c>
      <c r="M10">
        <v>1119</v>
      </c>
      <c r="N10">
        <v>1727</v>
      </c>
      <c r="O10">
        <v>573</v>
      </c>
      <c r="P10">
        <v>4792</v>
      </c>
      <c r="R10" s="59">
        <v>45544</v>
      </c>
      <c r="S10">
        <v>4360</v>
      </c>
      <c r="T10" s="7">
        <f t="shared" si="2"/>
        <v>4512.666666666667</v>
      </c>
    </row>
    <row r="11" spans="1:20" x14ac:dyDescent="0.3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  <c r="H11" s="38">
        <f t="shared" si="0"/>
        <v>8.1535847453627231E-3</v>
      </c>
      <c r="I11">
        <f t="shared" si="1"/>
        <v>1382</v>
      </c>
      <c r="K11" s="10" t="s">
        <v>79</v>
      </c>
      <c r="L11">
        <v>339</v>
      </c>
      <c r="M11">
        <v>1881</v>
      </c>
      <c r="N11">
        <v>1510</v>
      </c>
      <c r="O11">
        <v>864</v>
      </c>
      <c r="P11">
        <v>4594</v>
      </c>
      <c r="R11" s="59">
        <v>45747</v>
      </c>
      <c r="S11">
        <v>4298</v>
      </c>
      <c r="T11" s="7">
        <f t="shared" si="2"/>
        <v>4414</v>
      </c>
    </row>
    <row r="12" spans="1:20" x14ac:dyDescent="0.3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  <c r="H12" s="38">
        <f t="shared" si="0"/>
        <v>1.0551445425805821E-2</v>
      </c>
      <c r="I12">
        <f t="shared" si="1"/>
        <v>1295</v>
      </c>
      <c r="K12" s="10" t="s">
        <v>282</v>
      </c>
      <c r="L12">
        <v>540</v>
      </c>
      <c r="M12">
        <v>1397</v>
      </c>
      <c r="N12">
        <v>1603</v>
      </c>
      <c r="O12">
        <v>1044</v>
      </c>
      <c r="P12">
        <v>4584</v>
      </c>
      <c r="R12" s="59">
        <v>45733</v>
      </c>
      <c r="S12">
        <v>4042</v>
      </c>
      <c r="T12" s="7">
        <f t="shared" si="2"/>
        <v>4233.333333333333</v>
      </c>
    </row>
    <row r="13" spans="1:20" x14ac:dyDescent="0.3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  <c r="H13" s="38">
        <f t="shared" si="0"/>
        <v>8.80238003818718E-4</v>
      </c>
      <c r="I13">
        <f t="shared" si="1"/>
        <v>337</v>
      </c>
      <c r="K13" s="10" t="s">
        <v>87</v>
      </c>
      <c r="L13">
        <v>1428</v>
      </c>
      <c r="M13">
        <v>1572</v>
      </c>
      <c r="N13">
        <v>260</v>
      </c>
      <c r="O13">
        <v>1100</v>
      </c>
      <c r="P13">
        <v>4360</v>
      </c>
      <c r="R13" s="59">
        <v>45768</v>
      </c>
      <c r="S13">
        <v>4040</v>
      </c>
      <c r="T13" s="7">
        <f t="shared" si="2"/>
        <v>4126.666666666667</v>
      </c>
    </row>
    <row r="14" spans="1:20" x14ac:dyDescent="0.3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  <c r="H14" s="38">
        <f t="shared" si="0"/>
        <v>1.7636832660385824E-2</v>
      </c>
      <c r="I14">
        <f t="shared" si="1"/>
        <v>629</v>
      </c>
      <c r="K14" s="10" t="s">
        <v>588</v>
      </c>
      <c r="L14">
        <v>514</v>
      </c>
      <c r="M14">
        <v>641</v>
      </c>
      <c r="N14">
        <v>1676</v>
      </c>
      <c r="O14">
        <v>1467</v>
      </c>
      <c r="P14">
        <v>4298</v>
      </c>
      <c r="R14" s="59">
        <v>45621</v>
      </c>
      <c r="S14">
        <v>4008</v>
      </c>
      <c r="T14" s="7">
        <f t="shared" si="2"/>
        <v>4030</v>
      </c>
    </row>
    <row r="15" spans="1:20" x14ac:dyDescent="0.3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  <c r="H15" s="38">
        <f t="shared" si="0"/>
        <v>6.3510173036698994E-2</v>
      </c>
      <c r="I15">
        <f t="shared" si="1"/>
        <v>1670</v>
      </c>
      <c r="K15" s="10" t="s">
        <v>587</v>
      </c>
      <c r="L15">
        <v>1116</v>
      </c>
      <c r="M15">
        <v>680</v>
      </c>
      <c r="N15">
        <v>861</v>
      </c>
      <c r="O15">
        <v>1385</v>
      </c>
      <c r="P15">
        <v>4042</v>
      </c>
      <c r="R15" s="59">
        <v>45649</v>
      </c>
      <c r="S15">
        <v>3914</v>
      </c>
      <c r="T15" s="7">
        <f t="shared" si="2"/>
        <v>3987.3333333333335</v>
      </c>
    </row>
    <row r="16" spans="1:20" x14ac:dyDescent="0.3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  <c r="H16" s="38">
        <f t="shared" si="0"/>
        <v>2.798060458211721E-3</v>
      </c>
      <c r="I16">
        <f t="shared" si="1"/>
        <v>835</v>
      </c>
      <c r="K16" s="10" t="s">
        <v>590</v>
      </c>
      <c r="L16">
        <v>1045</v>
      </c>
      <c r="M16">
        <v>603</v>
      </c>
      <c r="N16">
        <v>759</v>
      </c>
      <c r="O16">
        <v>1633</v>
      </c>
      <c r="P16">
        <v>4040</v>
      </c>
      <c r="R16" s="59">
        <v>45460</v>
      </c>
      <c r="S16">
        <v>3907</v>
      </c>
      <c r="T16" s="7">
        <f t="shared" si="2"/>
        <v>3943</v>
      </c>
    </row>
    <row r="17" spans="1:20" x14ac:dyDescent="0.3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  <c r="H17" s="38">
        <f t="shared" si="0"/>
        <v>-2.8860773750305035E-4</v>
      </c>
      <c r="I17">
        <f t="shared" si="1"/>
        <v>-123</v>
      </c>
      <c r="K17" s="10" t="s">
        <v>129</v>
      </c>
      <c r="L17">
        <v>1332</v>
      </c>
      <c r="M17">
        <v>1693</v>
      </c>
      <c r="N17">
        <v>98</v>
      </c>
      <c r="O17">
        <v>885</v>
      </c>
      <c r="P17">
        <v>4008</v>
      </c>
      <c r="R17" s="59">
        <v>45572</v>
      </c>
      <c r="S17">
        <v>3759</v>
      </c>
      <c r="T17" s="7">
        <f t="shared" si="2"/>
        <v>3860</v>
      </c>
    </row>
    <row r="18" spans="1:20" x14ac:dyDescent="0.3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  <c r="H18" s="38">
        <f t="shared" si="0"/>
        <v>-5.2211602419375983E-4</v>
      </c>
      <c r="I18">
        <f t="shared" si="1"/>
        <v>-219</v>
      </c>
      <c r="K18" s="10" t="s">
        <v>15</v>
      </c>
      <c r="L18">
        <v>730</v>
      </c>
      <c r="M18">
        <v>684</v>
      </c>
      <c r="N18">
        <v>911</v>
      </c>
      <c r="O18">
        <v>1589</v>
      </c>
      <c r="P18">
        <v>3914</v>
      </c>
      <c r="R18" s="59">
        <v>45516</v>
      </c>
      <c r="S18">
        <v>3728</v>
      </c>
      <c r="T18" s="7">
        <f t="shared" si="2"/>
        <v>3798</v>
      </c>
    </row>
    <row r="19" spans="1:20" x14ac:dyDescent="0.3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  <c r="H19" s="38">
        <f t="shared" si="0"/>
        <v>2.9088264703208797E-4</v>
      </c>
      <c r="I19">
        <f t="shared" si="1"/>
        <v>64</v>
      </c>
      <c r="K19" s="10" t="s">
        <v>164</v>
      </c>
      <c r="L19">
        <v>1382</v>
      </c>
      <c r="M19">
        <v>893</v>
      </c>
      <c r="N19">
        <v>1295</v>
      </c>
      <c r="O19">
        <v>337</v>
      </c>
      <c r="P19">
        <v>3907</v>
      </c>
      <c r="R19" s="59">
        <v>45726</v>
      </c>
      <c r="S19">
        <v>3712</v>
      </c>
      <c r="T19" s="7">
        <f t="shared" si="2"/>
        <v>3733</v>
      </c>
    </row>
    <row r="20" spans="1:20" x14ac:dyDescent="0.3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  <c r="H20" s="38">
        <f t="shared" si="0"/>
        <v>4.3037693661692649E-3</v>
      </c>
      <c r="I20">
        <f t="shared" si="1"/>
        <v>1357</v>
      </c>
      <c r="K20" s="10" t="s">
        <v>578</v>
      </c>
      <c r="L20">
        <v>1662</v>
      </c>
      <c r="M20">
        <v>1872</v>
      </c>
      <c r="N20">
        <v>107</v>
      </c>
      <c r="O20">
        <v>118</v>
      </c>
      <c r="P20">
        <v>3759</v>
      </c>
      <c r="R20" s="59">
        <v>45705</v>
      </c>
      <c r="S20">
        <v>3693</v>
      </c>
      <c r="T20" s="7">
        <f t="shared" si="2"/>
        <v>3711</v>
      </c>
    </row>
    <row r="21" spans="1:20" x14ac:dyDescent="0.3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  <c r="H21" s="38">
        <f t="shared" si="0"/>
        <v>8.0050669434719116E-4</v>
      </c>
      <c r="I21">
        <f t="shared" si="1"/>
        <v>91</v>
      </c>
      <c r="K21" s="10" t="s">
        <v>34</v>
      </c>
      <c r="L21">
        <v>1334</v>
      </c>
      <c r="M21">
        <v>1325</v>
      </c>
      <c r="N21">
        <v>37</v>
      </c>
      <c r="O21">
        <v>1032</v>
      </c>
      <c r="P21">
        <v>3728</v>
      </c>
      <c r="R21" s="59">
        <v>45677</v>
      </c>
      <c r="S21">
        <v>3614</v>
      </c>
      <c r="T21" s="7">
        <f t="shared" si="2"/>
        <v>3673</v>
      </c>
    </row>
    <row r="22" spans="1:20" x14ac:dyDescent="0.3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  <c r="H22" s="38">
        <f t="shared" si="0"/>
        <v>2.8717173625543171E-2</v>
      </c>
      <c r="I22">
        <f t="shared" si="1"/>
        <v>1672</v>
      </c>
      <c r="K22" s="10" t="s">
        <v>586</v>
      </c>
      <c r="L22">
        <v>908</v>
      </c>
      <c r="M22">
        <v>212</v>
      </c>
      <c r="N22">
        <v>1350</v>
      </c>
      <c r="O22">
        <v>1242</v>
      </c>
      <c r="P22">
        <v>3712</v>
      </c>
      <c r="R22" s="59">
        <v>45775</v>
      </c>
      <c r="S22">
        <v>3577</v>
      </c>
      <c r="T22" s="7">
        <f t="shared" si="2"/>
        <v>3628</v>
      </c>
    </row>
    <row r="23" spans="1:20" x14ac:dyDescent="0.3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  <c r="H23" s="38">
        <f t="shared" si="0"/>
        <v>1.2276812319721568E-3</v>
      </c>
      <c r="I23">
        <f t="shared" si="1"/>
        <v>309</v>
      </c>
      <c r="K23" s="10" t="s">
        <v>127</v>
      </c>
      <c r="L23">
        <v>1590</v>
      </c>
      <c r="M23">
        <v>965</v>
      </c>
      <c r="N23">
        <v>-37</v>
      </c>
      <c r="O23">
        <v>1175</v>
      </c>
      <c r="P23">
        <v>3693</v>
      </c>
      <c r="R23" s="59">
        <v>45663</v>
      </c>
      <c r="S23">
        <v>3557</v>
      </c>
      <c r="T23" s="7">
        <f t="shared" si="2"/>
        <v>3582.6666666666665</v>
      </c>
    </row>
    <row r="24" spans="1:20" x14ac:dyDescent="0.3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  <c r="H24" s="38">
        <f t="shared" si="0"/>
        <v>1.40324773607655E-3</v>
      </c>
      <c r="I24">
        <f t="shared" si="1"/>
        <v>547</v>
      </c>
      <c r="K24" s="10" t="s">
        <v>584</v>
      </c>
      <c r="L24">
        <v>427</v>
      </c>
      <c r="M24">
        <v>1572</v>
      </c>
      <c r="N24">
        <v>891</v>
      </c>
      <c r="O24">
        <v>724</v>
      </c>
      <c r="P24">
        <v>3614</v>
      </c>
      <c r="R24" s="59">
        <v>45446</v>
      </c>
      <c r="S24">
        <v>3554</v>
      </c>
      <c r="T24" s="7">
        <f t="shared" si="2"/>
        <v>3562.6666666666665</v>
      </c>
    </row>
    <row r="25" spans="1:20" x14ac:dyDescent="0.3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  <c r="H25" s="38">
        <f t="shared" si="0"/>
        <v>2.1994574101175039E-3</v>
      </c>
      <c r="I25">
        <f t="shared" si="1"/>
        <v>514</v>
      </c>
      <c r="K25" s="10" t="s">
        <v>364</v>
      </c>
      <c r="L25">
        <v>453</v>
      </c>
      <c r="M25">
        <v>1539</v>
      </c>
      <c r="N25">
        <v>948</v>
      </c>
      <c r="O25">
        <v>637</v>
      </c>
      <c r="P25">
        <v>3577</v>
      </c>
      <c r="R25" s="59">
        <v>45684</v>
      </c>
      <c r="S25">
        <v>3383</v>
      </c>
      <c r="T25" s="7">
        <f t="shared" si="2"/>
        <v>3498</v>
      </c>
    </row>
    <row r="26" spans="1:20" x14ac:dyDescent="0.3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  <c r="H26" s="38">
        <f t="shared" si="0"/>
        <v>1.1967386439556591E-2</v>
      </c>
      <c r="I26">
        <f t="shared" si="1"/>
        <v>1845</v>
      </c>
      <c r="K26" s="10" t="s">
        <v>125</v>
      </c>
      <c r="L26">
        <v>620</v>
      </c>
      <c r="M26">
        <v>903</v>
      </c>
      <c r="N26">
        <v>1188</v>
      </c>
      <c r="O26">
        <v>846</v>
      </c>
      <c r="P26">
        <v>3557</v>
      </c>
      <c r="R26" s="59">
        <v>45558</v>
      </c>
      <c r="S26">
        <v>3333</v>
      </c>
      <c r="T26" s="7">
        <f t="shared" si="2"/>
        <v>3423.3333333333335</v>
      </c>
    </row>
    <row r="27" spans="1:20" x14ac:dyDescent="0.3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  <c r="H27" s="38">
        <f t="shared" si="0"/>
        <v>-4.9009939454794306E-4</v>
      </c>
      <c r="I27">
        <f t="shared" si="1"/>
        <v>-164</v>
      </c>
      <c r="K27" s="10" t="s">
        <v>232</v>
      </c>
      <c r="L27">
        <v>1002</v>
      </c>
      <c r="M27">
        <v>1047</v>
      </c>
      <c r="N27">
        <v>415</v>
      </c>
      <c r="O27">
        <v>1090</v>
      </c>
      <c r="P27">
        <v>3554</v>
      </c>
      <c r="R27" s="59">
        <v>45565</v>
      </c>
      <c r="S27">
        <v>3151</v>
      </c>
      <c r="T27" s="7">
        <f t="shared" si="2"/>
        <v>3289</v>
      </c>
    </row>
    <row r="28" spans="1:20" x14ac:dyDescent="0.3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  <c r="H28" s="38">
        <f t="shared" si="0"/>
        <v>1.8982132901478749E-3</v>
      </c>
      <c r="I28">
        <f t="shared" si="1"/>
        <v>429</v>
      </c>
      <c r="K28" s="10" t="s">
        <v>224</v>
      </c>
      <c r="L28">
        <v>898</v>
      </c>
      <c r="M28">
        <v>-166</v>
      </c>
      <c r="N28">
        <v>1426</v>
      </c>
      <c r="O28">
        <v>1225</v>
      </c>
      <c r="P28">
        <v>3383</v>
      </c>
      <c r="R28" s="59">
        <v>45481</v>
      </c>
      <c r="S28">
        <v>3042</v>
      </c>
      <c r="T28" s="7">
        <f t="shared" si="2"/>
        <v>3175.3333333333335</v>
      </c>
    </row>
    <row r="29" spans="1:20" x14ac:dyDescent="0.3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  <c r="H29" s="38">
        <f t="shared" si="0"/>
        <v>1.0211701333265254E-3</v>
      </c>
      <c r="I29">
        <f t="shared" si="1"/>
        <v>160</v>
      </c>
      <c r="K29" s="10" t="s">
        <v>576</v>
      </c>
      <c r="L29">
        <v>-19</v>
      </c>
      <c r="M29">
        <v>666</v>
      </c>
      <c r="N29">
        <v>1680</v>
      </c>
      <c r="O29">
        <v>1006</v>
      </c>
      <c r="P29">
        <v>3333</v>
      </c>
      <c r="R29" s="59">
        <v>45467</v>
      </c>
      <c r="S29">
        <v>3011</v>
      </c>
      <c r="T29" s="7">
        <f t="shared" si="2"/>
        <v>3068</v>
      </c>
    </row>
    <row r="30" spans="1:20" x14ac:dyDescent="0.3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  <c r="H30" s="38">
        <f t="shared" si="0"/>
        <v>3.3557613568250698E-4</v>
      </c>
      <c r="I30">
        <f t="shared" si="1"/>
        <v>159</v>
      </c>
      <c r="K30" s="10" t="s">
        <v>577</v>
      </c>
      <c r="L30">
        <v>-179</v>
      </c>
      <c r="M30">
        <v>1025</v>
      </c>
      <c r="N30">
        <v>599</v>
      </c>
      <c r="O30">
        <v>1706</v>
      </c>
      <c r="P30">
        <v>3151</v>
      </c>
      <c r="R30" s="59">
        <v>45523</v>
      </c>
      <c r="S30">
        <v>2989</v>
      </c>
      <c r="T30" s="7">
        <f t="shared" si="2"/>
        <v>3014</v>
      </c>
    </row>
    <row r="31" spans="1:20" x14ac:dyDescent="0.3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  <c r="H31" s="38">
        <f t="shared" si="0"/>
        <v>3.2572737872501967E-3</v>
      </c>
      <c r="I31">
        <f t="shared" si="1"/>
        <v>961</v>
      </c>
      <c r="K31" s="10" t="s">
        <v>573</v>
      </c>
      <c r="L31">
        <v>309</v>
      </c>
      <c r="M31">
        <v>1672</v>
      </c>
      <c r="N31">
        <v>547</v>
      </c>
      <c r="O31">
        <v>514</v>
      </c>
      <c r="P31">
        <v>3042</v>
      </c>
      <c r="R31" s="59">
        <v>45453</v>
      </c>
      <c r="S31">
        <v>2980</v>
      </c>
      <c r="T31" s="7">
        <f t="shared" si="2"/>
        <v>2993.3333333333335</v>
      </c>
    </row>
    <row r="32" spans="1:20" x14ac:dyDescent="0.3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  <c r="H32" s="38">
        <f t="shared" si="0"/>
        <v>6.6371458255580548E-3</v>
      </c>
      <c r="I32">
        <f t="shared" si="1"/>
        <v>1316</v>
      </c>
      <c r="K32" s="10" t="s">
        <v>48</v>
      </c>
      <c r="L32">
        <v>1670</v>
      </c>
      <c r="M32">
        <v>629</v>
      </c>
      <c r="N32">
        <v>835</v>
      </c>
      <c r="O32">
        <v>-123</v>
      </c>
      <c r="P32">
        <v>3011</v>
      </c>
      <c r="R32" s="59">
        <v>45530</v>
      </c>
      <c r="S32">
        <v>2903</v>
      </c>
      <c r="T32" s="7">
        <f t="shared" si="2"/>
        <v>2957.3333333333335</v>
      </c>
    </row>
    <row r="33" spans="1:20" x14ac:dyDescent="0.3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  <c r="H33" s="38">
        <f t="shared" si="0"/>
        <v>1.0340418313957282E-3</v>
      </c>
      <c r="I33">
        <f t="shared" si="1"/>
        <v>317</v>
      </c>
      <c r="K33" s="10" t="s">
        <v>81</v>
      </c>
      <c r="L33">
        <v>1058</v>
      </c>
      <c r="M33">
        <v>76</v>
      </c>
      <c r="N33">
        <v>1665</v>
      </c>
      <c r="O33">
        <v>190</v>
      </c>
      <c r="P33">
        <v>2989</v>
      </c>
      <c r="R33" s="59">
        <v>45537</v>
      </c>
      <c r="S33">
        <v>2822</v>
      </c>
      <c r="T33" s="7">
        <f t="shared" si="2"/>
        <v>2901.6666666666665</v>
      </c>
    </row>
    <row r="34" spans="1:20" x14ac:dyDescent="0.3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  <c r="H34" s="38">
        <f t="shared" si="0"/>
        <v>2.2861730899256253E-2</v>
      </c>
      <c r="I34">
        <f t="shared" si="1"/>
        <v>541</v>
      </c>
      <c r="K34" s="10" t="s">
        <v>151</v>
      </c>
      <c r="L34">
        <v>1283</v>
      </c>
      <c r="M34">
        <v>517</v>
      </c>
      <c r="N34">
        <v>186</v>
      </c>
      <c r="O34">
        <v>994</v>
      </c>
      <c r="P34">
        <v>2980</v>
      </c>
      <c r="R34" s="59">
        <v>45586</v>
      </c>
      <c r="S34">
        <v>2821</v>
      </c>
      <c r="T34" s="7">
        <f t="shared" si="2"/>
        <v>2848.6666666666665</v>
      </c>
    </row>
    <row r="35" spans="1:20" x14ac:dyDescent="0.3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  <c r="H35" s="38">
        <f t="shared" si="0"/>
        <v>-7.3097734889686784E-4</v>
      </c>
      <c r="I35">
        <f t="shared" si="1"/>
        <v>-318</v>
      </c>
      <c r="K35" s="10" t="s">
        <v>77</v>
      </c>
      <c r="L35">
        <v>37</v>
      </c>
      <c r="M35">
        <v>1609</v>
      </c>
      <c r="N35">
        <v>1229</v>
      </c>
      <c r="O35">
        <v>28</v>
      </c>
      <c r="P35">
        <v>2903</v>
      </c>
      <c r="R35" s="59">
        <v>45670</v>
      </c>
      <c r="S35">
        <v>2777</v>
      </c>
      <c r="T35" s="7">
        <f t="shared" si="2"/>
        <v>2806.6666666666665</v>
      </c>
    </row>
    <row r="36" spans="1:20" x14ac:dyDescent="0.3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  <c r="H36" s="38">
        <f t="shared" si="0"/>
        <v>5.1986619096302169E-3</v>
      </c>
      <c r="I36">
        <f t="shared" si="1"/>
        <v>1495</v>
      </c>
      <c r="K36" s="10" t="s">
        <v>195</v>
      </c>
      <c r="L36">
        <v>1045</v>
      </c>
      <c r="M36">
        <v>1247</v>
      </c>
      <c r="N36">
        <v>197</v>
      </c>
      <c r="O36">
        <v>333</v>
      </c>
      <c r="P36">
        <v>2822</v>
      </c>
      <c r="R36" s="59">
        <v>45495</v>
      </c>
      <c r="S36">
        <v>2753</v>
      </c>
      <c r="T36" s="7">
        <f t="shared" si="2"/>
        <v>2783.6666666666665</v>
      </c>
    </row>
    <row r="37" spans="1:20" x14ac:dyDescent="0.3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  <c r="H37" s="38">
        <f t="shared" si="0"/>
        <v>7.600121601945631E-3</v>
      </c>
      <c r="I37">
        <f t="shared" si="1"/>
        <v>475</v>
      </c>
      <c r="K37" s="10" t="s">
        <v>168</v>
      </c>
      <c r="L37">
        <v>439</v>
      </c>
      <c r="M37">
        <v>262</v>
      </c>
      <c r="N37">
        <v>636</v>
      </c>
      <c r="O37">
        <v>1484</v>
      </c>
      <c r="P37">
        <v>2821</v>
      </c>
      <c r="R37" s="59">
        <v>45593</v>
      </c>
      <c r="S37">
        <v>2656</v>
      </c>
      <c r="T37" s="7">
        <f t="shared" si="2"/>
        <v>2728.6666666666665</v>
      </c>
    </row>
    <row r="38" spans="1:20" x14ac:dyDescent="0.3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  <c r="H38" s="38">
        <f t="shared" si="0"/>
        <v>8.0371168669857163E-4</v>
      </c>
      <c r="I38">
        <f t="shared" si="1"/>
        <v>352</v>
      </c>
      <c r="K38" s="10" t="s">
        <v>583</v>
      </c>
      <c r="L38">
        <v>298</v>
      </c>
      <c r="M38">
        <v>1722</v>
      </c>
      <c r="N38">
        <v>-144</v>
      </c>
      <c r="O38">
        <v>901</v>
      </c>
      <c r="P38">
        <v>2777</v>
      </c>
      <c r="R38" s="59">
        <v>45754</v>
      </c>
      <c r="S38">
        <v>2412</v>
      </c>
      <c r="T38" s="7">
        <f t="shared" si="2"/>
        <v>2607</v>
      </c>
    </row>
    <row r="39" spans="1:20" x14ac:dyDescent="0.3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  <c r="H39" s="38">
        <f t="shared" si="0"/>
        <v>-1.5755714445670778E-3</v>
      </c>
      <c r="I39">
        <f t="shared" si="1"/>
        <v>-197</v>
      </c>
      <c r="K39" s="10" t="s">
        <v>574</v>
      </c>
      <c r="L39">
        <v>961</v>
      </c>
      <c r="M39">
        <v>159</v>
      </c>
      <c r="N39">
        <v>1316</v>
      </c>
      <c r="O39">
        <v>317</v>
      </c>
      <c r="P39">
        <v>2753</v>
      </c>
      <c r="R39" s="59">
        <v>45719</v>
      </c>
      <c r="S39">
        <v>2410</v>
      </c>
      <c r="T39" s="7">
        <f t="shared" si="2"/>
        <v>2492.6666666666665</v>
      </c>
    </row>
    <row r="40" spans="1:20" x14ac:dyDescent="0.3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  <c r="H40" s="38">
        <f t="shared" si="0"/>
        <v>7.2889860753698943E-4</v>
      </c>
      <c r="I40">
        <f t="shared" si="1"/>
        <v>328</v>
      </c>
      <c r="K40" s="10" t="s">
        <v>201</v>
      </c>
      <c r="L40">
        <v>386</v>
      </c>
      <c r="M40">
        <v>576</v>
      </c>
      <c r="N40">
        <v>37</v>
      </c>
      <c r="O40">
        <v>1657</v>
      </c>
      <c r="P40">
        <v>2656</v>
      </c>
      <c r="R40" s="59">
        <v>45607</v>
      </c>
      <c r="S40">
        <v>2295</v>
      </c>
      <c r="T40" s="7">
        <f t="shared" si="2"/>
        <v>2372.3333333333335</v>
      </c>
    </row>
    <row r="41" spans="1:20" x14ac:dyDescent="0.3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  <c r="H41" s="38">
        <f t="shared" si="0"/>
        <v>9.9485420240137223E-4</v>
      </c>
      <c r="I41">
        <f t="shared" si="1"/>
        <v>319</v>
      </c>
      <c r="K41" s="10" t="s">
        <v>412</v>
      </c>
      <c r="L41">
        <v>1029</v>
      </c>
      <c r="M41">
        <v>167</v>
      </c>
      <c r="N41">
        <v>1007</v>
      </c>
      <c r="O41">
        <v>209</v>
      </c>
      <c r="P41">
        <v>2412</v>
      </c>
      <c r="R41" s="59">
        <v>45488</v>
      </c>
      <c r="S41">
        <v>2270</v>
      </c>
      <c r="T41" s="7">
        <f t="shared" si="2"/>
        <v>2325</v>
      </c>
    </row>
    <row r="42" spans="1:20" x14ac:dyDescent="0.3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  <c r="H42" s="38">
        <f t="shared" si="0"/>
        <v>2.7085701202809553E-3</v>
      </c>
      <c r="I42">
        <f t="shared" si="1"/>
        <v>1325</v>
      </c>
      <c r="K42" s="10" t="s">
        <v>197</v>
      </c>
      <c r="L42">
        <v>-119</v>
      </c>
      <c r="M42">
        <v>1315</v>
      </c>
      <c r="N42">
        <v>899</v>
      </c>
      <c r="O42">
        <v>315</v>
      </c>
      <c r="P42">
        <v>2410</v>
      </c>
      <c r="R42" s="59">
        <v>45691</v>
      </c>
      <c r="S42">
        <v>2194</v>
      </c>
      <c r="T42" s="7">
        <f t="shared" si="2"/>
        <v>2253</v>
      </c>
    </row>
    <row r="43" spans="1:20" x14ac:dyDescent="0.3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  <c r="H43" s="38">
        <f t="shared" si="0"/>
        <v>4.3366318609156986E-3</v>
      </c>
      <c r="I43">
        <f t="shared" si="1"/>
        <v>1334</v>
      </c>
      <c r="K43" s="10" t="s">
        <v>580</v>
      </c>
      <c r="L43">
        <v>-106</v>
      </c>
      <c r="M43">
        <v>902</v>
      </c>
      <c r="N43">
        <v>1150</v>
      </c>
      <c r="O43">
        <v>349</v>
      </c>
      <c r="P43">
        <v>2295</v>
      </c>
      <c r="R43" s="59">
        <v>45502</v>
      </c>
      <c r="S43">
        <v>2193</v>
      </c>
      <c r="T43" s="7">
        <f t="shared" si="2"/>
        <v>2219</v>
      </c>
    </row>
    <row r="44" spans="1:20" x14ac:dyDescent="0.3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  <c r="H44" s="38">
        <f t="shared" si="0"/>
        <v>8.5080354946042954E-5</v>
      </c>
      <c r="I44">
        <f t="shared" si="1"/>
        <v>37</v>
      </c>
      <c r="K44" s="10" t="s">
        <v>315</v>
      </c>
      <c r="L44">
        <v>-164</v>
      </c>
      <c r="M44">
        <v>1845</v>
      </c>
      <c r="N44">
        <v>429</v>
      </c>
      <c r="O44">
        <v>160</v>
      </c>
      <c r="P44">
        <v>2270</v>
      </c>
      <c r="R44" s="59">
        <v>45789</v>
      </c>
      <c r="S44">
        <v>1995</v>
      </c>
      <c r="T44" s="7">
        <f t="shared" si="2"/>
        <v>2127.3333333333335</v>
      </c>
    </row>
    <row r="45" spans="1:20" x14ac:dyDescent="0.3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  <c r="H45" s="38">
        <f t="shared" si="0"/>
        <v>1.011348268360087E-2</v>
      </c>
      <c r="I45">
        <f t="shared" si="1"/>
        <v>1032</v>
      </c>
      <c r="K45" s="10" t="s">
        <v>585</v>
      </c>
      <c r="L45">
        <v>748</v>
      </c>
      <c r="M45">
        <v>1080</v>
      </c>
      <c r="N45">
        <v>569</v>
      </c>
      <c r="O45">
        <v>-203</v>
      </c>
      <c r="P45">
        <v>2194</v>
      </c>
      <c r="R45" s="59">
        <v>45579</v>
      </c>
      <c r="S45">
        <v>1856</v>
      </c>
      <c r="T45" s="7">
        <f t="shared" si="2"/>
        <v>2014.6666666666667</v>
      </c>
    </row>
    <row r="46" spans="1:20" x14ac:dyDescent="0.3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  <c r="H46" s="38">
        <f t="shared" si="0"/>
        <v>2.335271198731579E-4</v>
      </c>
      <c r="I46">
        <f t="shared" si="1"/>
        <v>76</v>
      </c>
      <c r="K46" s="10" t="s">
        <v>268</v>
      </c>
      <c r="L46">
        <v>-318</v>
      </c>
      <c r="M46">
        <v>541</v>
      </c>
      <c r="N46">
        <v>1495</v>
      </c>
      <c r="O46">
        <v>475</v>
      </c>
      <c r="P46">
        <v>2193</v>
      </c>
      <c r="R46" s="59">
        <v>45740</v>
      </c>
      <c r="S46">
        <v>1616</v>
      </c>
      <c r="T46" s="7">
        <f t="shared" si="2"/>
        <v>1822.3333333333333</v>
      </c>
    </row>
    <row r="47" spans="1:20" x14ac:dyDescent="0.3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  <c r="H47" s="38">
        <f t="shared" si="0"/>
        <v>5.7523759813836147E-3</v>
      </c>
      <c r="I47">
        <f t="shared" si="1"/>
        <v>1058</v>
      </c>
      <c r="K47" s="10" t="s">
        <v>28</v>
      </c>
      <c r="L47">
        <v>407</v>
      </c>
      <c r="M47">
        <v>1656</v>
      </c>
      <c r="N47">
        <v>269</v>
      </c>
      <c r="O47">
        <v>-337</v>
      </c>
      <c r="P47">
        <v>1995</v>
      </c>
      <c r="R47" s="59">
        <v>45551</v>
      </c>
      <c r="S47">
        <v>1568</v>
      </c>
      <c r="T47" s="7">
        <f t="shared" si="2"/>
        <v>1680</v>
      </c>
    </row>
    <row r="48" spans="1:20" x14ac:dyDescent="0.3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  <c r="H48" s="38">
        <f t="shared" si="0"/>
        <v>8.825634093981077E-3</v>
      </c>
      <c r="I48">
        <f t="shared" si="1"/>
        <v>1665</v>
      </c>
      <c r="K48" s="10" t="s">
        <v>579</v>
      </c>
      <c r="L48">
        <v>285</v>
      </c>
      <c r="M48">
        <v>1224</v>
      </c>
      <c r="N48">
        <v>-20</v>
      </c>
      <c r="O48">
        <v>367</v>
      </c>
      <c r="P48">
        <v>1856</v>
      </c>
      <c r="R48" s="59">
        <v>45474</v>
      </c>
      <c r="S48">
        <v>1293</v>
      </c>
      <c r="T48" s="7">
        <f t="shared" si="2"/>
        <v>1492.3333333333333</v>
      </c>
    </row>
    <row r="49" spans="1:20" x14ac:dyDescent="0.3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  <c r="H49" s="38">
        <f t="shared" si="0"/>
        <v>2.1728440241071327E-3</v>
      </c>
      <c r="I49">
        <f t="shared" si="1"/>
        <v>190</v>
      </c>
      <c r="K49" s="10" t="s">
        <v>234</v>
      </c>
      <c r="L49">
        <v>474</v>
      </c>
      <c r="M49">
        <v>461</v>
      </c>
      <c r="N49">
        <v>292</v>
      </c>
      <c r="O49">
        <v>389</v>
      </c>
      <c r="P49">
        <v>1616</v>
      </c>
      <c r="R49" s="59">
        <v>45509</v>
      </c>
      <c r="S49">
        <v>802</v>
      </c>
      <c r="T49" s="7">
        <f t="shared" si="2"/>
        <v>1221</v>
      </c>
    </row>
    <row r="50" spans="1:20" x14ac:dyDescent="0.3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  <c r="H50" s="38">
        <f t="shared" si="0"/>
        <v>3.5456226214689766E-3</v>
      </c>
      <c r="I50">
        <f t="shared" si="1"/>
        <v>1609</v>
      </c>
      <c r="K50" s="10" t="s">
        <v>575</v>
      </c>
      <c r="L50">
        <v>98</v>
      </c>
      <c r="M50">
        <v>377</v>
      </c>
      <c r="N50">
        <v>1125</v>
      </c>
      <c r="O50">
        <v>-32</v>
      </c>
      <c r="P50">
        <v>1568</v>
      </c>
      <c r="R50" s="59">
        <v>45614</v>
      </c>
      <c r="S50">
        <v>528</v>
      </c>
      <c r="T50" s="7">
        <f t="shared" si="2"/>
        <v>874.33333333333337</v>
      </c>
    </row>
    <row r="51" spans="1:20" x14ac:dyDescent="0.3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  <c r="H51" s="38">
        <f t="shared" si="0"/>
        <v>9.7527544941747058E-5</v>
      </c>
      <c r="I51">
        <f t="shared" si="1"/>
        <v>37</v>
      </c>
      <c r="K51" s="10" t="s">
        <v>455</v>
      </c>
      <c r="L51">
        <v>64</v>
      </c>
      <c r="M51">
        <v>-219</v>
      </c>
      <c r="N51">
        <v>1357</v>
      </c>
      <c r="O51">
        <v>91</v>
      </c>
      <c r="P51">
        <v>1293</v>
      </c>
      <c r="R51" s="59">
        <v>45761</v>
      </c>
      <c r="S51">
        <v>-137</v>
      </c>
      <c r="T51" s="7">
        <f t="shared" si="2"/>
        <v>397.66666666666669</v>
      </c>
    </row>
    <row r="52" spans="1:20" x14ac:dyDescent="0.3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  <c r="H52" s="38">
        <f t="shared" si="0"/>
        <v>6.5914381026955706E-3</v>
      </c>
      <c r="I52">
        <f t="shared" si="1"/>
        <v>1229</v>
      </c>
      <c r="K52" s="10" t="s">
        <v>501</v>
      </c>
      <c r="L52">
        <v>-197</v>
      </c>
      <c r="M52">
        <v>352</v>
      </c>
      <c r="N52">
        <v>328</v>
      </c>
      <c r="O52">
        <v>319</v>
      </c>
      <c r="P52">
        <v>802</v>
      </c>
    </row>
    <row r="53" spans="1:20" x14ac:dyDescent="0.3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  <c r="H53" s="38">
        <f t="shared" si="0"/>
        <v>1.1713324743561855E-4</v>
      </c>
      <c r="I53">
        <f t="shared" si="1"/>
        <v>28</v>
      </c>
      <c r="K53" s="10" t="s">
        <v>67</v>
      </c>
      <c r="L53">
        <v>72</v>
      </c>
      <c r="M53">
        <v>-49</v>
      </c>
      <c r="N53">
        <v>445</v>
      </c>
      <c r="O53">
        <v>60</v>
      </c>
      <c r="P53">
        <v>528</v>
      </c>
    </row>
    <row r="54" spans="1:20" x14ac:dyDescent="0.3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  <c r="H54" s="38">
        <f t="shared" si="0"/>
        <v>1.2306082974775983E-2</v>
      </c>
      <c r="I54">
        <f t="shared" si="1"/>
        <v>1247</v>
      </c>
      <c r="K54" s="10" t="s">
        <v>589</v>
      </c>
      <c r="L54">
        <v>-175</v>
      </c>
      <c r="M54">
        <v>-160</v>
      </c>
      <c r="N54">
        <v>53</v>
      </c>
      <c r="O54">
        <v>145</v>
      </c>
      <c r="P54">
        <v>-137</v>
      </c>
    </row>
    <row r="55" spans="1:20" x14ac:dyDescent="0.3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  <c r="H55" s="38">
        <f t="shared" si="0"/>
        <v>2.1026918479944948E-3</v>
      </c>
      <c r="I55">
        <f t="shared" si="1"/>
        <v>1045</v>
      </c>
      <c r="K55" s="10" t="s">
        <v>625</v>
      </c>
      <c r="L55">
        <v>35557</v>
      </c>
      <c r="M55">
        <v>48004</v>
      </c>
      <c r="N55">
        <v>41177</v>
      </c>
      <c r="O55">
        <v>35367</v>
      </c>
      <c r="P55">
        <v>160105</v>
      </c>
    </row>
    <row r="56" spans="1:20" x14ac:dyDescent="0.3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  <c r="H56" s="38">
        <f t="shared" si="0"/>
        <v>6.1798299135137512E-4</v>
      </c>
      <c r="I56">
        <f t="shared" si="1"/>
        <v>197</v>
      </c>
    </row>
    <row r="57" spans="1:20" x14ac:dyDescent="0.3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  <c r="H57" s="38">
        <f t="shared" si="0"/>
        <v>8.9764429025449434E-4</v>
      </c>
      <c r="I57">
        <f t="shared" si="1"/>
        <v>333</v>
      </c>
    </row>
    <row r="58" spans="1:20" x14ac:dyDescent="0.3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  <c r="H58" s="38">
        <f t="shared" si="0"/>
        <v>4.1581361392816901E-3</v>
      </c>
      <c r="I58">
        <f t="shared" si="1"/>
        <v>1572</v>
      </c>
    </row>
    <row r="59" spans="1:20" x14ac:dyDescent="0.3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  <c r="H59" s="38">
        <f t="shared" si="0"/>
        <v>4.6435400163889647E-3</v>
      </c>
      <c r="I59">
        <f t="shared" si="1"/>
        <v>1428</v>
      </c>
    </row>
    <row r="60" spans="1:20" x14ac:dyDescent="0.3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  <c r="H60" s="38">
        <f t="shared" si="0"/>
        <v>5.990134708914012E-4</v>
      </c>
      <c r="I60">
        <f t="shared" si="1"/>
        <v>260</v>
      </c>
    </row>
    <row r="61" spans="1:20" x14ac:dyDescent="0.3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  <c r="H61" s="38">
        <f t="shared" si="0"/>
        <v>1.7032345973398571E-2</v>
      </c>
      <c r="I61">
        <f t="shared" si="1"/>
        <v>1100</v>
      </c>
    </row>
    <row r="62" spans="1:20" x14ac:dyDescent="0.3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  <c r="H62" s="38">
        <f t="shared" si="0"/>
        <v>7.4222825979957871E-3</v>
      </c>
      <c r="I62">
        <f t="shared" si="1"/>
        <v>377</v>
      </c>
    </row>
    <row r="63" spans="1:20" x14ac:dyDescent="0.3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  <c r="H63" s="38">
        <f t="shared" si="0"/>
        <v>2.0668041724136477E-4</v>
      </c>
      <c r="I63">
        <f t="shared" si="1"/>
        <v>98</v>
      </c>
    </row>
    <row r="64" spans="1:20" x14ac:dyDescent="0.3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  <c r="H64" s="38">
        <f t="shared" si="0"/>
        <v>2.8673012960201858E-3</v>
      </c>
      <c r="I64">
        <f t="shared" si="1"/>
        <v>1125</v>
      </c>
    </row>
    <row r="65" spans="1:9" x14ac:dyDescent="0.3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  <c r="H65" s="38">
        <f t="shared" si="0"/>
        <v>-2.6681341404439108E-4</v>
      </c>
      <c r="I65">
        <f t="shared" si="1"/>
        <v>-32</v>
      </c>
    </row>
    <row r="66" spans="1:9" x14ac:dyDescent="0.3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  <c r="H66" s="38">
        <f t="shared" si="0"/>
        <v>1.5758651286601596E-3</v>
      </c>
      <c r="I66">
        <f t="shared" si="1"/>
        <v>666</v>
      </c>
    </row>
    <row r="67" spans="1:9" x14ac:dyDescent="0.3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  <c r="H67" s="38">
        <f t="shared" ref="H67:H130" si="3">(C67-D67)/E67</f>
        <v>-7.9248226299566635E-5</v>
      </c>
      <c r="I67">
        <f t="shared" ref="I67:I130" si="4">C67-D67</f>
        <v>-19</v>
      </c>
    </row>
    <row r="68" spans="1:9" x14ac:dyDescent="0.3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  <c r="H68" s="38">
        <f t="shared" si="3"/>
        <v>6.2566104068286429E-3</v>
      </c>
      <c r="I68">
        <f t="shared" si="4"/>
        <v>1680</v>
      </c>
    </row>
    <row r="69" spans="1:9" x14ac:dyDescent="0.3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  <c r="H69" s="38">
        <f t="shared" si="3"/>
        <v>1.592351646960128E-2</v>
      </c>
      <c r="I69">
        <f t="shared" si="4"/>
        <v>1006</v>
      </c>
    </row>
    <row r="70" spans="1:9" x14ac:dyDescent="0.3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  <c r="H70" s="38">
        <f t="shared" si="3"/>
        <v>2.7682576721248606E-3</v>
      </c>
      <c r="I70">
        <f t="shared" si="4"/>
        <v>1025</v>
      </c>
    </row>
    <row r="71" spans="1:9" x14ac:dyDescent="0.3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  <c r="H71" s="38">
        <f t="shared" si="3"/>
        <v>-3.9477485703195471E-4</v>
      </c>
      <c r="I71">
        <f t="shared" si="4"/>
        <v>-179</v>
      </c>
    </row>
    <row r="72" spans="1:9" x14ac:dyDescent="0.3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  <c r="H72" s="38">
        <f t="shared" si="3"/>
        <v>9.2287307798970819E-3</v>
      </c>
      <c r="I72">
        <f t="shared" si="4"/>
        <v>599</v>
      </c>
    </row>
    <row r="73" spans="1:9" x14ac:dyDescent="0.3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  <c r="H73" s="38">
        <f t="shared" si="3"/>
        <v>1.8079694785926241E-2</v>
      </c>
      <c r="I73">
        <f t="shared" si="4"/>
        <v>1706</v>
      </c>
    </row>
    <row r="74" spans="1:9" x14ac:dyDescent="0.3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  <c r="H74" s="38">
        <f t="shared" si="3"/>
        <v>1.0000908202133741E-2</v>
      </c>
      <c r="I74">
        <f t="shared" si="4"/>
        <v>1872</v>
      </c>
    </row>
    <row r="75" spans="1:9" x14ac:dyDescent="0.3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  <c r="H75" s="38">
        <f t="shared" si="3"/>
        <v>4.3810281972675247E-3</v>
      </c>
      <c r="I75">
        <f t="shared" si="4"/>
        <v>1662</v>
      </c>
    </row>
    <row r="76" spans="1:9" x14ac:dyDescent="0.3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  <c r="H76" s="38">
        <f t="shared" si="3"/>
        <v>2.2456063766826309E-4</v>
      </c>
      <c r="I76">
        <f t="shared" si="4"/>
        <v>107</v>
      </c>
    </row>
    <row r="77" spans="1:9" x14ac:dyDescent="0.3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  <c r="H77" s="38">
        <f t="shared" si="3"/>
        <v>1.0019784829366461E-3</v>
      </c>
      <c r="I77">
        <f t="shared" si="4"/>
        <v>118</v>
      </c>
    </row>
    <row r="78" spans="1:9" x14ac:dyDescent="0.3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  <c r="H78" s="38">
        <f t="shared" si="3"/>
        <v>3.1501331857780751E-3</v>
      </c>
      <c r="I78">
        <f t="shared" si="4"/>
        <v>1224</v>
      </c>
    </row>
    <row r="79" spans="1:9" x14ac:dyDescent="0.3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  <c r="H79" s="38">
        <f t="shared" si="3"/>
        <v>1.8083871090552605E-3</v>
      </c>
      <c r="I79">
        <f t="shared" si="4"/>
        <v>285</v>
      </c>
    </row>
    <row r="80" spans="1:9" x14ac:dyDescent="0.3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  <c r="H80" s="38">
        <f t="shared" si="3"/>
        <v>-6.456361452939582E-5</v>
      </c>
      <c r="I80">
        <f t="shared" si="4"/>
        <v>-20</v>
      </c>
    </row>
    <row r="81" spans="1:9" x14ac:dyDescent="0.3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  <c r="H81" s="38">
        <f t="shared" si="3"/>
        <v>1.8425729749269497E-3</v>
      </c>
      <c r="I81">
        <f t="shared" si="4"/>
        <v>367</v>
      </c>
    </row>
    <row r="82" spans="1:9" x14ac:dyDescent="0.3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  <c r="H82" s="38">
        <f t="shared" si="3"/>
        <v>7.3371064356504961E-4</v>
      </c>
      <c r="I82">
        <f t="shared" si="4"/>
        <v>262</v>
      </c>
    </row>
    <row r="83" spans="1:9" x14ac:dyDescent="0.3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  <c r="H83" s="38">
        <f t="shared" si="3"/>
        <v>1.8687212668142345E-2</v>
      </c>
      <c r="I83">
        <f t="shared" si="4"/>
        <v>439</v>
      </c>
    </row>
    <row r="84" spans="1:9" x14ac:dyDescent="0.3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  <c r="H84" s="38">
        <f t="shared" si="3"/>
        <v>2.4623771231227277E-3</v>
      </c>
      <c r="I84">
        <f t="shared" si="4"/>
        <v>636</v>
      </c>
    </row>
    <row r="85" spans="1:9" x14ac:dyDescent="0.3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  <c r="H85" s="38">
        <f t="shared" si="3"/>
        <v>5.7763419096181542E-3</v>
      </c>
      <c r="I85">
        <f t="shared" si="4"/>
        <v>1484</v>
      </c>
    </row>
    <row r="86" spans="1:9" x14ac:dyDescent="0.3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  <c r="H86" s="38">
        <f t="shared" si="3"/>
        <v>1.6622321237901201E-3</v>
      </c>
      <c r="I86">
        <f t="shared" si="4"/>
        <v>576</v>
      </c>
    </row>
    <row r="87" spans="1:9" x14ac:dyDescent="0.3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  <c r="H87" s="38">
        <f t="shared" si="3"/>
        <v>1.8382090319876945E-3</v>
      </c>
      <c r="I87">
        <f t="shared" si="4"/>
        <v>386</v>
      </c>
    </row>
    <row r="88" spans="1:9" x14ac:dyDescent="0.3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  <c r="H88" s="38">
        <f t="shared" si="3"/>
        <v>1.5381417584701726E-4</v>
      </c>
      <c r="I88">
        <f t="shared" si="4"/>
        <v>37</v>
      </c>
    </row>
    <row r="89" spans="1:9" x14ac:dyDescent="0.3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  <c r="H89" s="38">
        <f t="shared" si="3"/>
        <v>5.4180958515762179E-3</v>
      </c>
      <c r="I89">
        <f t="shared" si="4"/>
        <v>1657</v>
      </c>
    </row>
    <row r="90" spans="1:9" x14ac:dyDescent="0.3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  <c r="H90" s="38">
        <f t="shared" si="3"/>
        <v>2.5430053699827069E-2</v>
      </c>
      <c r="I90">
        <f t="shared" si="4"/>
        <v>1397</v>
      </c>
    </row>
    <row r="91" spans="1:9" x14ac:dyDescent="0.3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  <c r="H91" s="38">
        <f t="shared" si="3"/>
        <v>1.6918035252172713E-3</v>
      </c>
      <c r="I91">
        <f t="shared" si="4"/>
        <v>540</v>
      </c>
    </row>
    <row r="92" spans="1:9" x14ac:dyDescent="0.3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  <c r="H92" s="38">
        <f t="shared" si="3"/>
        <v>3.6508153411678964E-3</v>
      </c>
      <c r="I92">
        <f t="shared" si="4"/>
        <v>1603</v>
      </c>
    </row>
    <row r="93" spans="1:9" x14ac:dyDescent="0.3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  <c r="H93" s="38">
        <f t="shared" si="3"/>
        <v>4.0317597627286209E-3</v>
      </c>
      <c r="I93">
        <f t="shared" si="4"/>
        <v>1044</v>
      </c>
    </row>
    <row r="94" spans="1:9" x14ac:dyDescent="0.3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  <c r="H94" s="38">
        <f t="shared" si="3"/>
        <v>1.7550345364335054E-2</v>
      </c>
      <c r="I94">
        <f t="shared" si="4"/>
        <v>902</v>
      </c>
    </row>
    <row r="95" spans="1:9" x14ac:dyDescent="0.3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  <c r="H95" s="38">
        <f t="shared" si="3"/>
        <v>-3.4250669665215861E-4</v>
      </c>
      <c r="I95">
        <f t="shared" si="4"/>
        <v>-106</v>
      </c>
    </row>
    <row r="96" spans="1:9" x14ac:dyDescent="0.3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  <c r="H96" s="38">
        <f t="shared" si="3"/>
        <v>1.3172212358971423E-2</v>
      </c>
      <c r="I96">
        <f t="shared" si="4"/>
        <v>1150</v>
      </c>
    </row>
    <row r="97" spans="1:9" x14ac:dyDescent="0.3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  <c r="H97" s="38">
        <f t="shared" si="3"/>
        <v>2.8821299683708945E-3</v>
      </c>
      <c r="I97">
        <f t="shared" si="4"/>
        <v>349</v>
      </c>
    </row>
    <row r="98" spans="1:9" x14ac:dyDescent="0.3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  <c r="H98" s="38">
        <f t="shared" si="3"/>
        <v>-9.5914811987394058E-4</v>
      </c>
      <c r="I98">
        <f t="shared" si="4"/>
        <v>-49</v>
      </c>
    </row>
    <row r="99" spans="1:9" x14ac:dyDescent="0.3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  <c r="H99" s="38">
        <f t="shared" si="3"/>
        <v>2.1248528096751631E-4</v>
      </c>
      <c r="I99">
        <f t="shared" si="4"/>
        <v>72</v>
      </c>
    </row>
    <row r="100" spans="1:9" x14ac:dyDescent="0.3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  <c r="H100" s="38">
        <f t="shared" si="3"/>
        <v>9.1277744844858602E-4</v>
      </c>
      <c r="I100">
        <f t="shared" si="4"/>
        <v>445</v>
      </c>
    </row>
    <row r="101" spans="1:9" x14ac:dyDescent="0.3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  <c r="H101" s="38">
        <f t="shared" si="3"/>
        <v>1.9887634863023914E-4</v>
      </c>
      <c r="I101">
        <f t="shared" si="4"/>
        <v>60</v>
      </c>
    </row>
    <row r="102" spans="1:9" x14ac:dyDescent="0.3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  <c r="H102" s="38">
        <f t="shared" si="3"/>
        <v>5.9936417126309005E-3</v>
      </c>
      <c r="I102">
        <f t="shared" si="4"/>
        <v>1693</v>
      </c>
    </row>
    <row r="103" spans="1:9" x14ac:dyDescent="0.3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  <c r="H103" s="38">
        <f t="shared" si="3"/>
        <v>3.9565022381564839E-3</v>
      </c>
      <c r="I103">
        <f t="shared" si="4"/>
        <v>1332</v>
      </c>
    </row>
    <row r="104" spans="1:9" x14ac:dyDescent="0.3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  <c r="H104" s="38">
        <f t="shared" si="3"/>
        <v>1.1079079758069075E-3</v>
      </c>
      <c r="I104">
        <f t="shared" si="4"/>
        <v>98</v>
      </c>
    </row>
    <row r="105" spans="1:9" x14ac:dyDescent="0.3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  <c r="H105" s="38">
        <f t="shared" si="3"/>
        <v>1.4152074838090669E-2</v>
      </c>
      <c r="I105">
        <f t="shared" si="4"/>
        <v>885</v>
      </c>
    </row>
    <row r="106" spans="1:9" x14ac:dyDescent="0.3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  <c r="H106" s="38">
        <f t="shared" si="3"/>
        <v>3.8511033114748661E-3</v>
      </c>
      <c r="I106">
        <f t="shared" si="4"/>
        <v>1625</v>
      </c>
    </row>
    <row r="107" spans="1:9" x14ac:dyDescent="0.3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  <c r="H107" s="38">
        <f t="shared" si="3"/>
        <v>3.6277109484146308E-3</v>
      </c>
      <c r="I107">
        <f t="shared" si="4"/>
        <v>1706</v>
      </c>
    </row>
    <row r="108" spans="1:9" x14ac:dyDescent="0.3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  <c r="H108" s="38">
        <f t="shared" si="3"/>
        <v>3.7850431101244257E-3</v>
      </c>
      <c r="I108">
        <f t="shared" si="4"/>
        <v>1173</v>
      </c>
    </row>
    <row r="109" spans="1:9" x14ac:dyDescent="0.3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  <c r="H109" s="38">
        <f t="shared" si="3"/>
        <v>1.3151115811166245E-3</v>
      </c>
      <c r="I109">
        <f t="shared" si="4"/>
        <v>291</v>
      </c>
    </row>
    <row r="110" spans="1:9" x14ac:dyDescent="0.3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  <c r="H110" s="38">
        <f t="shared" si="3"/>
        <v>5.0721615839286359E-3</v>
      </c>
      <c r="I110">
        <f t="shared" si="4"/>
        <v>1119</v>
      </c>
    </row>
    <row r="111" spans="1:9" x14ac:dyDescent="0.3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  <c r="H111" s="38">
        <f t="shared" si="3"/>
        <v>3.8307014117515761E-2</v>
      </c>
      <c r="I111">
        <f t="shared" si="4"/>
        <v>1373</v>
      </c>
    </row>
    <row r="112" spans="1:9" x14ac:dyDescent="0.3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  <c r="H112" s="38">
        <f t="shared" si="3"/>
        <v>8.3806473528412681E-2</v>
      </c>
      <c r="I112">
        <f t="shared" si="4"/>
        <v>1727</v>
      </c>
    </row>
    <row r="113" spans="1:9" x14ac:dyDescent="0.3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  <c r="H113" s="38">
        <f t="shared" si="3"/>
        <v>1.2679964770499277E-3</v>
      </c>
      <c r="I113">
        <f t="shared" si="4"/>
        <v>573</v>
      </c>
    </row>
    <row r="114" spans="1:9" x14ac:dyDescent="0.3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  <c r="H114" s="38">
        <f t="shared" si="3"/>
        <v>3.0759118725472716E-3</v>
      </c>
      <c r="I114">
        <f t="shared" si="4"/>
        <v>1432</v>
      </c>
    </row>
    <row r="115" spans="1:9" x14ac:dyDescent="0.3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  <c r="H115" s="38">
        <f t="shared" si="3"/>
        <v>3.311568846722701E-3</v>
      </c>
      <c r="I115">
        <f t="shared" si="4"/>
        <v>1377</v>
      </c>
    </row>
    <row r="116" spans="1:9" x14ac:dyDescent="0.3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  <c r="H116" s="38">
        <f t="shared" si="3"/>
        <v>4.1536387893013997E-3</v>
      </c>
      <c r="I116">
        <f t="shared" si="4"/>
        <v>1359</v>
      </c>
    </row>
    <row r="117" spans="1:9" x14ac:dyDescent="0.3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  <c r="H117" s="38">
        <f t="shared" si="3"/>
        <v>1.7917737946946315E-3</v>
      </c>
      <c r="I117">
        <f t="shared" si="4"/>
        <v>876</v>
      </c>
    </row>
    <row r="118" spans="1:9" x14ac:dyDescent="0.3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  <c r="H118" s="38">
        <f t="shared" si="3"/>
        <v>2.4359408109118751E-3</v>
      </c>
      <c r="I118">
        <f t="shared" si="4"/>
        <v>684</v>
      </c>
    </row>
    <row r="119" spans="1:9" x14ac:dyDescent="0.3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  <c r="H119" s="38">
        <f t="shared" si="3"/>
        <v>7.8202834584935772E-3</v>
      </c>
      <c r="I119">
        <f t="shared" si="4"/>
        <v>730</v>
      </c>
    </row>
    <row r="120" spans="1:9" x14ac:dyDescent="0.3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  <c r="H120" s="38">
        <f t="shared" si="3"/>
        <v>1.1230414576116569E-2</v>
      </c>
      <c r="I120">
        <f t="shared" si="4"/>
        <v>911</v>
      </c>
    </row>
    <row r="121" spans="1:9" x14ac:dyDescent="0.3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  <c r="H121" s="38">
        <f t="shared" si="3"/>
        <v>6.3113158835445049E-2</v>
      </c>
      <c r="I121">
        <f t="shared" si="4"/>
        <v>1589</v>
      </c>
    </row>
    <row r="122" spans="1:9" x14ac:dyDescent="0.3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  <c r="H122" s="38">
        <f t="shared" si="3"/>
        <v>1.253515525127127E-2</v>
      </c>
      <c r="I122">
        <f t="shared" si="4"/>
        <v>1765</v>
      </c>
    </row>
    <row r="123" spans="1:9" x14ac:dyDescent="0.3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  <c r="H123" s="38">
        <f t="shared" si="3"/>
        <v>4.6806929323118035E-3</v>
      </c>
      <c r="I123">
        <f t="shared" si="4"/>
        <v>1776</v>
      </c>
    </row>
    <row r="124" spans="1:9" x14ac:dyDescent="0.3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  <c r="H124" s="38">
        <f t="shared" si="3"/>
        <v>5.5634189738421064E-3</v>
      </c>
      <c r="I124">
        <f t="shared" si="4"/>
        <v>1529</v>
      </c>
    </row>
    <row r="125" spans="1:9" x14ac:dyDescent="0.3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  <c r="H125" s="38">
        <f t="shared" si="3"/>
        <v>1.0669005078738719E-2</v>
      </c>
      <c r="I125">
        <f t="shared" si="4"/>
        <v>1460</v>
      </c>
    </row>
    <row r="126" spans="1:9" x14ac:dyDescent="0.3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  <c r="H126" s="38">
        <f t="shared" si="3"/>
        <v>1.9361810704529763E-3</v>
      </c>
      <c r="I126">
        <f t="shared" si="4"/>
        <v>903</v>
      </c>
    </row>
    <row r="127" spans="1:9" x14ac:dyDescent="0.3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  <c r="H127" s="38">
        <f t="shared" si="3"/>
        <v>6.4766839378238338E-3</v>
      </c>
      <c r="I127">
        <f t="shared" si="4"/>
        <v>620</v>
      </c>
    </row>
    <row r="128" spans="1:9" x14ac:dyDescent="0.3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  <c r="H128" s="38">
        <f t="shared" si="3"/>
        <v>3.2008104408927781E-3</v>
      </c>
      <c r="I128">
        <f t="shared" si="4"/>
        <v>1188</v>
      </c>
    </row>
    <row r="129" spans="1:9" x14ac:dyDescent="0.3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  <c r="H129" s="38">
        <f t="shared" si="3"/>
        <v>8.8669950738916262E-3</v>
      </c>
      <c r="I129">
        <f t="shared" si="4"/>
        <v>846</v>
      </c>
    </row>
    <row r="130" spans="1:9" x14ac:dyDescent="0.3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  <c r="H130" s="38">
        <f t="shared" si="3"/>
        <v>4.9282654051223049E-3</v>
      </c>
      <c r="I130">
        <f t="shared" si="4"/>
        <v>1722</v>
      </c>
    </row>
    <row r="131" spans="1:9" x14ac:dyDescent="0.3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  <c r="H131" s="38">
        <f t="shared" ref="H131:H194" si="5">(C131-D131)/E131</f>
        <v>1.3262186302564765E-3</v>
      </c>
      <c r="I131">
        <f t="shared" ref="I131:I194" si="6">C131-D131</f>
        <v>298</v>
      </c>
    </row>
    <row r="132" spans="1:9" x14ac:dyDescent="0.3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  <c r="H132" s="38">
        <f t="shared" si="5"/>
        <v>-2.9514486693885583E-4</v>
      </c>
      <c r="I132">
        <f t="shared" si="6"/>
        <v>-144</v>
      </c>
    </row>
    <row r="133" spans="1:9" x14ac:dyDescent="0.3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  <c r="H133" s="38">
        <f t="shared" si="5"/>
        <v>6.2409087760615087E-2</v>
      </c>
      <c r="I133">
        <f t="shared" si="6"/>
        <v>901</v>
      </c>
    </row>
    <row r="134" spans="1:9" x14ac:dyDescent="0.3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  <c r="H134" s="38">
        <f t="shared" si="5"/>
        <v>4.0971536250166149E-3</v>
      </c>
      <c r="I134">
        <f t="shared" si="6"/>
        <v>1572</v>
      </c>
    </row>
    <row r="135" spans="1:9" x14ac:dyDescent="0.3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  <c r="H135" s="38">
        <f t="shared" si="5"/>
        <v>8.9052952094934197E-4</v>
      </c>
      <c r="I135">
        <f t="shared" si="6"/>
        <v>427</v>
      </c>
    </row>
    <row r="136" spans="1:9" x14ac:dyDescent="0.3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  <c r="H136" s="38">
        <f t="shared" si="5"/>
        <v>7.1621491270377159E-3</v>
      </c>
      <c r="I136">
        <f t="shared" si="6"/>
        <v>891</v>
      </c>
    </row>
    <row r="137" spans="1:9" x14ac:dyDescent="0.3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  <c r="H137" s="38">
        <f t="shared" si="5"/>
        <v>2.1486931256659019E-3</v>
      </c>
      <c r="I137">
        <f t="shared" si="6"/>
        <v>724</v>
      </c>
    </row>
    <row r="138" spans="1:9" x14ac:dyDescent="0.3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  <c r="H138" s="38">
        <f t="shared" si="5"/>
        <v>-4.6464109274628077E-4</v>
      </c>
      <c r="I138">
        <f t="shared" si="6"/>
        <v>-166</v>
      </c>
    </row>
    <row r="139" spans="1:9" x14ac:dyDescent="0.3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  <c r="H139" s="38">
        <f t="shared" si="5"/>
        <v>2.7948348464241365E-3</v>
      </c>
      <c r="I139">
        <f t="shared" si="6"/>
        <v>898</v>
      </c>
    </row>
    <row r="140" spans="1:9" x14ac:dyDescent="0.3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  <c r="H140" s="38">
        <f t="shared" si="5"/>
        <v>5.4309533874905263E-3</v>
      </c>
      <c r="I140">
        <f t="shared" si="6"/>
        <v>1426</v>
      </c>
    </row>
    <row r="141" spans="1:9" x14ac:dyDescent="0.3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  <c r="H141" s="38">
        <f t="shared" si="5"/>
        <v>2.6534161921203288E-3</v>
      </c>
      <c r="I141">
        <f t="shared" si="6"/>
        <v>1225</v>
      </c>
    </row>
    <row r="142" spans="1:9" x14ac:dyDescent="0.3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  <c r="H142" s="38">
        <f t="shared" si="5"/>
        <v>3.0720567989168156E-3</v>
      </c>
      <c r="I142">
        <f t="shared" si="6"/>
        <v>1080</v>
      </c>
    </row>
    <row r="143" spans="1:9" x14ac:dyDescent="0.3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  <c r="H143" s="38">
        <f t="shared" si="5"/>
        <v>5.5005257855530306E-3</v>
      </c>
      <c r="I143">
        <f t="shared" si="6"/>
        <v>748</v>
      </c>
    </row>
    <row r="144" spans="1:9" x14ac:dyDescent="0.3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  <c r="H144" s="38">
        <f t="shared" si="5"/>
        <v>3.2046588643454949E-3</v>
      </c>
      <c r="I144">
        <f t="shared" si="6"/>
        <v>569</v>
      </c>
    </row>
    <row r="145" spans="1:9" x14ac:dyDescent="0.3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  <c r="H145" s="38">
        <f t="shared" si="5"/>
        <v>-7.4972485467156139E-4</v>
      </c>
      <c r="I145">
        <f t="shared" si="6"/>
        <v>-203</v>
      </c>
    </row>
    <row r="146" spans="1:9" x14ac:dyDescent="0.3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  <c r="H146" s="38">
        <f t="shared" si="5"/>
        <v>7.7568587198256845E-3</v>
      </c>
      <c r="I146">
        <f t="shared" si="6"/>
        <v>1723</v>
      </c>
    </row>
    <row r="147" spans="1:9" x14ac:dyDescent="0.3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  <c r="H147" s="38">
        <f t="shared" si="5"/>
        <v>2.9427518601934728E-3</v>
      </c>
      <c r="I147">
        <f t="shared" si="6"/>
        <v>912</v>
      </c>
    </row>
    <row r="148" spans="1:9" x14ac:dyDescent="0.3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  <c r="H148" s="38">
        <f t="shared" si="5"/>
        <v>9.4958208908059605E-3</v>
      </c>
      <c r="I148">
        <f t="shared" si="6"/>
        <v>1202</v>
      </c>
    </row>
    <row r="149" spans="1:9" x14ac:dyDescent="0.3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  <c r="H149" s="38">
        <f t="shared" si="5"/>
        <v>2.9756017144741179E-3</v>
      </c>
      <c r="I149">
        <f t="shared" si="6"/>
        <v>1444</v>
      </c>
    </row>
    <row r="150" spans="1:9" x14ac:dyDescent="0.3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  <c r="H150" s="38">
        <f t="shared" si="5"/>
        <v>2.1291007252180398E-3</v>
      </c>
      <c r="I150">
        <f t="shared" si="6"/>
        <v>965</v>
      </c>
    </row>
    <row r="151" spans="1:9" x14ac:dyDescent="0.3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  <c r="H151" s="38">
        <f t="shared" si="5"/>
        <v>1.5147617822744291E-2</v>
      </c>
      <c r="I151">
        <f t="shared" si="6"/>
        <v>1590</v>
      </c>
    </row>
    <row r="152" spans="1:9" x14ac:dyDescent="0.3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  <c r="H152" s="38">
        <f t="shared" si="5"/>
        <v>-2.5410691720235154E-4</v>
      </c>
      <c r="I152">
        <f t="shared" si="6"/>
        <v>-37</v>
      </c>
    </row>
    <row r="153" spans="1:9" x14ac:dyDescent="0.3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  <c r="H153" s="38">
        <f t="shared" si="5"/>
        <v>1.1086997546706926E-2</v>
      </c>
      <c r="I153">
        <f t="shared" si="6"/>
        <v>1175</v>
      </c>
    </row>
    <row r="154" spans="1:9" x14ac:dyDescent="0.3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  <c r="H154" s="38">
        <f t="shared" si="5"/>
        <v>1.0867503398564699E-2</v>
      </c>
      <c r="I154">
        <f t="shared" si="6"/>
        <v>1375</v>
      </c>
    </row>
    <row r="155" spans="1:9" x14ac:dyDescent="0.3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  <c r="H155" s="38">
        <f t="shared" si="5"/>
        <v>7.4073109768798169E-3</v>
      </c>
      <c r="I155">
        <f t="shared" si="6"/>
        <v>1707</v>
      </c>
    </row>
    <row r="156" spans="1:9" x14ac:dyDescent="0.3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  <c r="H156" s="38">
        <f t="shared" si="5"/>
        <v>2.2333891680625349E-3</v>
      </c>
      <c r="I156">
        <f t="shared" si="6"/>
        <v>708</v>
      </c>
    </row>
    <row r="157" spans="1:9" x14ac:dyDescent="0.3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  <c r="H157" s="38">
        <f t="shared" si="5"/>
        <v>2.1885278918832756E-3</v>
      </c>
      <c r="I157">
        <f t="shared" si="6"/>
        <v>1016</v>
      </c>
    </row>
    <row r="158" spans="1:9" x14ac:dyDescent="0.3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  <c r="H158" s="38">
        <f t="shared" si="5"/>
        <v>5.1052298518124532E-3</v>
      </c>
      <c r="I158">
        <f t="shared" si="6"/>
        <v>1315</v>
      </c>
    </row>
    <row r="159" spans="1:9" x14ac:dyDescent="0.3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  <c r="H159" s="38">
        <f t="shared" si="5"/>
        <v>-3.2435585380545735E-4</v>
      </c>
      <c r="I159">
        <f t="shared" si="6"/>
        <v>-119</v>
      </c>
    </row>
    <row r="160" spans="1:9" x14ac:dyDescent="0.3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  <c r="H160" s="38">
        <f t="shared" si="5"/>
        <v>1.9268070513850934E-3</v>
      </c>
      <c r="I160">
        <f t="shared" si="6"/>
        <v>899</v>
      </c>
    </row>
    <row r="161" spans="1:9" x14ac:dyDescent="0.3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  <c r="H161" s="38">
        <f t="shared" si="5"/>
        <v>1.4029055733207443E-3</v>
      </c>
      <c r="I161">
        <f t="shared" si="6"/>
        <v>315</v>
      </c>
    </row>
    <row r="162" spans="1:9" x14ac:dyDescent="0.3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  <c r="H162" s="38">
        <f t="shared" si="5"/>
        <v>4.5873346287504706E-4</v>
      </c>
      <c r="I162">
        <f t="shared" si="6"/>
        <v>212</v>
      </c>
    </row>
    <row r="163" spans="1:9" x14ac:dyDescent="0.3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  <c r="H163" s="38">
        <f t="shared" si="5"/>
        <v>2.6639909400836752E-3</v>
      </c>
      <c r="I163">
        <f t="shared" si="6"/>
        <v>908</v>
      </c>
    </row>
    <row r="164" spans="1:9" x14ac:dyDescent="0.3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  <c r="H164" s="38">
        <f t="shared" si="5"/>
        <v>0.10825114265095021</v>
      </c>
      <c r="I164">
        <f t="shared" si="6"/>
        <v>1350</v>
      </c>
    </row>
    <row r="165" spans="1:9" x14ac:dyDescent="0.3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  <c r="H165" s="38">
        <f t="shared" si="5"/>
        <v>1.2622336046830695E-2</v>
      </c>
      <c r="I165">
        <f t="shared" si="6"/>
        <v>1242</v>
      </c>
    </row>
    <row r="166" spans="1:9" x14ac:dyDescent="0.3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  <c r="H166" s="38">
        <f t="shared" si="5"/>
        <v>1.6572027392586454E-3</v>
      </c>
      <c r="I166">
        <f t="shared" si="6"/>
        <v>680</v>
      </c>
    </row>
    <row r="167" spans="1:9" x14ac:dyDescent="0.3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  <c r="H167" s="38">
        <f t="shared" si="5"/>
        <v>3.2619275185675578E-3</v>
      </c>
      <c r="I167">
        <f t="shared" si="6"/>
        <v>1116</v>
      </c>
    </row>
    <row r="168" spans="1:9" x14ac:dyDescent="0.3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  <c r="H168" s="38">
        <f t="shared" si="5"/>
        <v>6.9173294769824048E-2</v>
      </c>
      <c r="I168">
        <f t="shared" si="6"/>
        <v>861</v>
      </c>
    </row>
    <row r="169" spans="1:9" x14ac:dyDescent="0.3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  <c r="H169" s="38">
        <f t="shared" si="5"/>
        <v>7.9689298043728429E-2</v>
      </c>
      <c r="I169">
        <f t="shared" si="6"/>
        <v>1385</v>
      </c>
    </row>
    <row r="170" spans="1:9" x14ac:dyDescent="0.3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  <c r="H170" s="38">
        <f t="shared" si="5"/>
        <v>1.2636715002329981E-3</v>
      </c>
      <c r="I170">
        <f t="shared" si="6"/>
        <v>461</v>
      </c>
    </row>
    <row r="171" spans="1:9" x14ac:dyDescent="0.3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  <c r="H171" s="38">
        <f t="shared" si="5"/>
        <v>1.268716241173857E-3</v>
      </c>
      <c r="I171">
        <f t="shared" si="6"/>
        <v>474</v>
      </c>
    </row>
    <row r="172" spans="1:9" x14ac:dyDescent="0.3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  <c r="H172" s="38">
        <f t="shared" si="5"/>
        <v>1.3832962243592781E-3</v>
      </c>
      <c r="I172">
        <f t="shared" si="6"/>
        <v>292</v>
      </c>
    </row>
    <row r="173" spans="1:9" x14ac:dyDescent="0.3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  <c r="H173" s="38">
        <f t="shared" si="5"/>
        <v>8.8022790888170322E-4</v>
      </c>
      <c r="I173">
        <f t="shared" si="6"/>
        <v>389</v>
      </c>
    </row>
    <row r="174" spans="1:9" x14ac:dyDescent="0.3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  <c r="H174" s="38">
        <f t="shared" si="5"/>
        <v>2.2667798288422093E-3</v>
      </c>
      <c r="I174">
        <f t="shared" si="6"/>
        <v>641</v>
      </c>
    </row>
    <row r="175" spans="1:9" x14ac:dyDescent="0.3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  <c r="H175" s="38">
        <f t="shared" si="5"/>
        <v>1.3889264193260734E-3</v>
      </c>
      <c r="I175">
        <f t="shared" si="6"/>
        <v>514</v>
      </c>
    </row>
    <row r="176" spans="1:9" x14ac:dyDescent="0.3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  <c r="H176" s="38">
        <f t="shared" si="5"/>
        <v>8.4497101083942528E-3</v>
      </c>
      <c r="I176">
        <f t="shared" si="6"/>
        <v>1676</v>
      </c>
    </row>
    <row r="177" spans="1:9" x14ac:dyDescent="0.3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  <c r="H177" s="38">
        <f t="shared" si="5"/>
        <v>3.3667947287974553E-3</v>
      </c>
      <c r="I177">
        <f t="shared" si="6"/>
        <v>1467</v>
      </c>
    </row>
    <row r="178" spans="1:9" x14ac:dyDescent="0.3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  <c r="H178" s="38">
        <f t="shared" si="5"/>
        <v>2.1195852212872357E-3</v>
      </c>
      <c r="I178">
        <f t="shared" si="6"/>
        <v>167</v>
      </c>
    </row>
    <row r="179" spans="1:9" x14ac:dyDescent="0.3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  <c r="H179" s="38">
        <f t="shared" si="5"/>
        <v>1.0436528865268368E-2</v>
      </c>
      <c r="I179">
        <f t="shared" si="6"/>
        <v>1029</v>
      </c>
    </row>
    <row r="180" spans="1:9" x14ac:dyDescent="0.3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  <c r="H180" s="38">
        <f t="shared" si="5"/>
        <v>3.4032917638311531E-2</v>
      </c>
      <c r="I180">
        <f t="shared" si="6"/>
        <v>1007</v>
      </c>
    </row>
    <row r="181" spans="1:9" x14ac:dyDescent="0.3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  <c r="H181" s="38">
        <f t="shared" si="5"/>
        <v>7.1981098934404211E-4</v>
      </c>
      <c r="I181">
        <f t="shared" si="6"/>
        <v>209</v>
      </c>
    </row>
    <row r="182" spans="1:9" x14ac:dyDescent="0.3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  <c r="H182" s="38">
        <f t="shared" si="5"/>
        <v>-2.3994481269308059E-3</v>
      </c>
      <c r="I182">
        <f t="shared" si="6"/>
        <v>-160</v>
      </c>
    </row>
    <row r="183" spans="1:9" x14ac:dyDescent="0.3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  <c r="H183" s="38">
        <f t="shared" si="5"/>
        <v>-2.4750024750024749E-3</v>
      </c>
      <c r="I183">
        <f t="shared" si="6"/>
        <v>-175</v>
      </c>
    </row>
    <row r="184" spans="1:9" x14ac:dyDescent="0.3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  <c r="H184" s="38">
        <f t="shared" si="5"/>
        <v>3.7191155522184875E-4</v>
      </c>
      <c r="I184">
        <f t="shared" si="6"/>
        <v>53</v>
      </c>
    </row>
    <row r="185" spans="1:9" x14ac:dyDescent="0.3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  <c r="H185" s="38">
        <f t="shared" si="5"/>
        <v>3.9239564305527366E-4</v>
      </c>
      <c r="I185">
        <f t="shared" si="6"/>
        <v>145</v>
      </c>
    </row>
    <row r="186" spans="1:9" x14ac:dyDescent="0.3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  <c r="H186" s="38">
        <f t="shared" si="5"/>
        <v>9.5802484827301332E-3</v>
      </c>
      <c r="I186">
        <f t="shared" si="6"/>
        <v>603</v>
      </c>
    </row>
    <row r="187" spans="1:9" x14ac:dyDescent="0.3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  <c r="H187" s="38">
        <f t="shared" si="5"/>
        <v>2.7690774864725927E-3</v>
      </c>
      <c r="I187">
        <f t="shared" si="6"/>
        <v>1045</v>
      </c>
    </row>
    <row r="188" spans="1:9" x14ac:dyDescent="0.3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  <c r="H188" s="38">
        <f t="shared" si="5"/>
        <v>2.2734693021737242E-3</v>
      </c>
      <c r="I188">
        <f t="shared" si="6"/>
        <v>759</v>
      </c>
    </row>
    <row r="189" spans="1:9" x14ac:dyDescent="0.3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  <c r="H189" s="38">
        <f t="shared" si="5"/>
        <v>6.0267642955734836E-3</v>
      </c>
      <c r="I189">
        <f t="shared" si="6"/>
        <v>1633</v>
      </c>
    </row>
    <row r="190" spans="1:9" x14ac:dyDescent="0.3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  <c r="H190" s="38">
        <f t="shared" si="5"/>
        <v>3.4511059684624078E-3</v>
      </c>
      <c r="I190">
        <f t="shared" si="6"/>
        <v>1539</v>
      </c>
    </row>
    <row r="191" spans="1:9" x14ac:dyDescent="0.3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  <c r="H191" s="38">
        <f t="shared" si="5"/>
        <v>2.014855668727483E-3</v>
      </c>
      <c r="I191">
        <f t="shared" si="6"/>
        <v>453</v>
      </c>
    </row>
    <row r="192" spans="1:9" x14ac:dyDescent="0.3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  <c r="H192" s="38">
        <f t="shared" si="5"/>
        <v>1.9454574184929272E-3</v>
      </c>
      <c r="I192">
        <f t="shared" si="6"/>
        <v>948</v>
      </c>
    </row>
    <row r="193" spans="1:9" x14ac:dyDescent="0.3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  <c r="H193" s="38">
        <f t="shared" si="5"/>
        <v>5.5706165282028861E-2</v>
      </c>
      <c r="I193">
        <f t="shared" si="6"/>
        <v>637</v>
      </c>
    </row>
    <row r="194" spans="1:9" x14ac:dyDescent="0.3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  <c r="H194" s="38">
        <f t="shared" si="5"/>
        <v>4.1995793722733989E-3</v>
      </c>
      <c r="I194">
        <f t="shared" si="6"/>
        <v>1881</v>
      </c>
    </row>
    <row r="195" spans="1:9" x14ac:dyDescent="0.3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  <c r="H195" s="38">
        <f t="shared" ref="H195:H201" si="7">(C195-D195)/E195</f>
        <v>8.0965664826031301E-4</v>
      </c>
      <c r="I195">
        <f t="shared" ref="I195:I201" si="8">C195-D195</f>
        <v>339</v>
      </c>
    </row>
    <row r="196" spans="1:9" x14ac:dyDescent="0.3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  <c r="H196" s="38">
        <f t="shared" si="7"/>
        <v>3.1174901520344203E-3</v>
      </c>
      <c r="I196">
        <f t="shared" si="8"/>
        <v>1510</v>
      </c>
    </row>
    <row r="197" spans="1:9" x14ac:dyDescent="0.3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  <c r="H197" s="38">
        <f t="shared" si="7"/>
        <v>5.8190830903102836E-3</v>
      </c>
      <c r="I197">
        <f t="shared" si="8"/>
        <v>864</v>
      </c>
    </row>
    <row r="198" spans="1:9" x14ac:dyDescent="0.3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  <c r="H198" s="38">
        <f t="shared" si="7"/>
        <v>3.5361871958419907E-3</v>
      </c>
      <c r="I198">
        <f t="shared" si="8"/>
        <v>1656</v>
      </c>
    </row>
    <row r="199" spans="1:9" x14ac:dyDescent="0.3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  <c r="H199" s="38">
        <f t="shared" si="7"/>
        <v>1.1156186612576065E-3</v>
      </c>
      <c r="I199">
        <f t="shared" si="8"/>
        <v>407</v>
      </c>
    </row>
    <row r="200" spans="1:9" x14ac:dyDescent="0.3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  <c r="H200" s="38">
        <f t="shared" si="7"/>
        <v>5.8952701962314107E-4</v>
      </c>
      <c r="I200">
        <f t="shared" si="8"/>
        <v>269</v>
      </c>
    </row>
    <row r="201" spans="1:9" x14ac:dyDescent="0.3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  <c r="H201" s="38">
        <f t="shared" si="7"/>
        <v>-4.0819787301048958E-3</v>
      </c>
      <c r="I201">
        <f t="shared" si="8"/>
        <v>-337</v>
      </c>
    </row>
  </sheetData>
  <pageMargins left="0.7" right="0.7" top="0.75" bottom="0.75" header="0.3" footer="0.3"/>
  <drawing r:id="rId2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1D405A-9CB4-46E7-A778-5CAEBB389258}">
  <dimension ref="A1:AH301"/>
  <sheetViews>
    <sheetView topLeftCell="C1" workbookViewId="0">
      <selection activeCell="AE21" sqref="AE21"/>
    </sheetView>
  </sheetViews>
  <sheetFormatPr defaultRowHeight="14.4" x14ac:dyDescent="0.3"/>
  <cols>
    <col min="1" max="1" width="13.33203125" customWidth="1"/>
    <col min="2" max="2" width="11.109375" customWidth="1"/>
    <col min="3" max="3" width="17.5546875" customWidth="1"/>
    <col min="4" max="4" width="13.109375" bestFit="1" customWidth="1"/>
    <col min="5" max="5" width="33.88671875" customWidth="1"/>
    <col min="6" max="9" width="8.88671875" style="51"/>
    <col min="10" max="10" width="9.5546875" style="51" bestFit="1" customWidth="1"/>
    <col min="12" max="12" width="20" customWidth="1"/>
    <col min="13" max="13" width="19" customWidth="1"/>
    <col min="14" max="14" width="18.77734375" customWidth="1"/>
    <col min="15" max="15" width="18.44140625" customWidth="1"/>
    <col min="16" max="16" width="16.77734375" customWidth="1"/>
    <col min="17" max="17" width="20.21875" style="7" customWidth="1"/>
    <col min="18" max="18" width="17.6640625" customWidth="1"/>
    <col min="20" max="20" width="16" bestFit="1" customWidth="1"/>
    <col min="21" max="21" width="17.6640625" bestFit="1" customWidth="1"/>
    <col min="22" max="22" width="11.5546875" bestFit="1" customWidth="1"/>
    <col min="23" max="23" width="12.109375" bestFit="1" customWidth="1"/>
    <col min="24" max="24" width="21.88671875" bestFit="1" customWidth="1"/>
    <col min="25" max="25" width="15.77734375" bestFit="1" customWidth="1"/>
    <col min="26" max="26" width="16.33203125" bestFit="1" customWidth="1"/>
    <col min="27" max="27" width="25.77734375" bestFit="1" customWidth="1"/>
    <col min="28" max="28" width="23" style="7" bestFit="1" customWidth="1"/>
    <col min="31" max="31" width="17.33203125" customWidth="1"/>
    <col min="32" max="32" width="12.109375" style="51" customWidth="1"/>
    <col min="33" max="33" width="8.88671875" style="7"/>
    <col min="34" max="34" width="21.6640625" style="51" customWidth="1"/>
  </cols>
  <sheetData>
    <row r="1" spans="1:3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s="51" t="s">
        <v>5</v>
      </c>
      <c r="G1" s="51" t="s">
        <v>6</v>
      </c>
      <c r="H1" s="51" t="s">
        <v>7</v>
      </c>
      <c r="I1" s="51" t="s">
        <v>8</v>
      </c>
      <c r="J1" s="5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s="7" t="s">
        <v>617</v>
      </c>
      <c r="R1" s="50" t="s">
        <v>650</v>
      </c>
    </row>
    <row r="2" spans="1:34" x14ac:dyDescent="0.3">
      <c r="A2" t="s">
        <v>13</v>
      </c>
      <c r="B2" t="s">
        <v>14</v>
      </c>
      <c r="C2" s="6">
        <v>45649</v>
      </c>
      <c r="D2" t="s">
        <v>16</v>
      </c>
      <c r="E2" t="s">
        <v>17</v>
      </c>
      <c r="F2" s="51">
        <v>1461</v>
      </c>
      <c r="G2" s="51">
        <v>184</v>
      </c>
      <c r="H2" s="51">
        <v>344</v>
      </c>
      <c r="I2" s="51">
        <v>21915</v>
      </c>
      <c r="J2" s="51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  <c r="Q2" s="7">
        <f>(Table1_21718[[#This Row],[Likes]]+Table1_21718[[#This Row],[Shares]]+Table1_21718[[#This Row],[Comments]])/Table1_21718[[#This Row],[Impressions]]</f>
        <v>9.0759753593429152E-2</v>
      </c>
      <c r="R2" s="7">
        <f>Table1_21718[[#This Row],[Likes]]+Table1_21718[[#This Row],[Shares]]+Table1_21718[[#This Row],[Comments]]</f>
        <v>1989</v>
      </c>
      <c r="T2" s="9" t="s">
        <v>624</v>
      </c>
      <c r="U2" t="s">
        <v>641</v>
      </c>
      <c r="V2" t="s">
        <v>628</v>
      </c>
      <c r="W2" t="s">
        <v>642</v>
      </c>
      <c r="X2" t="s">
        <v>643</v>
      </c>
      <c r="Y2" t="s">
        <v>645</v>
      </c>
      <c r="Z2" t="s">
        <v>644</v>
      </c>
      <c r="AA2" s="7" t="s">
        <v>626</v>
      </c>
      <c r="AB2" t="s">
        <v>652</v>
      </c>
      <c r="AE2" s="47" t="s">
        <v>648</v>
      </c>
      <c r="AF2" s="53" t="s">
        <v>572</v>
      </c>
      <c r="AG2" s="52" t="s">
        <v>651</v>
      </c>
      <c r="AH2" s="54" t="s">
        <v>652</v>
      </c>
    </row>
    <row r="3" spans="1:34" x14ac:dyDescent="0.3">
      <c r="A3" t="s">
        <v>20</v>
      </c>
      <c r="B3" t="s">
        <v>14</v>
      </c>
      <c r="C3" s="6">
        <v>45750</v>
      </c>
      <c r="D3" t="s">
        <v>22</v>
      </c>
      <c r="E3" t="s">
        <v>23</v>
      </c>
      <c r="F3" s="51">
        <v>4054</v>
      </c>
      <c r="G3" s="51">
        <v>389</v>
      </c>
      <c r="H3" s="51">
        <v>493</v>
      </c>
      <c r="I3" s="51">
        <v>64864</v>
      </c>
      <c r="J3" s="51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  <c r="Q3" s="7">
        <f>(Table1_21718[[#This Row],[Likes]]+Table1_21718[[#This Row],[Shares]]+Table1_21718[[#This Row],[Comments]])/Table1_21718[[#This Row],[Impressions]]</f>
        <v>7.6097681302417369E-2</v>
      </c>
      <c r="R3" s="7">
        <f>Table1_21718[[#This Row],[Likes]]+Table1_21718[[#This Row],[Shares]]+Table1_21718[[#This Row],[Comments]]</f>
        <v>4936</v>
      </c>
      <c r="T3" s="10" t="s">
        <v>19</v>
      </c>
      <c r="U3">
        <v>2426285</v>
      </c>
      <c r="V3">
        <v>189114</v>
      </c>
      <c r="W3">
        <v>9604</v>
      </c>
      <c r="X3">
        <v>35680.661764705881</v>
      </c>
      <c r="Y3">
        <v>2781.0882352941176</v>
      </c>
      <c r="Z3">
        <v>141.23529411764707</v>
      </c>
      <c r="AA3" s="7">
        <v>0.1588959801816483</v>
      </c>
      <c r="AB3" s="7">
        <v>235631</v>
      </c>
      <c r="AE3" s="48" t="s">
        <v>19</v>
      </c>
      <c r="AF3" s="51">
        <f>VLOOKUP(T3, 'Campaign Metadata'!A1:G5, 5,FALSE)</f>
        <v>150000</v>
      </c>
      <c r="AG3" s="7">
        <f>AH3/AF3</f>
        <v>1.5708733333333333</v>
      </c>
      <c r="AH3" s="51">
        <f>GETPIVOTDATA("Sum of Total Engagement",$T$2,"Campaign_Name_Filled","CybertruckLaunch")</f>
        <v>235631</v>
      </c>
    </row>
    <row r="4" spans="1:34" x14ac:dyDescent="0.3">
      <c r="A4" t="s">
        <v>26</v>
      </c>
      <c r="B4" t="s">
        <v>27</v>
      </c>
      <c r="C4" s="6">
        <v>45789</v>
      </c>
      <c r="D4" t="s">
        <v>16</v>
      </c>
      <c r="E4" t="s">
        <v>29</v>
      </c>
      <c r="F4" s="51">
        <v>2795</v>
      </c>
      <c r="G4" s="51">
        <v>105</v>
      </c>
      <c r="H4" s="51">
        <v>49</v>
      </c>
      <c r="I4" s="51">
        <v>53105</v>
      </c>
      <c r="J4" s="51">
        <v>52307</v>
      </c>
      <c r="K4">
        <v>204</v>
      </c>
      <c r="L4" t="s">
        <v>30</v>
      </c>
      <c r="O4" t="s">
        <v>31</v>
      </c>
      <c r="P4" t="s">
        <v>31</v>
      </c>
      <c r="Q4" s="7">
        <f>(Table1_21718[[#This Row],[Likes]]+Table1_21718[[#This Row],[Shares]]+Table1_21718[[#This Row],[Comments]])/Table1_21718[[#This Row],[Impressions]]</f>
        <v>5.5531494209584788E-2</v>
      </c>
      <c r="R4" s="7">
        <f>Table1_21718[[#This Row],[Likes]]+Table1_21718[[#This Row],[Shares]]+Table1_21718[[#This Row],[Comments]]</f>
        <v>2949</v>
      </c>
      <c r="T4" s="10" t="s">
        <v>31</v>
      </c>
      <c r="U4">
        <v>2266053</v>
      </c>
      <c r="V4">
        <v>183346</v>
      </c>
      <c r="W4">
        <v>10032</v>
      </c>
      <c r="X4">
        <v>33821.686567164179</v>
      </c>
      <c r="Y4">
        <v>2736.5074626865671</v>
      </c>
      <c r="Z4">
        <v>149.73134328358208</v>
      </c>
      <c r="AA4" s="7">
        <v>0.14399918848283899</v>
      </c>
      <c r="AB4" s="7">
        <v>232821</v>
      </c>
      <c r="AE4" s="48" t="s">
        <v>31</v>
      </c>
      <c r="AF4" s="51">
        <f>VLOOKUP(T4, 'Campaign Metadata'!A2:G6, 5,FALSE)</f>
        <v>250000</v>
      </c>
      <c r="AG4" s="7">
        <f>AH4/AF4</f>
        <v>0.931284</v>
      </c>
      <c r="AH4" s="51">
        <f>GETPIVOTDATA("Sum of Total Engagement",$T$2,"Campaign_Name_Filled","FSDUpdate")</f>
        <v>232821</v>
      </c>
    </row>
    <row r="5" spans="1:34" x14ac:dyDescent="0.3">
      <c r="A5" t="s">
        <v>32</v>
      </c>
      <c r="B5" t="s">
        <v>33</v>
      </c>
      <c r="C5" s="6">
        <v>45516</v>
      </c>
      <c r="D5" t="s">
        <v>35</v>
      </c>
      <c r="E5" t="s">
        <v>36</v>
      </c>
      <c r="F5" s="51">
        <v>2404</v>
      </c>
      <c r="G5" s="51">
        <v>363</v>
      </c>
      <c r="H5" s="51">
        <v>138</v>
      </c>
      <c r="I5" s="51">
        <v>19232</v>
      </c>
      <c r="J5" s="51">
        <v>18636</v>
      </c>
      <c r="K5">
        <v>128</v>
      </c>
      <c r="L5" t="s">
        <v>37</v>
      </c>
      <c r="O5" t="s">
        <v>38</v>
      </c>
      <c r="P5" t="s">
        <v>38</v>
      </c>
      <c r="Q5" s="7">
        <f>(Table1_21718[[#This Row],[Likes]]+Table1_21718[[#This Row],[Shares]]+Table1_21718[[#This Row],[Comments]])/Table1_21718[[#This Row],[Impressions]]</f>
        <v>0.15105033277870217</v>
      </c>
      <c r="R5" s="7">
        <f>Table1_21718[[#This Row],[Likes]]+Table1_21718[[#This Row],[Shares]]+Table1_21718[[#This Row],[Comments]]</f>
        <v>2905</v>
      </c>
      <c r="T5" s="10" t="s">
        <v>25</v>
      </c>
      <c r="U5">
        <v>2632016</v>
      </c>
      <c r="V5">
        <v>206959</v>
      </c>
      <c r="W5">
        <v>12287</v>
      </c>
      <c r="X5">
        <v>34631.789473684214</v>
      </c>
      <c r="Y5">
        <v>2723.1447368421054</v>
      </c>
      <c r="Z5">
        <v>161.67105263157896</v>
      </c>
      <c r="AA5" s="7">
        <v>0.13973712381909897</v>
      </c>
      <c r="AB5" s="7">
        <v>262487</v>
      </c>
      <c r="AE5" s="48" t="s">
        <v>25</v>
      </c>
      <c r="AF5" s="51">
        <f>VLOOKUP(T5, 'Campaign Metadata'!A3:G7, 5,FALSE)</f>
        <v>200000</v>
      </c>
      <c r="AG5" s="7">
        <f>AH5/AF5</f>
        <v>1.312435</v>
      </c>
      <c r="AH5" s="51">
        <f>GETPIVOTDATA("Sum of Total Engagement",$T$2,"Campaign_Name_Filled","ModelYCampaign")</f>
        <v>262487</v>
      </c>
    </row>
    <row r="6" spans="1:34" x14ac:dyDescent="0.3">
      <c r="A6" t="s">
        <v>39</v>
      </c>
      <c r="B6" t="s">
        <v>27</v>
      </c>
      <c r="C6" s="6">
        <v>45469</v>
      </c>
      <c r="D6" t="s">
        <v>16</v>
      </c>
      <c r="E6" t="s">
        <v>29</v>
      </c>
      <c r="F6" s="51">
        <v>3557</v>
      </c>
      <c r="G6" s="51">
        <v>687</v>
      </c>
      <c r="H6" s="51">
        <v>424</v>
      </c>
      <c r="I6" s="51">
        <v>71140</v>
      </c>
      <c r="J6" s="51">
        <v>70701</v>
      </c>
      <c r="K6">
        <v>224</v>
      </c>
      <c r="L6" t="s">
        <v>37</v>
      </c>
      <c r="M6" t="s">
        <v>30</v>
      </c>
      <c r="O6" t="s">
        <v>19</v>
      </c>
      <c r="P6" t="s">
        <v>19</v>
      </c>
      <c r="Q6" s="7">
        <f>(Table1_21718[[#This Row],[Likes]]+Table1_21718[[#This Row],[Shares]]+Table1_21718[[#This Row],[Comments]])/Table1_21718[[#This Row],[Impressions]]</f>
        <v>6.5617093055946027E-2</v>
      </c>
      <c r="R6" s="7">
        <f>Table1_21718[[#This Row],[Likes]]+Table1_21718[[#This Row],[Shares]]+Table1_21718[[#This Row],[Comments]]</f>
        <v>4668</v>
      </c>
      <c r="T6" s="10" t="s">
        <v>38</v>
      </c>
      <c r="U6">
        <v>3069799</v>
      </c>
      <c r="V6">
        <v>240572</v>
      </c>
      <c r="W6">
        <v>13443</v>
      </c>
      <c r="X6">
        <v>34492.123595505618</v>
      </c>
      <c r="Y6">
        <v>2703.0561797752807</v>
      </c>
      <c r="Z6">
        <v>151.04494382022472</v>
      </c>
      <c r="AA6" s="7">
        <v>0.15069577245623286</v>
      </c>
      <c r="AB6" s="7">
        <v>306828</v>
      </c>
      <c r="AE6" s="48" t="s">
        <v>38</v>
      </c>
      <c r="AF6" s="51">
        <f>VLOOKUP(T6, 'Campaign Metadata'!A4:G8, 5,FALSE)</f>
        <v>180000</v>
      </c>
      <c r="AG6" s="7">
        <f>AH6/AF6</f>
        <v>1.7045999999999999</v>
      </c>
      <c r="AH6" s="51">
        <f>GETPIVOTDATA("Sum of Total Engagement",$T$2,"Campaign_Name_Filled","SustainabilityDrive")</f>
        <v>306828</v>
      </c>
    </row>
    <row r="7" spans="1:34" x14ac:dyDescent="0.3">
      <c r="A7" t="s">
        <v>42</v>
      </c>
      <c r="B7" t="s">
        <v>43</v>
      </c>
      <c r="C7" s="6">
        <v>45596</v>
      </c>
      <c r="D7" t="s">
        <v>45</v>
      </c>
      <c r="E7" t="s">
        <v>46</v>
      </c>
      <c r="F7" s="51">
        <v>2945</v>
      </c>
      <c r="G7" s="51">
        <v>930</v>
      </c>
      <c r="H7" s="51">
        <v>355</v>
      </c>
      <c r="I7" s="51">
        <v>23560</v>
      </c>
      <c r="J7" s="51">
        <v>23275</v>
      </c>
      <c r="K7">
        <v>256</v>
      </c>
      <c r="L7" t="s">
        <v>30</v>
      </c>
      <c r="O7" t="s">
        <v>25</v>
      </c>
      <c r="P7" t="s">
        <v>25</v>
      </c>
      <c r="Q7" s="7">
        <f>(Table1_21718[[#This Row],[Likes]]+Table1_21718[[#This Row],[Shares]]+Table1_21718[[#This Row],[Comments]])/Table1_21718[[#This Row],[Impressions]]</f>
        <v>0.17954159592529711</v>
      </c>
      <c r="R7" s="7">
        <f>Table1_21718[[#This Row],[Likes]]+Table1_21718[[#This Row],[Shares]]+Table1_21718[[#This Row],[Comments]]</f>
        <v>4230</v>
      </c>
      <c r="T7" s="10" t="s">
        <v>625</v>
      </c>
      <c r="U7">
        <v>10394153</v>
      </c>
      <c r="V7">
        <v>819991</v>
      </c>
      <c r="W7">
        <v>45366</v>
      </c>
      <c r="X7">
        <v>34647.176666666666</v>
      </c>
      <c r="Y7">
        <v>2733.3033333333333</v>
      </c>
      <c r="Z7">
        <v>151.22</v>
      </c>
      <c r="AA7" s="7">
        <v>0.14828272479852853</v>
      </c>
      <c r="AB7" s="7">
        <v>1037767</v>
      </c>
    </row>
    <row r="8" spans="1:34" x14ac:dyDescent="0.3">
      <c r="A8" t="s">
        <v>47</v>
      </c>
      <c r="B8" t="s">
        <v>14</v>
      </c>
      <c r="C8" s="6">
        <v>45467</v>
      </c>
      <c r="D8" t="s">
        <v>45</v>
      </c>
      <c r="E8" t="s">
        <v>49</v>
      </c>
      <c r="F8" s="51">
        <v>3860</v>
      </c>
      <c r="G8" s="51">
        <v>201</v>
      </c>
      <c r="H8" s="51">
        <v>279</v>
      </c>
      <c r="I8" s="51">
        <v>61760</v>
      </c>
      <c r="J8" s="51">
        <v>61660</v>
      </c>
      <c r="K8">
        <v>235</v>
      </c>
      <c r="L8" t="s">
        <v>30</v>
      </c>
      <c r="O8" t="s">
        <v>25</v>
      </c>
      <c r="P8" t="s">
        <v>25</v>
      </c>
      <c r="Q8" s="7">
        <f>(Table1_21718[[#This Row],[Likes]]+Table1_21718[[#This Row],[Shares]]+Table1_21718[[#This Row],[Comments]])/Table1_21718[[#This Row],[Impressions]]</f>
        <v>7.0272020725388601E-2</v>
      </c>
      <c r="R8" s="7">
        <f>Table1_21718[[#This Row],[Likes]]+Table1_21718[[#This Row],[Shares]]+Table1_21718[[#This Row],[Comments]]</f>
        <v>4340</v>
      </c>
    </row>
    <row r="9" spans="1:34" x14ac:dyDescent="0.3">
      <c r="A9" t="s">
        <v>50</v>
      </c>
      <c r="B9" t="s">
        <v>27</v>
      </c>
      <c r="C9" s="6">
        <v>45486</v>
      </c>
      <c r="D9" t="s">
        <v>52</v>
      </c>
      <c r="E9" t="s">
        <v>53</v>
      </c>
      <c r="F9" s="51">
        <v>3929</v>
      </c>
      <c r="G9" s="51">
        <v>262</v>
      </c>
      <c r="H9" s="51">
        <v>278</v>
      </c>
      <c r="I9" s="51">
        <v>43219</v>
      </c>
      <c r="J9" s="51">
        <v>42841</v>
      </c>
      <c r="K9">
        <v>39</v>
      </c>
      <c r="L9" t="s">
        <v>37</v>
      </c>
      <c r="O9" t="s">
        <v>38</v>
      </c>
      <c r="P9" t="s">
        <v>38</v>
      </c>
      <c r="Q9" s="7">
        <f>(Table1_21718[[#This Row],[Likes]]+Table1_21718[[#This Row],[Shares]]+Table1_21718[[#This Row],[Comments]])/Table1_21718[[#This Row],[Impressions]]</f>
        <v>0.10340359564080613</v>
      </c>
      <c r="R9" s="7">
        <f>Table1_21718[[#This Row],[Likes]]+Table1_21718[[#This Row],[Shares]]+Table1_21718[[#This Row],[Comments]]</f>
        <v>4469</v>
      </c>
    </row>
    <row r="10" spans="1:34" x14ac:dyDescent="0.3">
      <c r="A10" t="s">
        <v>54</v>
      </c>
      <c r="B10" t="s">
        <v>43</v>
      </c>
      <c r="C10" s="6">
        <v>45534</v>
      </c>
      <c r="D10" t="s">
        <v>22</v>
      </c>
      <c r="E10" t="s">
        <v>56</v>
      </c>
      <c r="F10" s="51">
        <v>3784</v>
      </c>
      <c r="G10" s="51">
        <v>808</v>
      </c>
      <c r="H10" s="51">
        <v>404</v>
      </c>
      <c r="I10" s="51">
        <v>56760</v>
      </c>
      <c r="J10" s="51">
        <v>56343</v>
      </c>
      <c r="K10">
        <v>131</v>
      </c>
      <c r="L10" t="s">
        <v>30</v>
      </c>
      <c r="O10" t="s">
        <v>25</v>
      </c>
      <c r="P10" t="s">
        <v>25</v>
      </c>
      <c r="Q10" s="7">
        <f>(Table1_21718[[#This Row],[Likes]]+Table1_21718[[#This Row],[Shares]]+Table1_21718[[#This Row],[Comments]])/Table1_21718[[#This Row],[Impressions]]</f>
        <v>8.8019732205778717E-2</v>
      </c>
      <c r="R10" s="7">
        <f>Table1_21718[[#This Row],[Likes]]+Table1_21718[[#This Row],[Shares]]+Table1_21718[[#This Row],[Comments]]</f>
        <v>4996</v>
      </c>
    </row>
    <row r="11" spans="1:34" x14ac:dyDescent="0.3">
      <c r="A11" t="s">
        <v>57</v>
      </c>
      <c r="B11" t="s">
        <v>43</v>
      </c>
      <c r="C11" s="6">
        <v>45727</v>
      </c>
      <c r="D11" t="s">
        <v>52</v>
      </c>
      <c r="E11" t="s">
        <v>59</v>
      </c>
      <c r="F11" s="51">
        <v>4241</v>
      </c>
      <c r="G11" s="51">
        <v>902</v>
      </c>
      <c r="H11" s="51">
        <v>47</v>
      </c>
      <c r="I11" s="51">
        <v>72097</v>
      </c>
      <c r="J11" s="51">
        <v>71598</v>
      </c>
      <c r="K11">
        <v>167</v>
      </c>
      <c r="L11" t="s">
        <v>30</v>
      </c>
      <c r="O11" t="s">
        <v>25</v>
      </c>
      <c r="P11" t="s">
        <v>25</v>
      </c>
      <c r="Q11" s="7">
        <f>(Table1_21718[[#This Row],[Likes]]+Table1_21718[[#This Row],[Shares]]+Table1_21718[[#This Row],[Comments]])/Table1_21718[[#This Row],[Impressions]]</f>
        <v>7.198635172059864E-2</v>
      </c>
      <c r="R11" s="7">
        <f>Table1_21718[[#This Row],[Likes]]+Table1_21718[[#This Row],[Shares]]+Table1_21718[[#This Row],[Comments]]</f>
        <v>5190</v>
      </c>
    </row>
    <row r="12" spans="1:34" x14ac:dyDescent="0.3">
      <c r="A12" t="s">
        <v>60</v>
      </c>
      <c r="B12" t="s">
        <v>33</v>
      </c>
      <c r="C12" s="6">
        <v>45690</v>
      </c>
      <c r="D12" t="s">
        <v>35</v>
      </c>
      <c r="E12" t="s">
        <v>36</v>
      </c>
      <c r="F12" s="51">
        <v>1792</v>
      </c>
      <c r="G12" s="51">
        <v>614</v>
      </c>
      <c r="H12" s="51">
        <v>497</v>
      </c>
      <c r="I12" s="51">
        <v>25088</v>
      </c>
      <c r="J12" s="51">
        <v>24675</v>
      </c>
      <c r="K12">
        <v>65</v>
      </c>
      <c r="L12" t="s">
        <v>62</v>
      </c>
      <c r="O12" t="s">
        <v>38</v>
      </c>
      <c r="P12" t="s">
        <v>38</v>
      </c>
      <c r="Q12" s="7">
        <f>(Table1_21718[[#This Row],[Likes]]+Table1_21718[[#This Row],[Shares]]+Table1_21718[[#This Row],[Comments]])/Table1_21718[[#This Row],[Impressions]]</f>
        <v>0.11571269132653061</v>
      </c>
      <c r="R12" s="7">
        <f>Table1_21718[[#This Row],[Likes]]+Table1_21718[[#This Row],[Shares]]+Table1_21718[[#This Row],[Comments]]</f>
        <v>2903</v>
      </c>
    </row>
    <row r="13" spans="1:34" x14ac:dyDescent="0.3">
      <c r="A13" t="s">
        <v>63</v>
      </c>
      <c r="B13" t="s">
        <v>43</v>
      </c>
      <c r="C13" s="6">
        <v>45494</v>
      </c>
      <c r="D13" t="s">
        <v>16</v>
      </c>
      <c r="E13" t="s">
        <v>65</v>
      </c>
      <c r="F13" s="51">
        <v>1946</v>
      </c>
      <c r="G13" s="51">
        <v>686</v>
      </c>
      <c r="H13" s="51">
        <v>377</v>
      </c>
      <c r="I13" s="51">
        <v>23352</v>
      </c>
      <c r="J13" s="51">
        <v>22982</v>
      </c>
      <c r="K13">
        <v>213</v>
      </c>
      <c r="L13" t="s">
        <v>62</v>
      </c>
      <c r="O13" t="s">
        <v>31</v>
      </c>
      <c r="P13" t="s">
        <v>31</v>
      </c>
      <c r="Q13" s="7">
        <f>(Table1_21718[[#This Row],[Likes]]+Table1_21718[[#This Row],[Shares]]+Table1_21718[[#This Row],[Comments]])/Table1_21718[[#This Row],[Impressions]]</f>
        <v>0.12885405960945528</v>
      </c>
      <c r="R13" s="7">
        <f>Table1_21718[[#This Row],[Likes]]+Table1_21718[[#This Row],[Shares]]+Table1_21718[[#This Row],[Comments]]</f>
        <v>3009</v>
      </c>
    </row>
    <row r="14" spans="1:34" x14ac:dyDescent="0.3">
      <c r="A14" t="s">
        <v>66</v>
      </c>
      <c r="B14" t="s">
        <v>27</v>
      </c>
      <c r="C14" s="6">
        <v>45614</v>
      </c>
      <c r="D14" t="s">
        <v>45</v>
      </c>
      <c r="E14" t="s">
        <v>68</v>
      </c>
      <c r="F14" s="51">
        <v>1171</v>
      </c>
      <c r="G14" s="51">
        <v>286</v>
      </c>
      <c r="H14" s="51">
        <v>231</v>
      </c>
      <c r="I14" s="51">
        <v>22249</v>
      </c>
      <c r="J14" s="51">
        <v>21282</v>
      </c>
      <c r="K14">
        <v>114</v>
      </c>
      <c r="L14" t="s">
        <v>37</v>
      </c>
      <c r="O14" t="s">
        <v>19</v>
      </c>
      <c r="P14" t="s">
        <v>19</v>
      </c>
      <c r="Q14" s="7">
        <f>(Table1_21718[[#This Row],[Likes]]+Table1_21718[[#This Row],[Shares]]+Table1_21718[[#This Row],[Comments]])/Table1_21718[[#This Row],[Impressions]]</f>
        <v>7.5868578363072495E-2</v>
      </c>
      <c r="R14" s="7">
        <f>Table1_21718[[#This Row],[Likes]]+Table1_21718[[#This Row],[Shares]]+Table1_21718[[#This Row],[Comments]]</f>
        <v>1688</v>
      </c>
    </row>
    <row r="15" spans="1:34" x14ac:dyDescent="0.3">
      <c r="A15" t="s">
        <v>69</v>
      </c>
      <c r="B15" t="s">
        <v>43</v>
      </c>
      <c r="C15" s="6">
        <v>45704</v>
      </c>
      <c r="D15" t="s">
        <v>35</v>
      </c>
      <c r="E15" t="s">
        <v>71</v>
      </c>
      <c r="F15" s="51">
        <v>4242</v>
      </c>
      <c r="G15" s="51">
        <v>555</v>
      </c>
      <c r="H15" s="51">
        <v>131</v>
      </c>
      <c r="I15" s="51">
        <v>33936</v>
      </c>
      <c r="J15" s="51">
        <v>33802</v>
      </c>
      <c r="K15">
        <v>265</v>
      </c>
      <c r="L15" t="s">
        <v>62</v>
      </c>
      <c r="P15" t="s">
        <v>38</v>
      </c>
      <c r="Q15" s="7">
        <f>(Table1_21718[[#This Row],[Likes]]+Table1_21718[[#This Row],[Shares]]+Table1_21718[[#This Row],[Comments]])/Table1_21718[[#This Row],[Impressions]]</f>
        <v>0.14521452145214522</v>
      </c>
      <c r="R15" s="7">
        <f>Table1_21718[[#This Row],[Likes]]+Table1_21718[[#This Row],[Shares]]+Table1_21718[[#This Row],[Comments]]</f>
        <v>4928</v>
      </c>
    </row>
    <row r="16" spans="1:34" x14ac:dyDescent="0.3">
      <c r="A16" t="s">
        <v>72</v>
      </c>
      <c r="B16" t="s">
        <v>43</v>
      </c>
      <c r="C16" s="6">
        <v>45589</v>
      </c>
      <c r="D16" t="s">
        <v>74</v>
      </c>
      <c r="E16" t="s">
        <v>75</v>
      </c>
      <c r="F16" s="51">
        <v>3888</v>
      </c>
      <c r="G16" s="51">
        <v>604</v>
      </c>
      <c r="H16" s="51">
        <v>128</v>
      </c>
      <c r="I16" s="51">
        <v>77760</v>
      </c>
      <c r="J16" s="51">
        <v>77167</v>
      </c>
      <c r="K16">
        <v>20</v>
      </c>
      <c r="L16" t="s">
        <v>62</v>
      </c>
      <c r="O16" t="s">
        <v>19</v>
      </c>
      <c r="P16" t="s">
        <v>19</v>
      </c>
      <c r="Q16" s="7">
        <f>(Table1_21718[[#This Row],[Likes]]+Table1_21718[[#This Row],[Shares]]+Table1_21718[[#This Row],[Comments]])/Table1_21718[[#This Row],[Impressions]]</f>
        <v>5.941358024691358E-2</v>
      </c>
      <c r="R16" s="7">
        <f>Table1_21718[[#This Row],[Likes]]+Table1_21718[[#This Row],[Shares]]+Table1_21718[[#This Row],[Comments]]</f>
        <v>4620</v>
      </c>
    </row>
    <row r="17" spans="1:18" x14ac:dyDescent="0.3">
      <c r="A17" t="s">
        <v>76</v>
      </c>
      <c r="B17" t="s">
        <v>43</v>
      </c>
      <c r="C17" s="6">
        <v>45530</v>
      </c>
      <c r="D17" t="s">
        <v>22</v>
      </c>
      <c r="E17" t="s">
        <v>56</v>
      </c>
      <c r="F17" s="51">
        <v>3452</v>
      </c>
      <c r="G17" s="51">
        <v>377</v>
      </c>
      <c r="H17" s="51">
        <v>360</v>
      </c>
      <c r="I17" s="51">
        <v>55232</v>
      </c>
      <c r="J17" s="51">
        <v>55075</v>
      </c>
      <c r="K17">
        <v>87</v>
      </c>
      <c r="L17" t="s">
        <v>62</v>
      </c>
      <c r="O17" t="s">
        <v>31</v>
      </c>
      <c r="P17" t="s">
        <v>31</v>
      </c>
      <c r="Q17" s="7">
        <f>(Table1_21718[[#This Row],[Likes]]+Table1_21718[[#This Row],[Shares]]+Table1_21718[[#This Row],[Comments]])/Table1_21718[[#This Row],[Impressions]]</f>
        <v>7.5843713789107758E-2</v>
      </c>
      <c r="R17" s="7">
        <f>Table1_21718[[#This Row],[Likes]]+Table1_21718[[#This Row],[Shares]]+Table1_21718[[#This Row],[Comments]]</f>
        <v>4189</v>
      </c>
    </row>
    <row r="18" spans="1:18" x14ac:dyDescent="0.3">
      <c r="A18" t="s">
        <v>78</v>
      </c>
      <c r="B18" t="s">
        <v>43</v>
      </c>
      <c r="C18" s="6">
        <v>45782</v>
      </c>
      <c r="D18" t="s">
        <v>22</v>
      </c>
      <c r="E18" t="s">
        <v>56</v>
      </c>
      <c r="F18" s="51">
        <v>4441</v>
      </c>
      <c r="G18" s="51">
        <v>511</v>
      </c>
      <c r="H18" s="51">
        <v>70</v>
      </c>
      <c r="I18" s="51">
        <v>53292</v>
      </c>
      <c r="J18" s="51">
        <v>53082</v>
      </c>
      <c r="K18">
        <v>159</v>
      </c>
      <c r="L18" t="s">
        <v>37</v>
      </c>
      <c r="O18" t="s">
        <v>38</v>
      </c>
      <c r="P18" t="s">
        <v>38</v>
      </c>
      <c r="Q18" s="7">
        <f>(Table1_21718[[#This Row],[Likes]]+Table1_21718[[#This Row],[Shares]]+Table1_21718[[#This Row],[Comments]])/Table1_21718[[#This Row],[Impressions]]</f>
        <v>9.4235532537716729E-2</v>
      </c>
      <c r="R18" s="7">
        <f>Table1_21718[[#This Row],[Likes]]+Table1_21718[[#This Row],[Shares]]+Table1_21718[[#This Row],[Comments]]</f>
        <v>5022</v>
      </c>
    </row>
    <row r="19" spans="1:18" x14ac:dyDescent="0.3">
      <c r="A19" t="s">
        <v>80</v>
      </c>
      <c r="B19" t="s">
        <v>33</v>
      </c>
      <c r="C19" s="6">
        <v>45523</v>
      </c>
      <c r="D19" t="s">
        <v>16</v>
      </c>
      <c r="E19" t="s">
        <v>82</v>
      </c>
      <c r="F19" s="51">
        <v>3000</v>
      </c>
      <c r="G19" s="51">
        <v>382</v>
      </c>
      <c r="H19" s="51">
        <v>325</v>
      </c>
      <c r="I19" s="51">
        <v>36000</v>
      </c>
      <c r="J19" s="51">
        <v>35819</v>
      </c>
      <c r="K19">
        <v>19</v>
      </c>
      <c r="L19" t="s">
        <v>62</v>
      </c>
      <c r="O19" t="s">
        <v>19</v>
      </c>
      <c r="P19" t="s">
        <v>19</v>
      </c>
      <c r="Q19" s="7">
        <f>(Table1_21718[[#This Row],[Likes]]+Table1_21718[[#This Row],[Shares]]+Table1_21718[[#This Row],[Comments]])/Table1_21718[[#This Row],[Impressions]]</f>
        <v>0.10297222222222223</v>
      </c>
      <c r="R19" s="7">
        <f>Table1_21718[[#This Row],[Likes]]+Table1_21718[[#This Row],[Shares]]+Table1_21718[[#This Row],[Comments]]</f>
        <v>3707</v>
      </c>
    </row>
    <row r="20" spans="1:18" x14ac:dyDescent="0.3">
      <c r="A20" t="s">
        <v>83</v>
      </c>
      <c r="B20" t="s">
        <v>33</v>
      </c>
      <c r="C20" s="6">
        <v>45466</v>
      </c>
      <c r="D20" t="s">
        <v>74</v>
      </c>
      <c r="E20" t="s">
        <v>85</v>
      </c>
      <c r="F20" s="51">
        <v>1071</v>
      </c>
      <c r="G20" s="51">
        <v>519</v>
      </c>
      <c r="H20" s="51">
        <v>22</v>
      </c>
      <c r="I20" s="51">
        <v>16065</v>
      </c>
      <c r="J20" s="51">
        <v>15865</v>
      </c>
      <c r="K20">
        <v>103</v>
      </c>
      <c r="L20" t="s">
        <v>30</v>
      </c>
      <c r="O20" t="s">
        <v>38</v>
      </c>
      <c r="P20" t="s">
        <v>38</v>
      </c>
      <c r="Q20" s="7">
        <f>(Table1_21718[[#This Row],[Likes]]+Table1_21718[[#This Row],[Shares]]+Table1_21718[[#This Row],[Comments]])/Table1_21718[[#This Row],[Impressions]]</f>
        <v>0.10034235916588857</v>
      </c>
      <c r="R20" s="7">
        <f>Table1_21718[[#This Row],[Likes]]+Table1_21718[[#This Row],[Shares]]+Table1_21718[[#This Row],[Comments]]</f>
        <v>1612</v>
      </c>
    </row>
    <row r="21" spans="1:18" x14ac:dyDescent="0.3">
      <c r="A21" t="s">
        <v>86</v>
      </c>
      <c r="B21" t="s">
        <v>33</v>
      </c>
      <c r="C21" s="6">
        <v>45544</v>
      </c>
      <c r="D21" t="s">
        <v>45</v>
      </c>
      <c r="E21" t="s">
        <v>88</v>
      </c>
      <c r="F21" s="51">
        <v>4054</v>
      </c>
      <c r="G21" s="51">
        <v>488</v>
      </c>
      <c r="H21" s="51">
        <v>373</v>
      </c>
      <c r="I21" s="51">
        <v>77026</v>
      </c>
      <c r="J21" s="51">
        <v>76881</v>
      </c>
      <c r="K21">
        <v>25</v>
      </c>
      <c r="L21" t="s">
        <v>30</v>
      </c>
      <c r="O21" t="s">
        <v>19</v>
      </c>
      <c r="P21" t="s">
        <v>19</v>
      </c>
      <c r="Q21" s="7">
        <f>(Table1_21718[[#This Row],[Likes]]+Table1_21718[[#This Row],[Shares]]+Table1_21718[[#This Row],[Comments]])/Table1_21718[[#This Row],[Impressions]]</f>
        <v>6.3809622724794221E-2</v>
      </c>
      <c r="R21" s="7">
        <f>Table1_21718[[#This Row],[Likes]]+Table1_21718[[#This Row],[Shares]]+Table1_21718[[#This Row],[Comments]]</f>
        <v>4915</v>
      </c>
    </row>
    <row r="22" spans="1:18" x14ac:dyDescent="0.3">
      <c r="A22" t="s">
        <v>89</v>
      </c>
      <c r="B22" t="s">
        <v>33</v>
      </c>
      <c r="C22" s="6">
        <v>45661</v>
      </c>
      <c r="D22" t="s">
        <v>16</v>
      </c>
      <c r="E22" t="s">
        <v>82</v>
      </c>
      <c r="F22" s="51">
        <v>4838</v>
      </c>
      <c r="G22" s="51">
        <v>640</v>
      </c>
      <c r="H22" s="51">
        <v>128</v>
      </c>
      <c r="I22" s="51">
        <v>72570</v>
      </c>
      <c r="J22" s="51">
        <v>72396</v>
      </c>
      <c r="K22">
        <v>83</v>
      </c>
      <c r="L22" t="s">
        <v>62</v>
      </c>
      <c r="O22" t="s">
        <v>38</v>
      </c>
      <c r="P22" t="s">
        <v>38</v>
      </c>
      <c r="Q22" s="7">
        <f>(Table1_21718[[#This Row],[Likes]]+Table1_21718[[#This Row],[Shares]]+Table1_21718[[#This Row],[Comments]])/Table1_21718[[#This Row],[Impressions]]</f>
        <v>7.7249552156538517E-2</v>
      </c>
      <c r="R22" s="7">
        <f>Table1_21718[[#This Row],[Likes]]+Table1_21718[[#This Row],[Shares]]+Table1_21718[[#This Row],[Comments]]</f>
        <v>5606</v>
      </c>
    </row>
    <row r="23" spans="1:18" x14ac:dyDescent="0.3">
      <c r="A23" t="s">
        <v>91</v>
      </c>
      <c r="B23" t="s">
        <v>43</v>
      </c>
      <c r="C23" s="6">
        <v>45715</v>
      </c>
      <c r="D23" t="s">
        <v>22</v>
      </c>
      <c r="E23" t="s">
        <v>56</v>
      </c>
      <c r="F23" s="51">
        <v>1570</v>
      </c>
      <c r="G23" s="51">
        <v>187</v>
      </c>
      <c r="H23" s="51">
        <v>260</v>
      </c>
      <c r="I23" s="51">
        <v>25120</v>
      </c>
      <c r="J23" s="51">
        <v>24613</v>
      </c>
      <c r="K23">
        <v>133</v>
      </c>
      <c r="L23" t="s">
        <v>30</v>
      </c>
      <c r="O23" t="s">
        <v>38</v>
      </c>
      <c r="P23" t="s">
        <v>38</v>
      </c>
      <c r="Q23" s="7">
        <f>(Table1_21718[[#This Row],[Likes]]+Table1_21718[[#This Row],[Shares]]+Table1_21718[[#This Row],[Comments]])/Table1_21718[[#This Row],[Impressions]]</f>
        <v>8.0294585987261149E-2</v>
      </c>
      <c r="R23" s="7">
        <f>Table1_21718[[#This Row],[Likes]]+Table1_21718[[#This Row],[Shares]]+Table1_21718[[#This Row],[Comments]]</f>
        <v>2017</v>
      </c>
    </row>
    <row r="24" spans="1:18" x14ac:dyDescent="0.3">
      <c r="A24" t="s">
        <v>93</v>
      </c>
      <c r="B24" t="s">
        <v>43</v>
      </c>
      <c r="C24" s="6">
        <v>45602</v>
      </c>
      <c r="D24" t="s">
        <v>74</v>
      </c>
      <c r="E24" t="s">
        <v>75</v>
      </c>
      <c r="F24" s="51">
        <v>1606</v>
      </c>
      <c r="G24" s="51">
        <v>547</v>
      </c>
      <c r="H24" s="51">
        <v>316</v>
      </c>
      <c r="I24" s="51">
        <v>32120</v>
      </c>
      <c r="J24" s="51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  <c r="Q24" s="7">
        <f>(Table1_21718[[#This Row],[Likes]]+Table1_21718[[#This Row],[Shares]]+Table1_21718[[#This Row],[Comments]])/Table1_21718[[#This Row],[Impressions]]</f>
        <v>7.6867995018679955E-2</v>
      </c>
      <c r="R24" s="7">
        <f>Table1_21718[[#This Row],[Likes]]+Table1_21718[[#This Row],[Shares]]+Table1_21718[[#This Row],[Comments]]</f>
        <v>2469</v>
      </c>
    </row>
    <row r="25" spans="1:18" x14ac:dyDescent="0.3">
      <c r="A25" t="s">
        <v>96</v>
      </c>
      <c r="B25" t="s">
        <v>43</v>
      </c>
      <c r="C25" s="6">
        <v>45680</v>
      </c>
      <c r="D25" t="s">
        <v>74</v>
      </c>
      <c r="E25" t="s">
        <v>75</v>
      </c>
      <c r="F25" s="51">
        <v>3961</v>
      </c>
      <c r="G25" s="51">
        <v>761</v>
      </c>
      <c r="H25" s="51">
        <v>131</v>
      </c>
      <c r="I25" s="51">
        <v>67337</v>
      </c>
      <c r="J25" s="51">
        <v>66615</v>
      </c>
      <c r="K25">
        <v>161</v>
      </c>
      <c r="L25" t="s">
        <v>62</v>
      </c>
      <c r="O25" t="s">
        <v>31</v>
      </c>
      <c r="P25" t="s">
        <v>31</v>
      </c>
      <c r="Q25" s="7">
        <f>(Table1_21718[[#This Row],[Likes]]+Table1_21718[[#This Row],[Shares]]+Table1_21718[[#This Row],[Comments]])/Table1_21718[[#This Row],[Impressions]]</f>
        <v>7.2070332803659209E-2</v>
      </c>
      <c r="R25" s="7">
        <f>Table1_21718[[#This Row],[Likes]]+Table1_21718[[#This Row],[Shares]]+Table1_21718[[#This Row],[Comments]]</f>
        <v>4853</v>
      </c>
    </row>
    <row r="26" spans="1:18" x14ac:dyDescent="0.3">
      <c r="A26" t="s">
        <v>98</v>
      </c>
      <c r="B26" t="s">
        <v>14</v>
      </c>
      <c r="C26" s="6">
        <v>45757</v>
      </c>
      <c r="D26" t="s">
        <v>45</v>
      </c>
      <c r="E26" t="s">
        <v>49</v>
      </c>
      <c r="F26" s="51">
        <v>3128</v>
      </c>
      <c r="G26" s="51">
        <v>211</v>
      </c>
      <c r="H26" s="51">
        <v>197</v>
      </c>
      <c r="I26" s="51">
        <v>59432</v>
      </c>
      <c r="J26" s="51">
        <v>59182</v>
      </c>
      <c r="K26">
        <v>238</v>
      </c>
      <c r="L26" t="s">
        <v>37</v>
      </c>
      <c r="P26" t="s">
        <v>19</v>
      </c>
      <c r="Q26" s="7">
        <f>(Table1_21718[[#This Row],[Likes]]+Table1_21718[[#This Row],[Shares]]+Table1_21718[[#This Row],[Comments]])/Table1_21718[[#This Row],[Impressions]]</f>
        <v>5.9496567505720827E-2</v>
      </c>
      <c r="R26" s="7">
        <f>Table1_21718[[#This Row],[Likes]]+Table1_21718[[#This Row],[Shares]]+Table1_21718[[#This Row],[Comments]]</f>
        <v>3536</v>
      </c>
    </row>
    <row r="27" spans="1:18" x14ac:dyDescent="0.3">
      <c r="A27" t="s">
        <v>100</v>
      </c>
      <c r="B27" t="s">
        <v>27</v>
      </c>
      <c r="C27" s="6">
        <v>45752</v>
      </c>
      <c r="D27" t="s">
        <v>16</v>
      </c>
      <c r="E27" t="s">
        <v>29</v>
      </c>
      <c r="F27" s="51">
        <v>3009</v>
      </c>
      <c r="G27" s="51">
        <v>413</v>
      </c>
      <c r="H27" s="51">
        <v>358</v>
      </c>
      <c r="I27" s="51">
        <v>42126</v>
      </c>
      <c r="J27" s="51">
        <v>41309</v>
      </c>
      <c r="K27">
        <v>211</v>
      </c>
      <c r="L27" t="s">
        <v>62</v>
      </c>
      <c r="O27" t="s">
        <v>25</v>
      </c>
      <c r="P27" t="s">
        <v>25</v>
      </c>
      <c r="Q27" s="7">
        <f>(Table1_21718[[#This Row],[Likes]]+Table1_21718[[#This Row],[Shares]]+Table1_21718[[#This Row],[Comments]])/Table1_21718[[#This Row],[Impressions]]</f>
        <v>8.9730807577268201E-2</v>
      </c>
      <c r="R27" s="7">
        <f>Table1_21718[[#This Row],[Likes]]+Table1_21718[[#This Row],[Shares]]+Table1_21718[[#This Row],[Comments]]</f>
        <v>3780</v>
      </c>
    </row>
    <row r="28" spans="1:18" x14ac:dyDescent="0.3">
      <c r="A28" t="s">
        <v>102</v>
      </c>
      <c r="B28" t="s">
        <v>27</v>
      </c>
      <c r="C28" s="6">
        <v>45552</v>
      </c>
      <c r="D28" t="s">
        <v>22</v>
      </c>
      <c r="E28" t="s">
        <v>104</v>
      </c>
      <c r="F28" s="51">
        <v>2076</v>
      </c>
      <c r="G28" s="51">
        <v>195</v>
      </c>
      <c r="H28" s="51">
        <v>104</v>
      </c>
      <c r="I28" s="51">
        <v>33216</v>
      </c>
      <c r="J28" s="51">
        <v>32244</v>
      </c>
      <c r="K28">
        <v>51</v>
      </c>
      <c r="L28" t="s">
        <v>62</v>
      </c>
      <c r="O28" t="s">
        <v>38</v>
      </c>
      <c r="P28" t="s">
        <v>38</v>
      </c>
      <c r="Q28" s="7">
        <f>(Table1_21718[[#This Row],[Likes]]+Table1_21718[[#This Row],[Shares]]+Table1_21718[[#This Row],[Comments]])/Table1_21718[[#This Row],[Impressions]]</f>
        <v>7.1501685934489398E-2</v>
      </c>
      <c r="R28" s="7">
        <f>Table1_21718[[#This Row],[Likes]]+Table1_21718[[#This Row],[Shares]]+Table1_21718[[#This Row],[Comments]]</f>
        <v>2375</v>
      </c>
    </row>
    <row r="29" spans="1:18" x14ac:dyDescent="0.3">
      <c r="A29" t="s">
        <v>105</v>
      </c>
      <c r="B29" t="s">
        <v>33</v>
      </c>
      <c r="C29" s="6">
        <v>45720</v>
      </c>
      <c r="D29" t="s">
        <v>74</v>
      </c>
      <c r="E29" t="s">
        <v>85</v>
      </c>
      <c r="F29" s="51">
        <v>432</v>
      </c>
      <c r="G29" s="51">
        <v>624</v>
      </c>
      <c r="H29" s="51">
        <v>123</v>
      </c>
      <c r="I29" s="51">
        <v>6912</v>
      </c>
      <c r="J29" s="51">
        <v>6259</v>
      </c>
      <c r="K29">
        <v>79</v>
      </c>
      <c r="L29" t="s">
        <v>62</v>
      </c>
      <c r="O29" t="s">
        <v>38</v>
      </c>
      <c r="P29" t="s">
        <v>38</v>
      </c>
      <c r="Q29" s="7">
        <f>(Table1_21718[[#This Row],[Likes]]+Table1_21718[[#This Row],[Shares]]+Table1_21718[[#This Row],[Comments]])/Table1_21718[[#This Row],[Impressions]]</f>
        <v>0.17057291666666666</v>
      </c>
      <c r="R29" s="7">
        <f>Table1_21718[[#This Row],[Likes]]+Table1_21718[[#This Row],[Shares]]+Table1_21718[[#This Row],[Comments]]</f>
        <v>1179</v>
      </c>
    </row>
    <row r="30" spans="1:18" x14ac:dyDescent="0.3">
      <c r="A30" t="s">
        <v>107</v>
      </c>
      <c r="B30" t="s">
        <v>33</v>
      </c>
      <c r="C30" s="6">
        <v>45688</v>
      </c>
      <c r="D30" t="s">
        <v>45</v>
      </c>
      <c r="E30" t="s">
        <v>88</v>
      </c>
      <c r="F30" s="51">
        <v>2566</v>
      </c>
      <c r="G30" s="51">
        <v>118</v>
      </c>
      <c r="H30" s="51">
        <v>37</v>
      </c>
      <c r="I30" s="51">
        <v>12830</v>
      </c>
      <c r="J30" s="51">
        <v>12264</v>
      </c>
      <c r="K30">
        <v>221</v>
      </c>
      <c r="L30" t="s">
        <v>62</v>
      </c>
      <c r="O30" t="s">
        <v>31</v>
      </c>
      <c r="P30" t="s">
        <v>31</v>
      </c>
      <c r="Q30" s="7">
        <f>(Table1_21718[[#This Row],[Likes]]+Table1_21718[[#This Row],[Shares]]+Table1_21718[[#This Row],[Comments]])/Table1_21718[[#This Row],[Impressions]]</f>
        <v>0.21208106001558846</v>
      </c>
      <c r="R30" s="7">
        <f>Table1_21718[[#This Row],[Likes]]+Table1_21718[[#This Row],[Shares]]+Table1_21718[[#This Row],[Comments]]</f>
        <v>2721</v>
      </c>
    </row>
    <row r="31" spans="1:18" x14ac:dyDescent="0.3">
      <c r="A31" t="s">
        <v>109</v>
      </c>
      <c r="B31" t="s">
        <v>33</v>
      </c>
      <c r="C31" s="6">
        <v>45713</v>
      </c>
      <c r="D31" t="s">
        <v>74</v>
      </c>
      <c r="E31" t="s">
        <v>85</v>
      </c>
      <c r="F31" s="51">
        <v>3095</v>
      </c>
      <c r="G31" s="51">
        <v>39</v>
      </c>
      <c r="H31" s="51">
        <v>78</v>
      </c>
      <c r="I31" s="51">
        <v>55710</v>
      </c>
      <c r="J31" s="51">
        <v>54808</v>
      </c>
      <c r="K31">
        <v>93</v>
      </c>
      <c r="L31" t="s">
        <v>37</v>
      </c>
      <c r="P31" t="s">
        <v>19</v>
      </c>
      <c r="Q31" s="7">
        <f>(Table1_21718[[#This Row],[Likes]]+Table1_21718[[#This Row],[Shares]]+Table1_21718[[#This Row],[Comments]])/Table1_21718[[#This Row],[Impressions]]</f>
        <v>5.7655717106444085E-2</v>
      </c>
      <c r="R31" s="7">
        <f>Table1_21718[[#This Row],[Likes]]+Table1_21718[[#This Row],[Shares]]+Table1_21718[[#This Row],[Comments]]</f>
        <v>3212</v>
      </c>
    </row>
    <row r="32" spans="1:18" x14ac:dyDescent="0.3">
      <c r="A32" t="s">
        <v>111</v>
      </c>
      <c r="B32" t="s">
        <v>33</v>
      </c>
      <c r="C32" s="6">
        <v>45642</v>
      </c>
      <c r="D32" t="s">
        <v>22</v>
      </c>
      <c r="E32" t="s">
        <v>113</v>
      </c>
      <c r="F32" s="51">
        <v>438</v>
      </c>
      <c r="G32" s="51">
        <v>153</v>
      </c>
      <c r="H32" s="51">
        <v>275</v>
      </c>
      <c r="I32" s="51">
        <v>3066</v>
      </c>
      <c r="J32" s="51">
        <v>2701</v>
      </c>
      <c r="K32">
        <v>282</v>
      </c>
      <c r="L32" t="s">
        <v>30</v>
      </c>
      <c r="O32" t="s">
        <v>25</v>
      </c>
      <c r="P32" t="s">
        <v>25</v>
      </c>
      <c r="Q32" s="7">
        <f>(Table1_21718[[#This Row],[Likes]]+Table1_21718[[#This Row],[Shares]]+Table1_21718[[#This Row],[Comments]])/Table1_21718[[#This Row],[Impressions]]</f>
        <v>0.28245270711024134</v>
      </c>
      <c r="R32" s="7">
        <f>Table1_21718[[#This Row],[Likes]]+Table1_21718[[#This Row],[Shares]]+Table1_21718[[#This Row],[Comments]]</f>
        <v>866</v>
      </c>
    </row>
    <row r="33" spans="1:18" x14ac:dyDescent="0.3">
      <c r="A33" t="s">
        <v>114</v>
      </c>
      <c r="B33" t="s">
        <v>14</v>
      </c>
      <c r="C33" s="6">
        <v>45504</v>
      </c>
      <c r="D33" t="s">
        <v>45</v>
      </c>
      <c r="E33" t="s">
        <v>49</v>
      </c>
      <c r="F33" s="51">
        <v>2278</v>
      </c>
      <c r="G33" s="51">
        <v>10</v>
      </c>
      <c r="H33" s="51">
        <v>321</v>
      </c>
      <c r="I33" s="51">
        <v>13668</v>
      </c>
      <c r="J33" s="51">
        <v>12676</v>
      </c>
      <c r="K33">
        <v>275</v>
      </c>
      <c r="L33" t="s">
        <v>37</v>
      </c>
      <c r="O33" t="s">
        <v>19</v>
      </c>
      <c r="P33" t="s">
        <v>19</v>
      </c>
      <c r="Q33" s="7">
        <f>(Table1_21718[[#This Row],[Likes]]+Table1_21718[[#This Row],[Shares]]+Table1_21718[[#This Row],[Comments]])/Table1_21718[[#This Row],[Impressions]]</f>
        <v>0.19088381621305239</v>
      </c>
      <c r="R33" s="7">
        <f>Table1_21718[[#This Row],[Likes]]+Table1_21718[[#This Row],[Shares]]+Table1_21718[[#This Row],[Comments]]</f>
        <v>2609</v>
      </c>
    </row>
    <row r="34" spans="1:18" x14ac:dyDescent="0.3">
      <c r="A34" t="s">
        <v>116</v>
      </c>
      <c r="B34" t="s">
        <v>43</v>
      </c>
      <c r="C34" s="6">
        <v>45525</v>
      </c>
      <c r="D34" t="s">
        <v>52</v>
      </c>
      <c r="E34" t="s">
        <v>59</v>
      </c>
      <c r="F34" s="51">
        <v>1407</v>
      </c>
      <c r="G34" s="51">
        <v>400</v>
      </c>
      <c r="H34" s="51">
        <v>351</v>
      </c>
      <c r="I34" s="51">
        <v>16884</v>
      </c>
      <c r="J34" s="51">
        <v>15954</v>
      </c>
      <c r="K34">
        <v>113</v>
      </c>
      <c r="L34" t="s">
        <v>30</v>
      </c>
      <c r="O34" t="s">
        <v>19</v>
      </c>
      <c r="P34" t="s">
        <v>19</v>
      </c>
      <c r="Q34" s="7">
        <f>(Table1_21718[[#This Row],[Likes]]+Table1_21718[[#This Row],[Shares]]+Table1_21718[[#This Row],[Comments]])/Table1_21718[[#This Row],[Impressions]]</f>
        <v>0.12781331438047855</v>
      </c>
      <c r="R34" s="7">
        <f>Table1_21718[[#This Row],[Likes]]+Table1_21718[[#This Row],[Shares]]+Table1_21718[[#This Row],[Comments]]</f>
        <v>2158</v>
      </c>
    </row>
    <row r="35" spans="1:18" x14ac:dyDescent="0.3">
      <c r="A35" t="s">
        <v>118</v>
      </c>
      <c r="B35" t="s">
        <v>43</v>
      </c>
      <c r="C35" s="6">
        <v>45742</v>
      </c>
      <c r="D35" t="s">
        <v>22</v>
      </c>
      <c r="E35" t="s">
        <v>56</v>
      </c>
      <c r="F35" s="51">
        <v>1652</v>
      </c>
      <c r="G35" s="51">
        <v>89</v>
      </c>
      <c r="H35" s="51">
        <v>357</v>
      </c>
      <c r="I35" s="51">
        <v>29736</v>
      </c>
      <c r="J35" s="51">
        <v>28771</v>
      </c>
      <c r="K35">
        <v>215</v>
      </c>
      <c r="L35" t="s">
        <v>30</v>
      </c>
      <c r="O35" t="s">
        <v>31</v>
      </c>
      <c r="P35" t="s">
        <v>31</v>
      </c>
      <c r="Q35" s="7">
        <f>(Table1_21718[[#This Row],[Likes]]+Table1_21718[[#This Row],[Shares]]+Table1_21718[[#This Row],[Comments]])/Table1_21718[[#This Row],[Impressions]]</f>
        <v>7.055421038471886E-2</v>
      </c>
      <c r="R35" s="7">
        <f>Table1_21718[[#This Row],[Likes]]+Table1_21718[[#This Row],[Shares]]+Table1_21718[[#This Row],[Comments]]</f>
        <v>2098</v>
      </c>
    </row>
    <row r="36" spans="1:18" x14ac:dyDescent="0.3">
      <c r="A36" t="s">
        <v>120</v>
      </c>
      <c r="B36" t="s">
        <v>33</v>
      </c>
      <c r="C36" s="6">
        <v>45626</v>
      </c>
      <c r="D36" t="s">
        <v>74</v>
      </c>
      <c r="E36" t="s">
        <v>85</v>
      </c>
      <c r="F36" s="51">
        <v>3775</v>
      </c>
      <c r="G36" s="51">
        <v>16</v>
      </c>
      <c r="H36" s="51">
        <v>239</v>
      </c>
      <c r="I36" s="51">
        <v>33975</v>
      </c>
      <c r="J36" s="51">
        <v>33310</v>
      </c>
      <c r="K36">
        <v>271</v>
      </c>
      <c r="L36" t="s">
        <v>62</v>
      </c>
      <c r="O36" t="s">
        <v>25</v>
      </c>
      <c r="P36" t="s">
        <v>25</v>
      </c>
      <c r="Q36" s="7">
        <f>(Table1_21718[[#This Row],[Likes]]+Table1_21718[[#This Row],[Shares]]+Table1_21718[[#This Row],[Comments]])/Table1_21718[[#This Row],[Impressions]]</f>
        <v>0.11861662987490802</v>
      </c>
      <c r="R36" s="7">
        <f>Table1_21718[[#This Row],[Likes]]+Table1_21718[[#This Row],[Shares]]+Table1_21718[[#This Row],[Comments]]</f>
        <v>4030</v>
      </c>
    </row>
    <row r="37" spans="1:18" x14ac:dyDescent="0.3">
      <c r="A37" t="s">
        <v>122</v>
      </c>
      <c r="B37" t="s">
        <v>33</v>
      </c>
      <c r="C37" s="6">
        <v>45766</v>
      </c>
      <c r="D37" t="s">
        <v>35</v>
      </c>
      <c r="E37" t="s">
        <v>36</v>
      </c>
      <c r="F37" s="51">
        <v>4518</v>
      </c>
      <c r="G37" s="51">
        <v>285</v>
      </c>
      <c r="H37" s="51">
        <v>383</v>
      </c>
      <c r="I37" s="51">
        <v>67770</v>
      </c>
      <c r="J37" s="51">
        <v>67621</v>
      </c>
      <c r="K37">
        <v>31</v>
      </c>
      <c r="L37" t="s">
        <v>37</v>
      </c>
      <c r="O37" t="s">
        <v>25</v>
      </c>
      <c r="P37" t="s">
        <v>25</v>
      </c>
      <c r="Q37" s="7">
        <f>(Table1_21718[[#This Row],[Likes]]+Table1_21718[[#This Row],[Shares]]+Table1_21718[[#This Row],[Comments]])/Table1_21718[[#This Row],[Impressions]]</f>
        <v>7.6523535487678915E-2</v>
      </c>
      <c r="R37" s="7">
        <f>Table1_21718[[#This Row],[Likes]]+Table1_21718[[#This Row],[Shares]]+Table1_21718[[#This Row],[Comments]]</f>
        <v>5186</v>
      </c>
    </row>
    <row r="38" spans="1:18" x14ac:dyDescent="0.3">
      <c r="A38" t="s">
        <v>124</v>
      </c>
      <c r="B38" t="s">
        <v>43</v>
      </c>
      <c r="C38" s="6">
        <v>45663</v>
      </c>
      <c r="D38" t="s">
        <v>45</v>
      </c>
      <c r="E38" t="s">
        <v>46</v>
      </c>
      <c r="F38" s="51">
        <v>3024</v>
      </c>
      <c r="G38" s="51">
        <v>925</v>
      </c>
      <c r="H38" s="51">
        <v>350</v>
      </c>
      <c r="I38" s="51">
        <v>24192</v>
      </c>
      <c r="J38" s="51">
        <v>23518</v>
      </c>
      <c r="K38">
        <v>36</v>
      </c>
      <c r="L38" t="s">
        <v>37</v>
      </c>
      <c r="O38" t="s">
        <v>25</v>
      </c>
      <c r="P38" t="s">
        <v>25</v>
      </c>
      <c r="Q38" s="7">
        <f>(Table1_21718[[#This Row],[Likes]]+Table1_21718[[#This Row],[Shares]]+Table1_21718[[#This Row],[Comments]])/Table1_21718[[#This Row],[Impressions]]</f>
        <v>0.17770337301587302</v>
      </c>
      <c r="R38" s="7">
        <f>Table1_21718[[#This Row],[Likes]]+Table1_21718[[#This Row],[Shares]]+Table1_21718[[#This Row],[Comments]]</f>
        <v>4299</v>
      </c>
    </row>
    <row r="39" spans="1:18" x14ac:dyDescent="0.3">
      <c r="A39" t="s">
        <v>126</v>
      </c>
      <c r="B39" t="s">
        <v>27</v>
      </c>
      <c r="C39" s="6">
        <v>45705</v>
      </c>
      <c r="D39" t="s">
        <v>16</v>
      </c>
      <c r="E39" t="s">
        <v>29</v>
      </c>
      <c r="F39" s="51">
        <v>3138</v>
      </c>
      <c r="G39" s="51">
        <v>123</v>
      </c>
      <c r="H39" s="51">
        <v>291</v>
      </c>
      <c r="I39" s="51">
        <v>28242</v>
      </c>
      <c r="J39" s="51">
        <v>27550</v>
      </c>
      <c r="K39">
        <v>87</v>
      </c>
      <c r="L39" t="s">
        <v>30</v>
      </c>
      <c r="O39" t="s">
        <v>38</v>
      </c>
      <c r="P39" t="s">
        <v>38</v>
      </c>
      <c r="Q39" s="7">
        <f>(Table1_21718[[#This Row],[Likes]]+Table1_21718[[#This Row],[Shares]]+Table1_21718[[#This Row],[Comments]])/Table1_21718[[#This Row],[Impressions]]</f>
        <v>0.12577012959422137</v>
      </c>
      <c r="R39" s="7">
        <f>Table1_21718[[#This Row],[Likes]]+Table1_21718[[#This Row],[Shares]]+Table1_21718[[#This Row],[Comments]]</f>
        <v>3552</v>
      </c>
    </row>
    <row r="40" spans="1:18" x14ac:dyDescent="0.3">
      <c r="A40" t="s">
        <v>128</v>
      </c>
      <c r="B40" t="s">
        <v>43</v>
      </c>
      <c r="C40" s="6">
        <v>45621</v>
      </c>
      <c r="D40" t="s">
        <v>52</v>
      </c>
      <c r="E40" t="s">
        <v>59</v>
      </c>
      <c r="F40" s="51">
        <v>3564</v>
      </c>
      <c r="G40" s="51">
        <v>629</v>
      </c>
      <c r="H40" s="51">
        <v>177</v>
      </c>
      <c r="I40" s="51">
        <v>60588</v>
      </c>
      <c r="J40" s="51">
        <v>59627</v>
      </c>
      <c r="K40">
        <v>92</v>
      </c>
      <c r="L40" t="s">
        <v>30</v>
      </c>
      <c r="P40" t="s">
        <v>25</v>
      </c>
      <c r="Q40" s="7">
        <f>(Table1_21718[[#This Row],[Likes]]+Table1_21718[[#This Row],[Shares]]+Table1_21718[[#This Row],[Comments]])/Table1_21718[[#This Row],[Impressions]]</f>
        <v>7.2126493695121141E-2</v>
      </c>
      <c r="R40" s="7">
        <f>Table1_21718[[#This Row],[Likes]]+Table1_21718[[#This Row],[Shares]]+Table1_21718[[#This Row],[Comments]]</f>
        <v>4370</v>
      </c>
    </row>
    <row r="41" spans="1:18" x14ac:dyDescent="0.3">
      <c r="A41" t="s">
        <v>130</v>
      </c>
      <c r="B41" t="s">
        <v>14</v>
      </c>
      <c r="C41" s="6">
        <v>45723</v>
      </c>
      <c r="D41" t="s">
        <v>52</v>
      </c>
      <c r="E41" t="s">
        <v>132</v>
      </c>
      <c r="F41" s="51">
        <v>4750</v>
      </c>
      <c r="G41" s="51">
        <v>151</v>
      </c>
      <c r="H41" s="51">
        <v>415</v>
      </c>
      <c r="I41" s="51">
        <v>38000</v>
      </c>
      <c r="J41" s="51">
        <v>37792</v>
      </c>
      <c r="K41">
        <v>299</v>
      </c>
      <c r="L41" t="s">
        <v>37</v>
      </c>
      <c r="O41" t="s">
        <v>38</v>
      </c>
      <c r="P41" t="s">
        <v>38</v>
      </c>
      <c r="Q41" s="7">
        <f>(Table1_21718[[#This Row],[Likes]]+Table1_21718[[#This Row],[Shares]]+Table1_21718[[#This Row],[Comments]])/Table1_21718[[#This Row],[Impressions]]</f>
        <v>0.13989473684210527</v>
      </c>
      <c r="R41" s="7">
        <f>Table1_21718[[#This Row],[Likes]]+Table1_21718[[#This Row],[Shares]]+Table1_21718[[#This Row],[Comments]]</f>
        <v>5316</v>
      </c>
    </row>
    <row r="42" spans="1:18" x14ac:dyDescent="0.3">
      <c r="A42" t="s">
        <v>133</v>
      </c>
      <c r="B42" t="s">
        <v>33</v>
      </c>
      <c r="C42" s="6">
        <v>45724</v>
      </c>
      <c r="D42" t="s">
        <v>16</v>
      </c>
      <c r="E42" t="s">
        <v>82</v>
      </c>
      <c r="F42" s="51">
        <v>456</v>
      </c>
      <c r="G42" s="51">
        <v>629</v>
      </c>
      <c r="H42" s="51">
        <v>428</v>
      </c>
      <c r="I42" s="51">
        <v>8208</v>
      </c>
      <c r="J42" s="51">
        <v>7377</v>
      </c>
      <c r="K42">
        <v>205</v>
      </c>
      <c r="L42" t="s">
        <v>62</v>
      </c>
      <c r="O42" t="s">
        <v>38</v>
      </c>
      <c r="P42" t="s">
        <v>38</v>
      </c>
      <c r="Q42" s="7">
        <f>(Table1_21718[[#This Row],[Likes]]+Table1_21718[[#This Row],[Shares]]+Table1_21718[[#This Row],[Comments]])/Table1_21718[[#This Row],[Impressions]]</f>
        <v>0.18433235867446393</v>
      </c>
      <c r="R42" s="7">
        <f>Table1_21718[[#This Row],[Likes]]+Table1_21718[[#This Row],[Shares]]+Table1_21718[[#This Row],[Comments]]</f>
        <v>1513</v>
      </c>
    </row>
    <row r="43" spans="1:18" x14ac:dyDescent="0.3">
      <c r="A43" t="s">
        <v>135</v>
      </c>
      <c r="B43" t="s">
        <v>27</v>
      </c>
      <c r="C43" s="6">
        <v>45721</v>
      </c>
      <c r="D43" t="s">
        <v>16</v>
      </c>
      <c r="E43" t="s">
        <v>29</v>
      </c>
      <c r="F43" s="51">
        <v>1543</v>
      </c>
      <c r="G43" s="51">
        <v>820</v>
      </c>
      <c r="H43" s="51">
        <v>333</v>
      </c>
      <c r="I43" s="51">
        <v>12344</v>
      </c>
      <c r="J43" s="51">
        <v>11496</v>
      </c>
      <c r="K43">
        <v>241</v>
      </c>
      <c r="L43" t="s">
        <v>37</v>
      </c>
      <c r="P43" t="s">
        <v>19</v>
      </c>
      <c r="Q43" s="7">
        <f>(Table1_21718[[#This Row],[Likes]]+Table1_21718[[#This Row],[Shares]]+Table1_21718[[#This Row],[Comments]])/Table1_21718[[#This Row],[Impressions]]</f>
        <v>0.21840570317563188</v>
      </c>
      <c r="R43" s="7">
        <f>Table1_21718[[#This Row],[Likes]]+Table1_21718[[#This Row],[Shares]]+Table1_21718[[#This Row],[Comments]]</f>
        <v>2696</v>
      </c>
    </row>
    <row r="44" spans="1:18" x14ac:dyDescent="0.3">
      <c r="A44" t="s">
        <v>137</v>
      </c>
      <c r="B44" t="s">
        <v>33</v>
      </c>
      <c r="C44" s="6">
        <v>45640</v>
      </c>
      <c r="D44" t="s">
        <v>45</v>
      </c>
      <c r="E44" t="s">
        <v>88</v>
      </c>
      <c r="F44" s="51">
        <v>2174</v>
      </c>
      <c r="G44" s="51">
        <v>658</v>
      </c>
      <c r="H44" s="51">
        <v>15</v>
      </c>
      <c r="I44" s="51">
        <v>13044</v>
      </c>
      <c r="J44" s="51">
        <v>12206</v>
      </c>
      <c r="K44">
        <v>137</v>
      </c>
      <c r="L44" t="s">
        <v>30</v>
      </c>
      <c r="O44" t="s">
        <v>31</v>
      </c>
      <c r="P44" t="s">
        <v>31</v>
      </c>
      <c r="Q44" s="7">
        <f>(Table1_21718[[#This Row],[Likes]]+Table1_21718[[#This Row],[Shares]]+Table1_21718[[#This Row],[Comments]])/Table1_21718[[#This Row],[Impressions]]</f>
        <v>0.21826126954921804</v>
      </c>
      <c r="R44" s="7">
        <f>Table1_21718[[#This Row],[Likes]]+Table1_21718[[#This Row],[Shares]]+Table1_21718[[#This Row],[Comments]]</f>
        <v>2847</v>
      </c>
    </row>
    <row r="45" spans="1:18" x14ac:dyDescent="0.3">
      <c r="A45" t="s">
        <v>139</v>
      </c>
      <c r="B45" t="s">
        <v>14</v>
      </c>
      <c r="C45" s="6">
        <v>45718</v>
      </c>
      <c r="D45" t="s">
        <v>52</v>
      </c>
      <c r="E45" t="s">
        <v>132</v>
      </c>
      <c r="F45" s="51">
        <v>2358</v>
      </c>
      <c r="G45" s="51">
        <v>784</v>
      </c>
      <c r="H45" s="51">
        <v>344</v>
      </c>
      <c r="I45" s="51">
        <v>35370</v>
      </c>
      <c r="J45" s="51">
        <v>34475</v>
      </c>
      <c r="K45">
        <v>216</v>
      </c>
      <c r="L45" t="s">
        <v>30</v>
      </c>
      <c r="P45" t="s">
        <v>25</v>
      </c>
      <c r="Q45" s="7">
        <f>(Table1_21718[[#This Row],[Likes]]+Table1_21718[[#This Row],[Shares]]+Table1_21718[[#This Row],[Comments]])/Table1_21718[[#This Row],[Impressions]]</f>
        <v>9.8558100084817649E-2</v>
      </c>
      <c r="R45" s="7">
        <f>Table1_21718[[#This Row],[Likes]]+Table1_21718[[#This Row],[Shares]]+Table1_21718[[#This Row],[Comments]]</f>
        <v>3486</v>
      </c>
    </row>
    <row r="46" spans="1:18" x14ac:dyDescent="0.3">
      <c r="A46" t="s">
        <v>141</v>
      </c>
      <c r="B46" t="s">
        <v>43</v>
      </c>
      <c r="C46" s="6">
        <v>45597</v>
      </c>
      <c r="D46" t="s">
        <v>74</v>
      </c>
      <c r="E46" t="s">
        <v>75</v>
      </c>
      <c r="F46" s="51">
        <v>3371</v>
      </c>
      <c r="G46" s="51">
        <v>106</v>
      </c>
      <c r="H46" s="51">
        <v>327</v>
      </c>
      <c r="I46" s="51">
        <v>50565</v>
      </c>
      <c r="J46" s="51">
        <v>49816</v>
      </c>
      <c r="K46">
        <v>176</v>
      </c>
      <c r="L46" t="s">
        <v>62</v>
      </c>
      <c r="O46" t="s">
        <v>19</v>
      </c>
      <c r="P46" t="s">
        <v>19</v>
      </c>
      <c r="Q46" s="7">
        <f>(Table1_21718[[#This Row],[Likes]]+Table1_21718[[#This Row],[Shares]]+Table1_21718[[#This Row],[Comments]])/Table1_21718[[#This Row],[Impressions]]</f>
        <v>7.5229902106199939E-2</v>
      </c>
      <c r="R46" s="7">
        <f>Table1_21718[[#This Row],[Likes]]+Table1_21718[[#This Row],[Shares]]+Table1_21718[[#This Row],[Comments]]</f>
        <v>3804</v>
      </c>
    </row>
    <row r="47" spans="1:18" x14ac:dyDescent="0.3">
      <c r="A47" t="s">
        <v>143</v>
      </c>
      <c r="B47" t="s">
        <v>14</v>
      </c>
      <c r="C47" s="6">
        <v>45779</v>
      </c>
      <c r="D47" t="s">
        <v>74</v>
      </c>
      <c r="E47" t="s">
        <v>145</v>
      </c>
      <c r="F47" s="51">
        <v>1108</v>
      </c>
      <c r="G47" s="51">
        <v>177</v>
      </c>
      <c r="H47" s="51">
        <v>212</v>
      </c>
      <c r="I47" s="51">
        <v>8864</v>
      </c>
      <c r="J47" s="51">
        <v>8710</v>
      </c>
      <c r="K47">
        <v>97</v>
      </c>
      <c r="L47" t="s">
        <v>30</v>
      </c>
      <c r="O47" t="s">
        <v>38</v>
      </c>
      <c r="P47" t="s">
        <v>38</v>
      </c>
      <c r="Q47" s="7">
        <f>(Table1_21718[[#This Row],[Likes]]+Table1_21718[[#This Row],[Shares]]+Table1_21718[[#This Row],[Comments]])/Table1_21718[[#This Row],[Impressions]]</f>
        <v>0.16888537906137185</v>
      </c>
      <c r="R47" s="7">
        <f>Table1_21718[[#This Row],[Likes]]+Table1_21718[[#This Row],[Shares]]+Table1_21718[[#This Row],[Comments]]</f>
        <v>1497</v>
      </c>
    </row>
    <row r="48" spans="1:18" x14ac:dyDescent="0.3">
      <c r="A48" t="s">
        <v>146</v>
      </c>
      <c r="B48" t="s">
        <v>14</v>
      </c>
      <c r="C48" s="6">
        <v>45712</v>
      </c>
      <c r="D48" t="s">
        <v>45</v>
      </c>
      <c r="E48" t="s">
        <v>49</v>
      </c>
      <c r="F48" s="51">
        <v>2704</v>
      </c>
      <c r="G48" s="51">
        <v>752</v>
      </c>
      <c r="H48" s="51">
        <v>153</v>
      </c>
      <c r="I48" s="51">
        <v>21632</v>
      </c>
      <c r="J48" s="51">
        <v>20792</v>
      </c>
      <c r="K48">
        <v>127</v>
      </c>
      <c r="L48" t="s">
        <v>62</v>
      </c>
      <c r="P48" t="s">
        <v>38</v>
      </c>
      <c r="Q48" s="7">
        <f>(Table1_21718[[#This Row],[Likes]]+Table1_21718[[#This Row],[Shares]]+Table1_21718[[#This Row],[Comments]])/Table1_21718[[#This Row],[Impressions]]</f>
        <v>0.16683616863905326</v>
      </c>
      <c r="R48" s="7">
        <f>Table1_21718[[#This Row],[Likes]]+Table1_21718[[#This Row],[Shares]]+Table1_21718[[#This Row],[Comments]]</f>
        <v>3609</v>
      </c>
    </row>
    <row r="49" spans="1:18" x14ac:dyDescent="0.3">
      <c r="A49" t="s">
        <v>148</v>
      </c>
      <c r="B49" t="s">
        <v>14</v>
      </c>
      <c r="C49" s="6">
        <v>45727</v>
      </c>
      <c r="D49" t="s">
        <v>35</v>
      </c>
      <c r="E49" t="s">
        <v>149</v>
      </c>
      <c r="F49" s="51">
        <v>1950</v>
      </c>
      <c r="G49" s="51">
        <v>295</v>
      </c>
      <c r="H49" s="51">
        <v>478</v>
      </c>
      <c r="I49" s="51">
        <v>37050</v>
      </c>
      <c r="J49" s="51">
        <v>36272</v>
      </c>
      <c r="K49">
        <v>119</v>
      </c>
      <c r="L49" t="s">
        <v>30</v>
      </c>
      <c r="P49" t="s">
        <v>25</v>
      </c>
      <c r="Q49" s="7">
        <f>(Table1_21718[[#This Row],[Likes]]+Table1_21718[[#This Row],[Shares]]+Table1_21718[[#This Row],[Comments]])/Table1_21718[[#This Row],[Impressions]]</f>
        <v>7.349527665317139E-2</v>
      </c>
      <c r="R49" s="7">
        <f>Table1_21718[[#This Row],[Likes]]+Table1_21718[[#This Row],[Shares]]+Table1_21718[[#This Row],[Comments]]</f>
        <v>2723</v>
      </c>
    </row>
    <row r="50" spans="1:18" x14ac:dyDescent="0.3">
      <c r="A50" t="s">
        <v>150</v>
      </c>
      <c r="B50" t="s">
        <v>14</v>
      </c>
      <c r="C50" s="6">
        <v>45453</v>
      </c>
      <c r="D50" t="s">
        <v>35</v>
      </c>
      <c r="E50" t="s">
        <v>149</v>
      </c>
      <c r="F50" s="51">
        <v>2164</v>
      </c>
      <c r="G50" s="51">
        <v>549</v>
      </c>
      <c r="H50" s="51">
        <v>274</v>
      </c>
      <c r="I50" s="51">
        <v>28132</v>
      </c>
      <c r="J50" s="51">
        <v>27361</v>
      </c>
      <c r="K50">
        <v>177</v>
      </c>
      <c r="L50" t="s">
        <v>30</v>
      </c>
      <c r="O50" t="s">
        <v>38</v>
      </c>
      <c r="P50" t="s">
        <v>38</v>
      </c>
      <c r="Q50" s="7">
        <f>(Table1_21718[[#This Row],[Likes]]+Table1_21718[[#This Row],[Shares]]+Table1_21718[[#This Row],[Comments]])/Table1_21718[[#This Row],[Impressions]]</f>
        <v>0.10617801791554102</v>
      </c>
      <c r="R50" s="7">
        <f>Table1_21718[[#This Row],[Likes]]+Table1_21718[[#This Row],[Shares]]+Table1_21718[[#This Row],[Comments]]</f>
        <v>2987</v>
      </c>
    </row>
    <row r="51" spans="1:18" x14ac:dyDescent="0.3">
      <c r="A51" t="s">
        <v>152</v>
      </c>
      <c r="B51" t="s">
        <v>27</v>
      </c>
      <c r="C51" s="6">
        <v>45476</v>
      </c>
      <c r="D51" t="s">
        <v>35</v>
      </c>
      <c r="E51" t="s">
        <v>154</v>
      </c>
      <c r="F51" s="51">
        <v>2754</v>
      </c>
      <c r="G51" s="51">
        <v>130</v>
      </c>
      <c r="H51" s="51">
        <v>90</v>
      </c>
      <c r="I51" s="51">
        <v>22032</v>
      </c>
      <c r="J51" s="51">
        <v>21288</v>
      </c>
      <c r="K51">
        <v>112</v>
      </c>
      <c r="L51" t="s">
        <v>30</v>
      </c>
      <c r="O51" t="s">
        <v>31</v>
      </c>
      <c r="P51" t="s">
        <v>31</v>
      </c>
      <c r="Q51" s="7">
        <f>(Table1_21718[[#This Row],[Likes]]+Table1_21718[[#This Row],[Shares]]+Table1_21718[[#This Row],[Comments]])/Table1_21718[[#This Row],[Impressions]]</f>
        <v>0.13498547567175018</v>
      </c>
      <c r="R51" s="7">
        <f>Table1_21718[[#This Row],[Likes]]+Table1_21718[[#This Row],[Shares]]+Table1_21718[[#This Row],[Comments]]</f>
        <v>2974</v>
      </c>
    </row>
    <row r="52" spans="1:18" x14ac:dyDescent="0.3">
      <c r="A52" t="s">
        <v>155</v>
      </c>
      <c r="B52" t="s">
        <v>43</v>
      </c>
      <c r="C52" s="6">
        <v>45456</v>
      </c>
      <c r="D52" t="s">
        <v>45</v>
      </c>
      <c r="E52" t="s">
        <v>46</v>
      </c>
      <c r="F52" s="51">
        <v>2200</v>
      </c>
      <c r="G52" s="51">
        <v>504</v>
      </c>
      <c r="H52" s="51">
        <v>239</v>
      </c>
      <c r="I52" s="51">
        <v>37400</v>
      </c>
      <c r="J52" s="51">
        <v>36938</v>
      </c>
      <c r="K52">
        <v>225</v>
      </c>
      <c r="L52" t="s">
        <v>62</v>
      </c>
      <c r="O52" t="s">
        <v>25</v>
      </c>
      <c r="P52" t="s">
        <v>25</v>
      </c>
      <c r="Q52" s="7">
        <f>(Table1_21718[[#This Row],[Likes]]+Table1_21718[[#This Row],[Shares]]+Table1_21718[[#This Row],[Comments]])/Table1_21718[[#This Row],[Impressions]]</f>
        <v>7.8689839572192513E-2</v>
      </c>
      <c r="R52" s="7">
        <f>Table1_21718[[#This Row],[Likes]]+Table1_21718[[#This Row],[Shares]]+Table1_21718[[#This Row],[Comments]]</f>
        <v>2943</v>
      </c>
    </row>
    <row r="53" spans="1:18" x14ac:dyDescent="0.3">
      <c r="A53" t="s">
        <v>157</v>
      </c>
      <c r="B53" t="s">
        <v>43</v>
      </c>
      <c r="C53" s="6">
        <v>45660</v>
      </c>
      <c r="D53" t="s">
        <v>52</v>
      </c>
      <c r="E53" t="s">
        <v>59</v>
      </c>
      <c r="F53" s="51">
        <v>947</v>
      </c>
      <c r="G53" s="51">
        <v>338</v>
      </c>
      <c r="H53" s="51">
        <v>350</v>
      </c>
      <c r="I53" s="51">
        <v>10417</v>
      </c>
      <c r="J53" s="51">
        <v>9730</v>
      </c>
      <c r="K53">
        <v>34</v>
      </c>
      <c r="L53" t="s">
        <v>30</v>
      </c>
      <c r="O53" t="s">
        <v>38</v>
      </c>
      <c r="P53" t="s">
        <v>38</v>
      </c>
      <c r="Q53" s="7">
        <f>(Table1_21718[[#This Row],[Likes]]+Table1_21718[[#This Row],[Shares]]+Table1_21718[[#This Row],[Comments]])/Table1_21718[[#This Row],[Impressions]]</f>
        <v>0.1569549774407219</v>
      </c>
      <c r="R53" s="7">
        <f>Table1_21718[[#This Row],[Likes]]+Table1_21718[[#This Row],[Shares]]+Table1_21718[[#This Row],[Comments]]</f>
        <v>1635</v>
      </c>
    </row>
    <row r="54" spans="1:18" x14ac:dyDescent="0.3">
      <c r="A54" t="s">
        <v>159</v>
      </c>
      <c r="B54" t="s">
        <v>27</v>
      </c>
      <c r="C54" s="6">
        <v>45712</v>
      </c>
      <c r="D54" t="s">
        <v>45</v>
      </c>
      <c r="E54" t="s">
        <v>68</v>
      </c>
      <c r="F54" s="51">
        <v>804</v>
      </c>
      <c r="G54" s="51">
        <v>639</v>
      </c>
      <c r="H54" s="51">
        <v>43</v>
      </c>
      <c r="I54" s="51">
        <v>4020</v>
      </c>
      <c r="J54" s="51">
        <v>3144</v>
      </c>
      <c r="K54">
        <v>11</v>
      </c>
      <c r="L54" t="s">
        <v>37</v>
      </c>
      <c r="M54" t="s">
        <v>616</v>
      </c>
      <c r="P54" t="s">
        <v>19</v>
      </c>
      <c r="Q54" s="7">
        <f>(Table1_21718[[#This Row],[Likes]]+Table1_21718[[#This Row],[Shares]]+Table1_21718[[#This Row],[Comments]])/Table1_21718[[#This Row],[Impressions]]</f>
        <v>0.36965174129353234</v>
      </c>
      <c r="R54" s="7">
        <f>Table1_21718[[#This Row],[Likes]]+Table1_21718[[#This Row],[Shares]]+Table1_21718[[#This Row],[Comments]]</f>
        <v>1486</v>
      </c>
    </row>
    <row r="55" spans="1:18" x14ac:dyDescent="0.3">
      <c r="A55" t="s">
        <v>161</v>
      </c>
      <c r="B55" t="s">
        <v>27</v>
      </c>
      <c r="C55" s="6">
        <v>45729</v>
      </c>
      <c r="D55" t="s">
        <v>45</v>
      </c>
      <c r="E55" t="s">
        <v>68</v>
      </c>
      <c r="F55" s="51">
        <v>1686</v>
      </c>
      <c r="G55" s="51">
        <v>904</v>
      </c>
      <c r="H55" s="51">
        <v>472</v>
      </c>
      <c r="I55" s="51">
        <v>18546</v>
      </c>
      <c r="J55" s="51">
        <v>18171</v>
      </c>
      <c r="K55">
        <v>52</v>
      </c>
      <c r="L55" t="s">
        <v>62</v>
      </c>
      <c r="O55" t="s">
        <v>25</v>
      </c>
      <c r="P55" t="s">
        <v>25</v>
      </c>
      <c r="Q55" s="7">
        <f>(Table1_21718[[#This Row],[Likes]]+Table1_21718[[#This Row],[Shares]]+Table1_21718[[#This Row],[Comments]])/Table1_21718[[#This Row],[Impressions]]</f>
        <v>0.16510298716704411</v>
      </c>
      <c r="R55" s="7">
        <f>Table1_21718[[#This Row],[Likes]]+Table1_21718[[#This Row],[Shares]]+Table1_21718[[#This Row],[Comments]]</f>
        <v>3062</v>
      </c>
    </row>
    <row r="56" spans="1:18" x14ac:dyDescent="0.3">
      <c r="A56" t="s">
        <v>163</v>
      </c>
      <c r="B56" t="s">
        <v>43</v>
      </c>
      <c r="C56" s="6">
        <v>45460</v>
      </c>
      <c r="D56" t="s">
        <v>52</v>
      </c>
      <c r="E56" t="s">
        <v>59</v>
      </c>
      <c r="F56" s="51">
        <v>1226</v>
      </c>
      <c r="G56" s="51">
        <v>119</v>
      </c>
      <c r="H56" s="51">
        <v>7</v>
      </c>
      <c r="I56" s="51">
        <v>14712</v>
      </c>
      <c r="J56" s="51">
        <v>14049</v>
      </c>
      <c r="K56">
        <v>123</v>
      </c>
      <c r="L56" t="s">
        <v>37</v>
      </c>
      <c r="O56" t="s">
        <v>38</v>
      </c>
      <c r="P56" t="s">
        <v>38</v>
      </c>
      <c r="Q56" s="7">
        <f>(Table1_21718[[#This Row],[Likes]]+Table1_21718[[#This Row],[Shares]]+Table1_21718[[#This Row],[Comments]])/Table1_21718[[#This Row],[Impressions]]</f>
        <v>9.1897770527460579E-2</v>
      </c>
      <c r="R56" s="7">
        <f>Table1_21718[[#This Row],[Likes]]+Table1_21718[[#This Row],[Shares]]+Table1_21718[[#This Row],[Comments]]</f>
        <v>1352</v>
      </c>
    </row>
    <row r="57" spans="1:18" x14ac:dyDescent="0.3">
      <c r="A57" t="s">
        <v>165</v>
      </c>
      <c r="B57" t="s">
        <v>43</v>
      </c>
      <c r="C57" s="6">
        <v>45644</v>
      </c>
      <c r="D57" t="s">
        <v>45</v>
      </c>
      <c r="E57" t="s">
        <v>46</v>
      </c>
      <c r="F57" s="51">
        <v>2946</v>
      </c>
      <c r="G57" s="51">
        <v>498</v>
      </c>
      <c r="H57" s="51">
        <v>367</v>
      </c>
      <c r="I57" s="51">
        <v>29460</v>
      </c>
      <c r="J57" s="51">
        <v>28527</v>
      </c>
      <c r="K57">
        <v>60</v>
      </c>
      <c r="L57" t="s">
        <v>62</v>
      </c>
      <c r="O57" t="s">
        <v>31</v>
      </c>
      <c r="P57" t="s">
        <v>31</v>
      </c>
      <c r="Q57" s="7">
        <f>(Table1_21718[[#This Row],[Likes]]+Table1_21718[[#This Row],[Shares]]+Table1_21718[[#This Row],[Comments]])/Table1_21718[[#This Row],[Impressions]]</f>
        <v>0.12936184657162253</v>
      </c>
      <c r="R57" s="7">
        <f>Table1_21718[[#This Row],[Likes]]+Table1_21718[[#This Row],[Shares]]+Table1_21718[[#This Row],[Comments]]</f>
        <v>3811</v>
      </c>
    </row>
    <row r="58" spans="1:18" x14ac:dyDescent="0.3">
      <c r="A58" t="s">
        <v>167</v>
      </c>
      <c r="B58" t="s">
        <v>14</v>
      </c>
      <c r="C58" s="6">
        <v>45586</v>
      </c>
      <c r="D58" t="s">
        <v>74</v>
      </c>
      <c r="E58" t="s">
        <v>145</v>
      </c>
      <c r="F58" s="51">
        <v>2825</v>
      </c>
      <c r="G58" s="51">
        <v>535</v>
      </c>
      <c r="H58" s="51">
        <v>295</v>
      </c>
      <c r="I58" s="51">
        <v>45200</v>
      </c>
      <c r="J58" s="51">
        <v>44739</v>
      </c>
      <c r="K58">
        <v>169</v>
      </c>
      <c r="L58" t="s">
        <v>30</v>
      </c>
      <c r="O58" t="s">
        <v>19</v>
      </c>
      <c r="P58" t="s">
        <v>19</v>
      </c>
      <c r="Q58" s="7">
        <f>(Table1_21718[[#This Row],[Likes]]+Table1_21718[[#This Row],[Shares]]+Table1_21718[[#This Row],[Comments]])/Table1_21718[[#This Row],[Impressions]]</f>
        <v>8.0862831858407078E-2</v>
      </c>
      <c r="R58" s="7">
        <f>Table1_21718[[#This Row],[Likes]]+Table1_21718[[#This Row],[Shares]]+Table1_21718[[#This Row],[Comments]]</f>
        <v>3655</v>
      </c>
    </row>
    <row r="59" spans="1:18" x14ac:dyDescent="0.3">
      <c r="A59" t="s">
        <v>169</v>
      </c>
      <c r="B59" t="s">
        <v>33</v>
      </c>
      <c r="C59" s="6">
        <v>45762</v>
      </c>
      <c r="D59" t="s">
        <v>16</v>
      </c>
      <c r="E59" t="s">
        <v>82</v>
      </c>
      <c r="F59" s="51">
        <v>103</v>
      </c>
      <c r="G59" s="51">
        <v>770</v>
      </c>
      <c r="H59" s="51">
        <v>19</v>
      </c>
      <c r="I59" s="51">
        <v>1030</v>
      </c>
      <c r="J59" s="51">
        <v>410</v>
      </c>
      <c r="K59">
        <v>262</v>
      </c>
      <c r="L59" t="s">
        <v>30</v>
      </c>
      <c r="O59" t="s">
        <v>38</v>
      </c>
      <c r="P59" t="s">
        <v>38</v>
      </c>
      <c r="Q59" s="7">
        <f>(Table1_21718[[#This Row],[Likes]]+Table1_21718[[#This Row],[Shares]]+Table1_21718[[#This Row],[Comments]])/Table1_21718[[#This Row],[Impressions]]</f>
        <v>0.86601941747572819</v>
      </c>
      <c r="R59" s="7">
        <f>Table1_21718[[#This Row],[Likes]]+Table1_21718[[#This Row],[Shares]]+Table1_21718[[#This Row],[Comments]]</f>
        <v>892</v>
      </c>
    </row>
    <row r="60" spans="1:18" x14ac:dyDescent="0.3">
      <c r="A60" t="s">
        <v>171</v>
      </c>
      <c r="B60" t="s">
        <v>33</v>
      </c>
      <c r="C60" s="6">
        <v>45465</v>
      </c>
      <c r="D60" t="s">
        <v>22</v>
      </c>
      <c r="E60" t="s">
        <v>113</v>
      </c>
      <c r="F60" s="51">
        <v>2180</v>
      </c>
      <c r="G60" s="51">
        <v>263</v>
      </c>
      <c r="H60" s="51">
        <v>387</v>
      </c>
      <c r="I60" s="51">
        <v>30520</v>
      </c>
      <c r="J60" s="51">
        <v>30059</v>
      </c>
      <c r="K60">
        <v>174</v>
      </c>
      <c r="L60" t="s">
        <v>37</v>
      </c>
      <c r="P60" t="s">
        <v>19</v>
      </c>
      <c r="Q60" s="7">
        <f>(Table1_21718[[#This Row],[Likes]]+Table1_21718[[#This Row],[Shares]]+Table1_21718[[#This Row],[Comments]])/Table1_21718[[#This Row],[Impressions]]</f>
        <v>9.2726081258191345E-2</v>
      </c>
      <c r="R60" s="7">
        <f>Table1_21718[[#This Row],[Likes]]+Table1_21718[[#This Row],[Shares]]+Table1_21718[[#This Row],[Comments]]</f>
        <v>2830</v>
      </c>
    </row>
    <row r="61" spans="1:18" x14ac:dyDescent="0.3">
      <c r="A61" t="s">
        <v>173</v>
      </c>
      <c r="B61" t="s">
        <v>33</v>
      </c>
      <c r="C61" s="6">
        <v>45685</v>
      </c>
      <c r="D61" t="s">
        <v>74</v>
      </c>
      <c r="E61" t="s">
        <v>85</v>
      </c>
      <c r="F61" s="51">
        <v>904</v>
      </c>
      <c r="G61" s="51">
        <v>973</v>
      </c>
      <c r="H61" s="51">
        <v>63</v>
      </c>
      <c r="I61" s="51">
        <v>11752</v>
      </c>
      <c r="J61" s="5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s="7">
        <f>(Table1_21718[[#This Row],[Likes]]+Table1_21718[[#This Row],[Shares]]+Table1_21718[[#This Row],[Comments]])/Table1_21718[[#This Row],[Impressions]]</f>
        <v>0.1650782845473111</v>
      </c>
      <c r="R61" s="7">
        <f>Table1_21718[[#This Row],[Likes]]+Table1_21718[[#This Row],[Shares]]+Table1_21718[[#This Row],[Comments]]</f>
        <v>1940</v>
      </c>
    </row>
    <row r="62" spans="1:18" x14ac:dyDescent="0.3">
      <c r="A62" t="s">
        <v>176</v>
      </c>
      <c r="B62" t="s">
        <v>14</v>
      </c>
      <c r="C62" s="6">
        <v>45540</v>
      </c>
      <c r="D62" t="s">
        <v>74</v>
      </c>
      <c r="E62" t="s">
        <v>145</v>
      </c>
      <c r="F62" s="51">
        <v>4886</v>
      </c>
      <c r="G62" s="51">
        <v>983</v>
      </c>
      <c r="H62" s="51">
        <v>409</v>
      </c>
      <c r="I62" s="51">
        <v>43974</v>
      </c>
      <c r="J62" s="51">
        <v>43239</v>
      </c>
      <c r="K62">
        <v>65</v>
      </c>
      <c r="L62" t="s">
        <v>30</v>
      </c>
      <c r="O62" t="s">
        <v>19</v>
      </c>
      <c r="P62" t="s">
        <v>19</v>
      </c>
      <c r="Q62" s="7">
        <f>(Table1_21718[[#This Row],[Likes]]+Table1_21718[[#This Row],[Shares]]+Table1_21718[[#This Row],[Comments]])/Table1_21718[[#This Row],[Impressions]]</f>
        <v>0.14276618001546368</v>
      </c>
      <c r="R62" s="7">
        <f>Table1_21718[[#This Row],[Likes]]+Table1_21718[[#This Row],[Shares]]+Table1_21718[[#This Row],[Comments]]</f>
        <v>6278</v>
      </c>
    </row>
    <row r="63" spans="1:18" x14ac:dyDescent="0.3">
      <c r="A63" t="s">
        <v>178</v>
      </c>
      <c r="B63" t="s">
        <v>14</v>
      </c>
      <c r="C63" s="6">
        <v>45618</v>
      </c>
      <c r="D63" t="s">
        <v>45</v>
      </c>
      <c r="E63" t="s">
        <v>49</v>
      </c>
      <c r="F63" s="51">
        <v>53</v>
      </c>
      <c r="G63" s="51">
        <v>81</v>
      </c>
      <c r="H63" s="51">
        <v>379</v>
      </c>
      <c r="I63" s="51">
        <v>954</v>
      </c>
      <c r="J63" s="51">
        <v>7</v>
      </c>
      <c r="K63">
        <v>148</v>
      </c>
      <c r="L63" t="s">
        <v>30</v>
      </c>
      <c r="O63" t="s">
        <v>31</v>
      </c>
      <c r="P63" t="s">
        <v>31</v>
      </c>
      <c r="Q63" s="7">
        <f>(Table1_21718[[#This Row],[Likes]]+Table1_21718[[#This Row],[Shares]]+Table1_21718[[#This Row],[Comments]])/Table1_21718[[#This Row],[Impressions]]</f>
        <v>0.53773584905660377</v>
      </c>
      <c r="R63" s="7">
        <f>Table1_21718[[#This Row],[Likes]]+Table1_21718[[#This Row],[Shares]]+Table1_21718[[#This Row],[Comments]]</f>
        <v>513</v>
      </c>
    </row>
    <row r="64" spans="1:18" x14ac:dyDescent="0.3">
      <c r="A64" t="s">
        <v>180</v>
      </c>
      <c r="B64" t="s">
        <v>14</v>
      </c>
      <c r="C64" s="6">
        <v>45504</v>
      </c>
      <c r="D64" t="s">
        <v>45</v>
      </c>
      <c r="E64" t="s">
        <v>49</v>
      </c>
      <c r="F64" s="51">
        <v>4507</v>
      </c>
      <c r="G64" s="51">
        <v>217</v>
      </c>
      <c r="H64" s="51">
        <v>13</v>
      </c>
      <c r="I64" s="51">
        <v>90140</v>
      </c>
      <c r="J64" s="51">
        <v>89591</v>
      </c>
      <c r="K64">
        <v>125</v>
      </c>
      <c r="L64" t="s">
        <v>62</v>
      </c>
      <c r="O64" t="s">
        <v>31</v>
      </c>
      <c r="P64" t="s">
        <v>31</v>
      </c>
      <c r="Q64" s="7">
        <f>(Table1_21718[[#This Row],[Likes]]+Table1_21718[[#This Row],[Shares]]+Table1_21718[[#This Row],[Comments]])/Table1_21718[[#This Row],[Impressions]]</f>
        <v>5.2551586421122697E-2</v>
      </c>
      <c r="R64" s="7">
        <f>Table1_21718[[#This Row],[Likes]]+Table1_21718[[#This Row],[Shares]]+Table1_21718[[#This Row],[Comments]]</f>
        <v>4737</v>
      </c>
    </row>
    <row r="65" spans="1:18" x14ac:dyDescent="0.3">
      <c r="A65" t="s">
        <v>181</v>
      </c>
      <c r="B65" t="s">
        <v>43</v>
      </c>
      <c r="C65" s="6">
        <v>45521</v>
      </c>
      <c r="D65" t="s">
        <v>52</v>
      </c>
      <c r="E65" t="s">
        <v>59</v>
      </c>
      <c r="F65" s="51">
        <v>2878</v>
      </c>
      <c r="G65" s="51">
        <v>248</v>
      </c>
      <c r="H65" s="51">
        <v>416</v>
      </c>
      <c r="I65" s="51">
        <v>43170</v>
      </c>
      <c r="J65" s="51">
        <v>42667</v>
      </c>
      <c r="K65">
        <v>75</v>
      </c>
      <c r="L65" t="s">
        <v>62</v>
      </c>
      <c r="O65" t="s">
        <v>31</v>
      </c>
      <c r="P65" t="s">
        <v>31</v>
      </c>
      <c r="Q65" s="7">
        <f>(Table1_21718[[#This Row],[Likes]]+Table1_21718[[#This Row],[Shares]]+Table1_21718[[#This Row],[Comments]])/Table1_21718[[#This Row],[Impressions]]</f>
        <v>8.2047718322909427E-2</v>
      </c>
      <c r="R65" s="7">
        <f>Table1_21718[[#This Row],[Likes]]+Table1_21718[[#This Row],[Shares]]+Table1_21718[[#This Row],[Comments]]</f>
        <v>3542</v>
      </c>
    </row>
    <row r="66" spans="1:18" x14ac:dyDescent="0.3">
      <c r="A66" t="s">
        <v>183</v>
      </c>
      <c r="B66" t="s">
        <v>33</v>
      </c>
      <c r="C66" s="6">
        <v>45744</v>
      </c>
      <c r="D66" t="s">
        <v>35</v>
      </c>
      <c r="E66" t="s">
        <v>36</v>
      </c>
      <c r="F66" s="51">
        <v>1881</v>
      </c>
      <c r="G66" s="51">
        <v>501</v>
      </c>
      <c r="H66" s="51">
        <v>99</v>
      </c>
      <c r="I66" s="51">
        <v>20691</v>
      </c>
      <c r="J66" s="51">
        <v>19987</v>
      </c>
      <c r="K66">
        <v>289</v>
      </c>
      <c r="L66" t="s">
        <v>37</v>
      </c>
      <c r="P66" t="s">
        <v>19</v>
      </c>
      <c r="Q66" s="7">
        <f>(Table1_21718[[#This Row],[Likes]]+Table1_21718[[#This Row],[Shares]]+Table1_21718[[#This Row],[Comments]])/Table1_21718[[#This Row],[Impressions]]</f>
        <v>0.11990720603160794</v>
      </c>
      <c r="R66" s="7">
        <f>Table1_21718[[#This Row],[Likes]]+Table1_21718[[#This Row],[Shares]]+Table1_21718[[#This Row],[Comments]]</f>
        <v>2481</v>
      </c>
    </row>
    <row r="67" spans="1:18" x14ac:dyDescent="0.3">
      <c r="A67" t="s">
        <v>185</v>
      </c>
      <c r="B67" t="s">
        <v>14</v>
      </c>
      <c r="C67" s="6">
        <v>45499</v>
      </c>
      <c r="D67" t="s">
        <v>45</v>
      </c>
      <c r="E67" t="s">
        <v>49</v>
      </c>
      <c r="F67" s="51">
        <v>432</v>
      </c>
      <c r="G67" s="51">
        <v>171</v>
      </c>
      <c r="H67" s="51">
        <v>280</v>
      </c>
      <c r="I67" s="51">
        <v>3024</v>
      </c>
      <c r="J67" s="51">
        <v>2285</v>
      </c>
      <c r="K67">
        <v>184</v>
      </c>
      <c r="L67" t="s">
        <v>37</v>
      </c>
      <c r="O67" t="s">
        <v>19</v>
      </c>
      <c r="P67" t="s">
        <v>19</v>
      </c>
      <c r="Q67" s="7">
        <f>(Table1_21718[[#This Row],[Likes]]+Table1_21718[[#This Row],[Shares]]+Table1_21718[[#This Row],[Comments]])/Table1_21718[[#This Row],[Impressions]]</f>
        <v>0.29199735449735448</v>
      </c>
      <c r="R67" s="7">
        <f>Table1_21718[[#This Row],[Likes]]+Table1_21718[[#This Row],[Shares]]+Table1_21718[[#This Row],[Comments]]</f>
        <v>883</v>
      </c>
    </row>
    <row r="68" spans="1:18" x14ac:dyDescent="0.3">
      <c r="A68" t="s">
        <v>187</v>
      </c>
      <c r="B68" t="s">
        <v>43</v>
      </c>
      <c r="C68" s="6">
        <v>45745</v>
      </c>
      <c r="D68" t="s">
        <v>45</v>
      </c>
      <c r="E68" t="s">
        <v>46</v>
      </c>
      <c r="F68" s="51">
        <v>4712</v>
      </c>
      <c r="G68" s="51">
        <v>568</v>
      </c>
      <c r="H68" s="51">
        <v>127</v>
      </c>
      <c r="I68" s="51">
        <v>84816</v>
      </c>
      <c r="J68" s="51">
        <v>84691</v>
      </c>
      <c r="K68">
        <v>100</v>
      </c>
      <c r="L68" t="s">
        <v>37</v>
      </c>
      <c r="O68" t="s">
        <v>31</v>
      </c>
      <c r="P68" t="s">
        <v>31</v>
      </c>
      <c r="Q68" s="7">
        <f>(Table1_21718[[#This Row],[Likes]]+Table1_21718[[#This Row],[Shares]]+Table1_21718[[#This Row],[Comments]])/Table1_21718[[#This Row],[Impressions]]</f>
        <v>6.3749764195434822E-2</v>
      </c>
      <c r="R68" s="7">
        <f>Table1_21718[[#This Row],[Likes]]+Table1_21718[[#This Row],[Shares]]+Table1_21718[[#This Row],[Comments]]</f>
        <v>5407</v>
      </c>
    </row>
    <row r="69" spans="1:18" x14ac:dyDescent="0.3">
      <c r="A69" t="s">
        <v>189</v>
      </c>
      <c r="B69" t="s">
        <v>33</v>
      </c>
      <c r="C69" s="6">
        <v>45634</v>
      </c>
      <c r="D69" t="s">
        <v>35</v>
      </c>
      <c r="E69" t="s">
        <v>36</v>
      </c>
      <c r="F69" s="51">
        <v>2610</v>
      </c>
      <c r="G69" s="51">
        <v>126</v>
      </c>
      <c r="H69" s="51">
        <v>288</v>
      </c>
      <c r="I69" s="51">
        <v>15660</v>
      </c>
      <c r="J69" s="51">
        <v>15145</v>
      </c>
      <c r="K69">
        <v>73</v>
      </c>
      <c r="L69" t="s">
        <v>37</v>
      </c>
      <c r="P69" t="s">
        <v>19</v>
      </c>
      <c r="Q69" s="7">
        <f>(Table1_21718[[#This Row],[Likes]]+Table1_21718[[#This Row],[Shares]]+Table1_21718[[#This Row],[Comments]])/Table1_21718[[#This Row],[Impressions]]</f>
        <v>0.19310344827586207</v>
      </c>
      <c r="R69" s="7">
        <f>Table1_21718[[#This Row],[Likes]]+Table1_21718[[#This Row],[Shares]]+Table1_21718[[#This Row],[Comments]]</f>
        <v>3024</v>
      </c>
    </row>
    <row r="70" spans="1:18" x14ac:dyDescent="0.3">
      <c r="A70" t="s">
        <v>191</v>
      </c>
      <c r="B70" t="s">
        <v>14</v>
      </c>
      <c r="C70" s="6">
        <v>45724</v>
      </c>
      <c r="D70" t="s">
        <v>22</v>
      </c>
      <c r="E70" t="s">
        <v>23</v>
      </c>
      <c r="F70" s="51">
        <v>1292</v>
      </c>
      <c r="G70" s="51">
        <v>626</v>
      </c>
      <c r="H70" s="51">
        <v>496</v>
      </c>
      <c r="I70" s="51">
        <v>25840</v>
      </c>
      <c r="J70" s="51">
        <v>24916</v>
      </c>
      <c r="K70">
        <v>149</v>
      </c>
      <c r="L70" t="s">
        <v>62</v>
      </c>
      <c r="O70" t="s">
        <v>31</v>
      </c>
      <c r="P70" t="s">
        <v>31</v>
      </c>
      <c r="Q70" s="7">
        <f>(Table1_21718[[#This Row],[Likes]]+Table1_21718[[#This Row],[Shares]]+Table1_21718[[#This Row],[Comments]])/Table1_21718[[#This Row],[Impressions]]</f>
        <v>9.3421052631578946E-2</v>
      </c>
      <c r="R70" s="7">
        <f>Table1_21718[[#This Row],[Likes]]+Table1_21718[[#This Row],[Shares]]+Table1_21718[[#This Row],[Comments]]</f>
        <v>2414</v>
      </c>
    </row>
    <row r="71" spans="1:18" x14ac:dyDescent="0.3">
      <c r="A71" t="s">
        <v>192</v>
      </c>
      <c r="B71" t="s">
        <v>43</v>
      </c>
      <c r="C71" s="6">
        <v>45749</v>
      </c>
      <c r="D71" t="s">
        <v>74</v>
      </c>
      <c r="E71" t="s">
        <v>75</v>
      </c>
      <c r="F71" s="51">
        <v>199</v>
      </c>
      <c r="G71" s="51">
        <v>772</v>
      </c>
      <c r="H71" s="51">
        <v>400</v>
      </c>
      <c r="I71" s="51">
        <v>3582</v>
      </c>
      <c r="J71" s="51">
        <v>2988</v>
      </c>
      <c r="K71">
        <v>43</v>
      </c>
      <c r="L71" t="s">
        <v>30</v>
      </c>
      <c r="P71" t="s">
        <v>25</v>
      </c>
      <c r="Q71" s="7">
        <f>(Table1_21718[[#This Row],[Likes]]+Table1_21718[[#This Row],[Shares]]+Table1_21718[[#This Row],[Comments]])/Table1_21718[[#This Row],[Impressions]]</f>
        <v>0.38274706867671693</v>
      </c>
      <c r="R71" s="7">
        <f>Table1_21718[[#This Row],[Likes]]+Table1_21718[[#This Row],[Shares]]+Table1_21718[[#This Row],[Comments]]</f>
        <v>1371</v>
      </c>
    </row>
    <row r="72" spans="1:18" x14ac:dyDescent="0.3">
      <c r="A72" t="s">
        <v>194</v>
      </c>
      <c r="B72" t="s">
        <v>27</v>
      </c>
      <c r="C72" s="6">
        <v>45537</v>
      </c>
      <c r="D72" t="s">
        <v>45</v>
      </c>
      <c r="E72" t="s">
        <v>68</v>
      </c>
      <c r="F72" s="51">
        <v>2551</v>
      </c>
      <c r="G72" s="51">
        <v>915</v>
      </c>
      <c r="H72" s="51">
        <v>205</v>
      </c>
      <c r="I72" s="51">
        <v>30612</v>
      </c>
      <c r="J72" s="51">
        <v>30360</v>
      </c>
      <c r="K72">
        <v>227</v>
      </c>
      <c r="L72" t="s">
        <v>30</v>
      </c>
      <c r="O72" t="s">
        <v>25</v>
      </c>
      <c r="P72" t="s">
        <v>25</v>
      </c>
      <c r="Q72" s="7">
        <f>(Table1_21718[[#This Row],[Likes]]+Table1_21718[[#This Row],[Shares]]+Table1_21718[[#This Row],[Comments]])/Table1_21718[[#This Row],[Impressions]]</f>
        <v>0.1199202926956749</v>
      </c>
      <c r="R72" s="7">
        <f>Table1_21718[[#This Row],[Likes]]+Table1_21718[[#This Row],[Shares]]+Table1_21718[[#This Row],[Comments]]</f>
        <v>3671</v>
      </c>
    </row>
    <row r="73" spans="1:18" x14ac:dyDescent="0.3">
      <c r="A73" t="s">
        <v>196</v>
      </c>
      <c r="B73" t="s">
        <v>27</v>
      </c>
      <c r="C73" s="6">
        <v>45719</v>
      </c>
      <c r="D73" t="s">
        <v>16</v>
      </c>
      <c r="E73" t="s">
        <v>29</v>
      </c>
      <c r="F73" s="51">
        <v>296</v>
      </c>
      <c r="G73" s="51">
        <v>60</v>
      </c>
      <c r="H73" s="51">
        <v>141</v>
      </c>
      <c r="I73" s="51">
        <v>5624</v>
      </c>
      <c r="J73" s="51">
        <v>5239</v>
      </c>
      <c r="K73">
        <v>88</v>
      </c>
      <c r="L73" t="s">
        <v>37</v>
      </c>
      <c r="O73" t="s">
        <v>25</v>
      </c>
      <c r="P73" t="s">
        <v>25</v>
      </c>
      <c r="Q73" s="7">
        <f>(Table1_21718[[#This Row],[Likes]]+Table1_21718[[#This Row],[Shares]]+Table1_21718[[#This Row],[Comments]])/Table1_21718[[#This Row],[Impressions]]</f>
        <v>8.837126600284495E-2</v>
      </c>
      <c r="R73" s="7">
        <f>Table1_21718[[#This Row],[Likes]]+Table1_21718[[#This Row],[Shares]]+Table1_21718[[#This Row],[Comments]]</f>
        <v>497</v>
      </c>
    </row>
    <row r="74" spans="1:18" x14ac:dyDescent="0.3">
      <c r="A74" t="s">
        <v>198</v>
      </c>
      <c r="B74" t="s">
        <v>43</v>
      </c>
      <c r="C74" s="6">
        <v>45583</v>
      </c>
      <c r="D74" t="s">
        <v>35</v>
      </c>
      <c r="E74" t="s">
        <v>71</v>
      </c>
      <c r="F74" s="51">
        <v>4126</v>
      </c>
      <c r="G74" s="51">
        <v>426</v>
      </c>
      <c r="H74" s="51">
        <v>486</v>
      </c>
      <c r="I74" s="51">
        <v>78394</v>
      </c>
      <c r="J74" s="51">
        <v>77798</v>
      </c>
      <c r="K74">
        <v>88</v>
      </c>
      <c r="L74" t="s">
        <v>62</v>
      </c>
      <c r="O74" t="s">
        <v>38</v>
      </c>
      <c r="P74" t="s">
        <v>38</v>
      </c>
      <c r="Q74" s="7">
        <f>(Table1_21718[[#This Row],[Likes]]+Table1_21718[[#This Row],[Shares]]+Table1_21718[[#This Row],[Comments]])/Table1_21718[[#This Row],[Impressions]]</f>
        <v>6.4265122330790625E-2</v>
      </c>
      <c r="R74" s="7">
        <f>Table1_21718[[#This Row],[Likes]]+Table1_21718[[#This Row],[Shares]]+Table1_21718[[#This Row],[Comments]]</f>
        <v>5038</v>
      </c>
    </row>
    <row r="75" spans="1:18" x14ac:dyDescent="0.3">
      <c r="A75" t="s">
        <v>200</v>
      </c>
      <c r="B75" t="s">
        <v>27</v>
      </c>
      <c r="C75" s="6">
        <v>45593</v>
      </c>
      <c r="D75" t="s">
        <v>16</v>
      </c>
      <c r="E75" t="s">
        <v>29</v>
      </c>
      <c r="F75" s="51">
        <v>1855</v>
      </c>
      <c r="G75" s="51">
        <v>200</v>
      </c>
      <c r="H75" s="51">
        <v>174</v>
      </c>
      <c r="I75" s="51">
        <v>16695</v>
      </c>
      <c r="J75" s="51">
        <v>16330</v>
      </c>
      <c r="K75">
        <v>123</v>
      </c>
      <c r="L75" t="s">
        <v>30</v>
      </c>
      <c r="O75" t="s">
        <v>31</v>
      </c>
      <c r="P75" t="s">
        <v>31</v>
      </c>
      <c r="Q75" s="7">
        <f>(Table1_21718[[#This Row],[Likes]]+Table1_21718[[#This Row],[Shares]]+Table1_21718[[#This Row],[Comments]])/Table1_21718[[#This Row],[Impressions]]</f>
        <v>0.13351302785265048</v>
      </c>
      <c r="R75" s="7">
        <f>Table1_21718[[#This Row],[Likes]]+Table1_21718[[#This Row],[Shares]]+Table1_21718[[#This Row],[Comments]]</f>
        <v>2229</v>
      </c>
    </row>
    <row r="76" spans="1:18" x14ac:dyDescent="0.3">
      <c r="A76" t="s">
        <v>202</v>
      </c>
      <c r="B76" t="s">
        <v>33</v>
      </c>
      <c r="C76" s="6">
        <v>45505</v>
      </c>
      <c r="D76" t="s">
        <v>16</v>
      </c>
      <c r="E76" t="s">
        <v>82</v>
      </c>
      <c r="F76" s="51">
        <v>1674</v>
      </c>
      <c r="G76" s="51">
        <v>929</v>
      </c>
      <c r="H76" s="51">
        <v>37</v>
      </c>
      <c r="I76" s="51">
        <v>21762</v>
      </c>
      <c r="J76" s="51">
        <v>20998</v>
      </c>
      <c r="K76">
        <v>255</v>
      </c>
      <c r="L76" t="s">
        <v>30</v>
      </c>
      <c r="O76" t="s">
        <v>38</v>
      </c>
      <c r="P76" t="s">
        <v>38</v>
      </c>
      <c r="Q76" s="7">
        <f>(Table1_21718[[#This Row],[Likes]]+Table1_21718[[#This Row],[Shares]]+Table1_21718[[#This Row],[Comments]])/Table1_21718[[#This Row],[Impressions]]</f>
        <v>0.12131237937689551</v>
      </c>
      <c r="R76" s="7">
        <f>Table1_21718[[#This Row],[Likes]]+Table1_21718[[#This Row],[Shares]]+Table1_21718[[#This Row],[Comments]]</f>
        <v>2640</v>
      </c>
    </row>
    <row r="77" spans="1:18" x14ac:dyDescent="0.3">
      <c r="A77" t="s">
        <v>204</v>
      </c>
      <c r="B77" t="s">
        <v>14</v>
      </c>
      <c r="C77" s="6">
        <v>45603</v>
      </c>
      <c r="D77" t="s">
        <v>35</v>
      </c>
      <c r="E77" t="s">
        <v>149</v>
      </c>
      <c r="F77" s="51">
        <v>1121</v>
      </c>
      <c r="G77" s="51">
        <v>135</v>
      </c>
      <c r="H77" s="51">
        <v>18</v>
      </c>
      <c r="I77" s="51">
        <v>15694</v>
      </c>
      <c r="J77" s="51">
        <v>14957</v>
      </c>
      <c r="K77">
        <v>99</v>
      </c>
      <c r="L77" t="s">
        <v>30</v>
      </c>
      <c r="O77" t="s">
        <v>38</v>
      </c>
      <c r="P77" t="s">
        <v>38</v>
      </c>
      <c r="Q77" s="7">
        <f>(Table1_21718[[#This Row],[Likes]]+Table1_21718[[#This Row],[Shares]]+Table1_21718[[#This Row],[Comments]])/Table1_21718[[#This Row],[Impressions]]</f>
        <v>8.1177520071364848E-2</v>
      </c>
      <c r="R77" s="7">
        <f>Table1_21718[[#This Row],[Likes]]+Table1_21718[[#This Row],[Shares]]+Table1_21718[[#This Row],[Comments]]</f>
        <v>1274</v>
      </c>
    </row>
    <row r="78" spans="1:18" x14ac:dyDescent="0.3">
      <c r="A78" t="s">
        <v>206</v>
      </c>
      <c r="B78" t="s">
        <v>43</v>
      </c>
      <c r="C78" s="6">
        <v>45720</v>
      </c>
      <c r="D78" t="s">
        <v>35</v>
      </c>
      <c r="E78" t="s">
        <v>71</v>
      </c>
      <c r="F78" s="51">
        <v>1249</v>
      </c>
      <c r="G78" s="51">
        <v>116</v>
      </c>
      <c r="H78" s="51">
        <v>420</v>
      </c>
      <c r="I78" s="51">
        <v>8743</v>
      </c>
      <c r="J78" s="51">
        <v>8538</v>
      </c>
      <c r="K78">
        <v>63</v>
      </c>
      <c r="L78" t="s">
        <v>30</v>
      </c>
      <c r="P78" t="s">
        <v>25</v>
      </c>
      <c r="Q78" s="7">
        <f>(Table1_21718[[#This Row],[Likes]]+Table1_21718[[#This Row],[Shares]]+Table1_21718[[#This Row],[Comments]])/Table1_21718[[#This Row],[Impressions]]</f>
        <v>0.20416333066453163</v>
      </c>
      <c r="R78" s="7">
        <f>Table1_21718[[#This Row],[Likes]]+Table1_21718[[#This Row],[Shares]]+Table1_21718[[#This Row],[Comments]]</f>
        <v>1785</v>
      </c>
    </row>
    <row r="79" spans="1:18" x14ac:dyDescent="0.3">
      <c r="A79" t="s">
        <v>207</v>
      </c>
      <c r="B79" t="s">
        <v>14</v>
      </c>
      <c r="C79" s="6">
        <v>45460</v>
      </c>
      <c r="D79" t="s">
        <v>52</v>
      </c>
      <c r="E79" t="s">
        <v>132</v>
      </c>
      <c r="F79" s="51">
        <v>954</v>
      </c>
      <c r="G79" s="51">
        <v>324</v>
      </c>
      <c r="H79" s="51">
        <v>288</v>
      </c>
      <c r="I79" s="51">
        <v>19080</v>
      </c>
      <c r="J79" s="51">
        <v>18859</v>
      </c>
      <c r="K79">
        <v>21</v>
      </c>
      <c r="L79" t="s">
        <v>62</v>
      </c>
      <c r="O79" t="s">
        <v>38</v>
      </c>
      <c r="P79" t="s">
        <v>38</v>
      </c>
      <c r="Q79" s="7">
        <f>(Table1_21718[[#This Row],[Likes]]+Table1_21718[[#This Row],[Shares]]+Table1_21718[[#This Row],[Comments]])/Table1_21718[[#This Row],[Impressions]]</f>
        <v>8.2075471698113203E-2</v>
      </c>
      <c r="R79" s="7">
        <f>Table1_21718[[#This Row],[Likes]]+Table1_21718[[#This Row],[Shares]]+Table1_21718[[#This Row],[Comments]]</f>
        <v>1566</v>
      </c>
    </row>
    <row r="80" spans="1:18" x14ac:dyDescent="0.3">
      <c r="A80" t="s">
        <v>208</v>
      </c>
      <c r="B80" t="s">
        <v>33</v>
      </c>
      <c r="C80" s="6">
        <v>45574</v>
      </c>
      <c r="D80" t="s">
        <v>45</v>
      </c>
      <c r="E80" t="s">
        <v>88</v>
      </c>
      <c r="F80" s="51">
        <v>3068</v>
      </c>
      <c r="G80" s="51">
        <v>137</v>
      </c>
      <c r="H80" s="51">
        <v>329</v>
      </c>
      <c r="I80" s="51">
        <v>39884</v>
      </c>
      <c r="J80" s="51">
        <v>39404</v>
      </c>
      <c r="K80">
        <v>266</v>
      </c>
      <c r="L80" t="s">
        <v>37</v>
      </c>
      <c r="O80" t="s">
        <v>25</v>
      </c>
      <c r="P80" t="s">
        <v>25</v>
      </c>
      <c r="Q80" s="7">
        <f>(Table1_21718[[#This Row],[Likes]]+Table1_21718[[#This Row],[Shares]]+Table1_21718[[#This Row],[Comments]])/Table1_21718[[#This Row],[Impressions]]</f>
        <v>8.860696018453515E-2</v>
      </c>
      <c r="R80" s="7">
        <f>Table1_21718[[#This Row],[Likes]]+Table1_21718[[#This Row],[Shares]]+Table1_21718[[#This Row],[Comments]]</f>
        <v>3534</v>
      </c>
    </row>
    <row r="81" spans="1:18" x14ac:dyDescent="0.3">
      <c r="A81" t="s">
        <v>210</v>
      </c>
      <c r="B81" t="s">
        <v>33</v>
      </c>
      <c r="C81" s="6">
        <v>45456</v>
      </c>
      <c r="D81" t="s">
        <v>35</v>
      </c>
      <c r="E81" t="s">
        <v>36</v>
      </c>
      <c r="F81" s="51">
        <v>2103</v>
      </c>
      <c r="G81" s="51">
        <v>892</v>
      </c>
      <c r="H81" s="51">
        <v>103</v>
      </c>
      <c r="I81" s="51">
        <v>39957</v>
      </c>
      <c r="J81" s="51">
        <v>39466</v>
      </c>
      <c r="K81">
        <v>28</v>
      </c>
      <c r="L81" t="s">
        <v>62</v>
      </c>
      <c r="P81" t="s">
        <v>38</v>
      </c>
      <c r="Q81" s="7">
        <f>(Table1_21718[[#This Row],[Likes]]+Table1_21718[[#This Row],[Shares]]+Table1_21718[[#This Row],[Comments]])/Table1_21718[[#This Row],[Impressions]]</f>
        <v>7.7533348349475686E-2</v>
      </c>
      <c r="R81" s="7">
        <f>Table1_21718[[#This Row],[Likes]]+Table1_21718[[#This Row],[Shares]]+Table1_21718[[#This Row],[Comments]]</f>
        <v>3098</v>
      </c>
    </row>
    <row r="82" spans="1:18" x14ac:dyDescent="0.3">
      <c r="A82" t="s">
        <v>211</v>
      </c>
      <c r="B82" t="s">
        <v>33</v>
      </c>
      <c r="C82" s="6">
        <v>45584</v>
      </c>
      <c r="D82" t="s">
        <v>35</v>
      </c>
      <c r="E82" t="s">
        <v>36</v>
      </c>
      <c r="F82" s="51">
        <v>1816</v>
      </c>
      <c r="G82" s="51">
        <v>29</v>
      </c>
      <c r="H82" s="51">
        <v>41</v>
      </c>
      <c r="I82" s="51">
        <v>19976</v>
      </c>
      <c r="J82" s="51">
        <v>19262</v>
      </c>
      <c r="K82">
        <v>283</v>
      </c>
      <c r="L82" t="s">
        <v>30</v>
      </c>
      <c r="O82" t="s">
        <v>31</v>
      </c>
      <c r="P82" t="s">
        <v>31</v>
      </c>
      <c r="Q82" s="7">
        <f>(Table1_21718[[#This Row],[Likes]]+Table1_21718[[#This Row],[Shares]]+Table1_21718[[#This Row],[Comments]])/Table1_21718[[#This Row],[Impressions]]</f>
        <v>9.4413295955146179E-2</v>
      </c>
      <c r="R82" s="7">
        <f>Table1_21718[[#This Row],[Likes]]+Table1_21718[[#This Row],[Shares]]+Table1_21718[[#This Row],[Comments]]</f>
        <v>1886</v>
      </c>
    </row>
    <row r="83" spans="1:18" x14ac:dyDescent="0.3">
      <c r="A83" t="s">
        <v>213</v>
      </c>
      <c r="B83" t="s">
        <v>33</v>
      </c>
      <c r="C83" s="6">
        <v>45497</v>
      </c>
      <c r="D83" t="s">
        <v>52</v>
      </c>
      <c r="E83" t="s">
        <v>215</v>
      </c>
      <c r="F83" s="51">
        <v>725</v>
      </c>
      <c r="G83" s="51">
        <v>88</v>
      </c>
      <c r="H83" s="51">
        <v>428</v>
      </c>
      <c r="I83" s="51">
        <v>14500</v>
      </c>
      <c r="J83" s="51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s="7">
        <f>(Table1_21718[[#This Row],[Likes]]+Table1_21718[[#This Row],[Shares]]+Table1_21718[[#This Row],[Comments]])/Table1_21718[[#This Row],[Impressions]]</f>
        <v>8.558620689655172E-2</v>
      </c>
      <c r="R83" s="7">
        <f>Table1_21718[[#This Row],[Likes]]+Table1_21718[[#This Row],[Shares]]+Table1_21718[[#This Row],[Comments]]</f>
        <v>1241</v>
      </c>
    </row>
    <row r="84" spans="1:18" x14ac:dyDescent="0.3">
      <c r="A84" t="s">
        <v>217</v>
      </c>
      <c r="B84" t="s">
        <v>27</v>
      </c>
      <c r="C84" s="6">
        <v>45580</v>
      </c>
      <c r="D84" t="s">
        <v>74</v>
      </c>
      <c r="E84" t="s">
        <v>219</v>
      </c>
      <c r="F84" s="51">
        <v>1094</v>
      </c>
      <c r="G84" s="51">
        <v>472</v>
      </c>
      <c r="H84" s="51">
        <v>21</v>
      </c>
      <c r="I84" s="51">
        <v>9846</v>
      </c>
      <c r="J84" s="51">
        <v>9609</v>
      </c>
      <c r="K84">
        <v>112</v>
      </c>
      <c r="L84" t="s">
        <v>37</v>
      </c>
      <c r="P84" t="s">
        <v>19</v>
      </c>
      <c r="Q84" s="7">
        <f>(Table1_21718[[#This Row],[Likes]]+Table1_21718[[#This Row],[Shares]]+Table1_21718[[#This Row],[Comments]])/Table1_21718[[#This Row],[Impressions]]</f>
        <v>0.16118220597196831</v>
      </c>
      <c r="R84" s="7">
        <f>Table1_21718[[#This Row],[Likes]]+Table1_21718[[#This Row],[Shares]]+Table1_21718[[#This Row],[Comments]]</f>
        <v>1587</v>
      </c>
    </row>
    <row r="85" spans="1:18" x14ac:dyDescent="0.3">
      <c r="A85" t="s">
        <v>220</v>
      </c>
      <c r="B85" t="s">
        <v>43</v>
      </c>
      <c r="C85" s="6">
        <v>45635</v>
      </c>
      <c r="D85" t="s">
        <v>52</v>
      </c>
      <c r="E85" t="s">
        <v>59</v>
      </c>
      <c r="F85" s="51">
        <v>1841</v>
      </c>
      <c r="G85" s="51">
        <v>851</v>
      </c>
      <c r="H85" s="51">
        <v>342</v>
      </c>
      <c r="I85" s="51">
        <v>34979</v>
      </c>
      <c r="J85" s="51">
        <v>34154</v>
      </c>
      <c r="K85">
        <v>255</v>
      </c>
      <c r="L85" t="s">
        <v>62</v>
      </c>
      <c r="O85" t="s">
        <v>38</v>
      </c>
      <c r="P85" t="s">
        <v>38</v>
      </c>
      <c r="Q85" s="7">
        <f>(Table1_21718[[#This Row],[Likes]]+Table1_21718[[#This Row],[Shares]]+Table1_21718[[#This Row],[Comments]])/Table1_21718[[#This Row],[Impressions]]</f>
        <v>8.6737756939878216E-2</v>
      </c>
      <c r="R85" s="7">
        <f>Table1_21718[[#This Row],[Likes]]+Table1_21718[[#This Row],[Shares]]+Table1_21718[[#This Row],[Comments]]</f>
        <v>3034</v>
      </c>
    </row>
    <row r="86" spans="1:18" x14ac:dyDescent="0.3">
      <c r="A86" t="s">
        <v>222</v>
      </c>
      <c r="B86" t="s">
        <v>33</v>
      </c>
      <c r="C86" s="6">
        <v>45766</v>
      </c>
      <c r="D86" t="s">
        <v>52</v>
      </c>
      <c r="E86" t="s">
        <v>215</v>
      </c>
      <c r="F86" s="51">
        <v>4177</v>
      </c>
      <c r="G86" s="51">
        <v>569</v>
      </c>
      <c r="H86" s="51">
        <v>55</v>
      </c>
      <c r="I86" s="51">
        <v>25062</v>
      </c>
      <c r="J86" s="51">
        <v>24847</v>
      </c>
      <c r="K86">
        <v>230</v>
      </c>
      <c r="L86" t="s">
        <v>62</v>
      </c>
      <c r="O86" t="s">
        <v>19</v>
      </c>
      <c r="P86" t="s">
        <v>19</v>
      </c>
      <c r="Q86" s="7">
        <f>(Table1_21718[[#This Row],[Likes]]+Table1_21718[[#This Row],[Shares]]+Table1_21718[[#This Row],[Comments]])/Table1_21718[[#This Row],[Impressions]]</f>
        <v>0.19156491900087783</v>
      </c>
      <c r="R86" s="7">
        <f>Table1_21718[[#This Row],[Likes]]+Table1_21718[[#This Row],[Shares]]+Table1_21718[[#This Row],[Comments]]</f>
        <v>4801</v>
      </c>
    </row>
    <row r="87" spans="1:18" x14ac:dyDescent="0.3">
      <c r="A87" t="s">
        <v>223</v>
      </c>
      <c r="B87" t="s">
        <v>27</v>
      </c>
      <c r="C87" s="6">
        <v>45684</v>
      </c>
      <c r="D87" t="s">
        <v>22</v>
      </c>
      <c r="E87" t="s">
        <v>104</v>
      </c>
      <c r="F87" s="51">
        <v>3428</v>
      </c>
      <c r="G87" s="51">
        <v>305</v>
      </c>
      <c r="H87" s="51">
        <v>85</v>
      </c>
      <c r="I87" s="51">
        <v>58276</v>
      </c>
      <c r="J87" s="51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  <c r="Q87" s="7">
        <f>(Table1_21718[[#This Row],[Likes]]+Table1_21718[[#This Row],[Shares]]+Table1_21718[[#This Row],[Comments]])/Table1_21718[[#This Row],[Impressions]]</f>
        <v>6.5515821264328367E-2</v>
      </c>
      <c r="R87" s="7">
        <f>Table1_21718[[#This Row],[Likes]]+Table1_21718[[#This Row],[Shares]]+Table1_21718[[#This Row],[Comments]]</f>
        <v>3818</v>
      </c>
    </row>
    <row r="88" spans="1:18" x14ac:dyDescent="0.3">
      <c r="A88" t="s">
        <v>225</v>
      </c>
      <c r="B88" t="s">
        <v>14</v>
      </c>
      <c r="C88" s="6">
        <v>45449</v>
      </c>
      <c r="D88" t="s">
        <v>74</v>
      </c>
      <c r="E88" t="s">
        <v>145</v>
      </c>
      <c r="F88" s="51">
        <v>1436</v>
      </c>
      <c r="G88" s="51">
        <v>765</v>
      </c>
      <c r="H88" s="51">
        <v>496</v>
      </c>
      <c r="I88" s="51">
        <v>12924</v>
      </c>
      <c r="J88" s="51">
        <v>12701</v>
      </c>
      <c r="K88">
        <v>197</v>
      </c>
      <c r="L88" t="s">
        <v>62</v>
      </c>
      <c r="O88" t="s">
        <v>31</v>
      </c>
      <c r="P88" t="s">
        <v>31</v>
      </c>
      <c r="Q88" s="7">
        <f>(Table1_21718[[#This Row],[Likes]]+Table1_21718[[#This Row],[Shares]]+Table1_21718[[#This Row],[Comments]])/Table1_21718[[#This Row],[Impressions]]</f>
        <v>0.20868152274837512</v>
      </c>
      <c r="R88" s="7">
        <f>Table1_21718[[#This Row],[Likes]]+Table1_21718[[#This Row],[Shares]]+Table1_21718[[#This Row],[Comments]]</f>
        <v>2697</v>
      </c>
    </row>
    <row r="89" spans="1:18" x14ac:dyDescent="0.3">
      <c r="A89" t="s">
        <v>227</v>
      </c>
      <c r="B89" t="s">
        <v>43</v>
      </c>
      <c r="C89" s="6">
        <v>45480</v>
      </c>
      <c r="D89" t="s">
        <v>35</v>
      </c>
      <c r="E89" t="s">
        <v>71</v>
      </c>
      <c r="F89" s="51">
        <v>302</v>
      </c>
      <c r="G89" s="51">
        <v>47</v>
      </c>
      <c r="H89" s="51">
        <v>430</v>
      </c>
      <c r="I89" s="51">
        <v>5738</v>
      </c>
      <c r="J89" s="51">
        <v>4890</v>
      </c>
      <c r="K89">
        <v>25</v>
      </c>
      <c r="L89" t="s">
        <v>30</v>
      </c>
      <c r="O89" t="s">
        <v>38</v>
      </c>
      <c r="P89" t="s">
        <v>38</v>
      </c>
      <c r="Q89" s="7">
        <f>(Table1_21718[[#This Row],[Likes]]+Table1_21718[[#This Row],[Shares]]+Table1_21718[[#This Row],[Comments]])/Table1_21718[[#This Row],[Impressions]]</f>
        <v>0.13576158940397351</v>
      </c>
      <c r="R89" s="7">
        <f>Table1_21718[[#This Row],[Likes]]+Table1_21718[[#This Row],[Shares]]+Table1_21718[[#This Row],[Comments]]</f>
        <v>779</v>
      </c>
    </row>
    <row r="90" spans="1:18" x14ac:dyDescent="0.3">
      <c r="A90" t="s">
        <v>229</v>
      </c>
      <c r="B90" t="s">
        <v>14</v>
      </c>
      <c r="C90" s="6">
        <v>45667</v>
      </c>
      <c r="D90" t="s">
        <v>52</v>
      </c>
      <c r="E90" t="s">
        <v>132</v>
      </c>
      <c r="F90" s="51">
        <v>2214</v>
      </c>
      <c r="G90" s="51">
        <v>249</v>
      </c>
      <c r="H90" s="51">
        <v>152</v>
      </c>
      <c r="I90" s="51">
        <v>15498</v>
      </c>
      <c r="J90" s="51">
        <v>14800</v>
      </c>
      <c r="K90">
        <v>180</v>
      </c>
      <c r="L90" t="s">
        <v>37</v>
      </c>
      <c r="P90" t="s">
        <v>19</v>
      </c>
      <c r="Q90" s="7">
        <f>(Table1_21718[[#This Row],[Likes]]+Table1_21718[[#This Row],[Shares]]+Table1_21718[[#This Row],[Comments]])/Table1_21718[[#This Row],[Impressions]]</f>
        <v>0.16873144921925409</v>
      </c>
      <c r="R90" s="7">
        <f>Table1_21718[[#This Row],[Likes]]+Table1_21718[[#This Row],[Shares]]+Table1_21718[[#This Row],[Comments]]</f>
        <v>2615</v>
      </c>
    </row>
    <row r="91" spans="1:18" x14ac:dyDescent="0.3">
      <c r="A91" t="s">
        <v>231</v>
      </c>
      <c r="B91" t="s">
        <v>33</v>
      </c>
      <c r="C91" s="6">
        <v>45446</v>
      </c>
      <c r="D91" t="s">
        <v>52</v>
      </c>
      <c r="E91" t="s">
        <v>215</v>
      </c>
      <c r="F91" s="51">
        <v>3861</v>
      </c>
      <c r="G91" s="51">
        <v>960</v>
      </c>
      <c r="H91" s="51">
        <v>101</v>
      </c>
      <c r="I91" s="51">
        <v>69498</v>
      </c>
      <c r="J91" s="51">
        <v>68817</v>
      </c>
      <c r="K91">
        <v>297</v>
      </c>
      <c r="L91" t="s">
        <v>30</v>
      </c>
      <c r="O91" t="s">
        <v>38</v>
      </c>
      <c r="P91" t="s">
        <v>38</v>
      </c>
      <c r="Q91" s="7">
        <f>(Table1_21718[[#This Row],[Likes]]+Table1_21718[[#This Row],[Shares]]+Table1_21718[[#This Row],[Comments]])/Table1_21718[[#This Row],[Impressions]]</f>
        <v>7.0822181933293038E-2</v>
      </c>
      <c r="R91" s="7">
        <f>Table1_21718[[#This Row],[Likes]]+Table1_21718[[#This Row],[Shares]]+Table1_21718[[#This Row],[Comments]]</f>
        <v>4922</v>
      </c>
    </row>
    <row r="92" spans="1:18" x14ac:dyDescent="0.3">
      <c r="A92" t="s">
        <v>233</v>
      </c>
      <c r="B92" t="s">
        <v>43</v>
      </c>
      <c r="C92" s="6">
        <v>45740</v>
      </c>
      <c r="D92" t="s">
        <v>52</v>
      </c>
      <c r="E92" t="s">
        <v>59</v>
      </c>
      <c r="F92" s="51">
        <v>1263</v>
      </c>
      <c r="G92" s="51">
        <v>397</v>
      </c>
      <c r="H92" s="51">
        <v>357</v>
      </c>
      <c r="I92" s="51">
        <v>25260</v>
      </c>
      <c r="J92" s="51">
        <v>24615</v>
      </c>
      <c r="K92">
        <v>137</v>
      </c>
      <c r="L92" t="s">
        <v>37</v>
      </c>
      <c r="O92" t="s">
        <v>38</v>
      </c>
      <c r="P92" t="s">
        <v>38</v>
      </c>
      <c r="Q92" s="7">
        <f>(Table1_21718[[#This Row],[Likes]]+Table1_21718[[#This Row],[Shares]]+Table1_21718[[#This Row],[Comments]])/Table1_21718[[#This Row],[Impressions]]</f>
        <v>7.984956452889945E-2</v>
      </c>
      <c r="R92" s="7">
        <f>Table1_21718[[#This Row],[Likes]]+Table1_21718[[#This Row],[Shares]]+Table1_21718[[#This Row],[Comments]]</f>
        <v>2017</v>
      </c>
    </row>
    <row r="93" spans="1:18" x14ac:dyDescent="0.3">
      <c r="A93" t="s">
        <v>235</v>
      </c>
      <c r="B93" t="s">
        <v>14</v>
      </c>
      <c r="C93" s="6">
        <v>45586</v>
      </c>
      <c r="D93" t="s">
        <v>35</v>
      </c>
      <c r="E93" t="s">
        <v>149</v>
      </c>
      <c r="F93" s="51">
        <v>3801</v>
      </c>
      <c r="G93" s="51">
        <v>967</v>
      </c>
      <c r="H93" s="51">
        <v>401</v>
      </c>
      <c r="I93" s="51">
        <v>38010</v>
      </c>
      <c r="J93" s="51">
        <v>37625</v>
      </c>
      <c r="K93">
        <v>236</v>
      </c>
      <c r="L93" t="s">
        <v>62</v>
      </c>
      <c r="O93" t="s">
        <v>31</v>
      </c>
      <c r="P93" t="s">
        <v>31</v>
      </c>
      <c r="Q93" s="7">
        <f>(Table1_21718[[#This Row],[Likes]]+Table1_21718[[#This Row],[Shares]]+Table1_21718[[#This Row],[Comments]])/Table1_21718[[#This Row],[Impressions]]</f>
        <v>0.13599052880820836</v>
      </c>
      <c r="R93" s="7">
        <f>Table1_21718[[#This Row],[Likes]]+Table1_21718[[#This Row],[Shares]]+Table1_21718[[#This Row],[Comments]]</f>
        <v>5169</v>
      </c>
    </row>
    <row r="94" spans="1:18" x14ac:dyDescent="0.3">
      <c r="A94" t="s">
        <v>236</v>
      </c>
      <c r="B94" t="s">
        <v>33</v>
      </c>
      <c r="C94" s="6">
        <v>45637</v>
      </c>
      <c r="D94" t="s">
        <v>74</v>
      </c>
      <c r="E94" t="s">
        <v>85</v>
      </c>
      <c r="F94" s="51">
        <v>1431</v>
      </c>
      <c r="G94" s="51">
        <v>951</v>
      </c>
      <c r="H94" s="51">
        <v>26</v>
      </c>
      <c r="I94" s="51">
        <v>8586</v>
      </c>
      <c r="J94" s="51">
        <v>8396</v>
      </c>
      <c r="K94">
        <v>150</v>
      </c>
      <c r="L94" t="s">
        <v>37</v>
      </c>
      <c r="O94" t="s">
        <v>31</v>
      </c>
      <c r="P94" t="s">
        <v>31</v>
      </c>
      <c r="Q94" s="7">
        <f>(Table1_21718[[#This Row],[Likes]]+Table1_21718[[#This Row],[Shares]]+Table1_21718[[#This Row],[Comments]])/Table1_21718[[#This Row],[Impressions]]</f>
        <v>0.28045655718611695</v>
      </c>
      <c r="R94" s="7">
        <f>Table1_21718[[#This Row],[Likes]]+Table1_21718[[#This Row],[Shares]]+Table1_21718[[#This Row],[Comments]]</f>
        <v>2408</v>
      </c>
    </row>
    <row r="95" spans="1:18" x14ac:dyDescent="0.3">
      <c r="A95" t="s">
        <v>238</v>
      </c>
      <c r="B95" t="s">
        <v>33</v>
      </c>
      <c r="C95" s="6">
        <v>45603</v>
      </c>
      <c r="D95" t="s">
        <v>52</v>
      </c>
      <c r="E95" t="s">
        <v>215</v>
      </c>
      <c r="F95" s="51">
        <v>2647</v>
      </c>
      <c r="G95" s="51">
        <v>304</v>
      </c>
      <c r="H95" s="51">
        <v>170</v>
      </c>
      <c r="I95" s="51">
        <v>18529</v>
      </c>
      <c r="J95" s="51">
        <v>17841</v>
      </c>
      <c r="K95">
        <v>46</v>
      </c>
      <c r="L95" t="s">
        <v>62</v>
      </c>
      <c r="O95" t="s">
        <v>31</v>
      </c>
      <c r="P95" t="s">
        <v>31</v>
      </c>
      <c r="Q95" s="7">
        <f>(Table1_21718[[#This Row],[Likes]]+Table1_21718[[#This Row],[Shares]]+Table1_21718[[#This Row],[Comments]])/Table1_21718[[#This Row],[Impressions]]</f>
        <v>0.16843866371633656</v>
      </c>
      <c r="R95" s="7">
        <f>Table1_21718[[#This Row],[Likes]]+Table1_21718[[#This Row],[Shares]]+Table1_21718[[#This Row],[Comments]]</f>
        <v>3121</v>
      </c>
    </row>
    <row r="96" spans="1:18" x14ac:dyDescent="0.3">
      <c r="A96" t="s">
        <v>239</v>
      </c>
      <c r="B96" t="s">
        <v>33</v>
      </c>
      <c r="C96" s="6">
        <v>45604</v>
      </c>
      <c r="D96" t="s">
        <v>22</v>
      </c>
      <c r="E96" t="s">
        <v>113</v>
      </c>
      <c r="F96" s="51">
        <v>3182</v>
      </c>
      <c r="G96" s="51">
        <v>559</v>
      </c>
      <c r="H96" s="51">
        <v>160</v>
      </c>
      <c r="I96" s="51">
        <v>57276</v>
      </c>
      <c r="J96" s="51">
        <v>56890</v>
      </c>
      <c r="K96">
        <v>163</v>
      </c>
      <c r="L96" t="s">
        <v>62</v>
      </c>
      <c r="O96" t="s">
        <v>38</v>
      </c>
      <c r="P96" t="s">
        <v>38</v>
      </c>
      <c r="Q96" s="7">
        <f>(Table1_21718[[#This Row],[Likes]]+Table1_21718[[#This Row],[Shares]]+Table1_21718[[#This Row],[Comments]])/Table1_21718[[#This Row],[Impressions]]</f>
        <v>6.8108806480899509E-2</v>
      </c>
      <c r="R96" s="7">
        <f>Table1_21718[[#This Row],[Likes]]+Table1_21718[[#This Row],[Shares]]+Table1_21718[[#This Row],[Comments]]</f>
        <v>3901</v>
      </c>
    </row>
    <row r="97" spans="1:18" x14ac:dyDescent="0.3">
      <c r="A97" t="s">
        <v>241</v>
      </c>
      <c r="B97" t="s">
        <v>14</v>
      </c>
      <c r="C97" s="6">
        <v>45545</v>
      </c>
      <c r="D97" t="s">
        <v>52</v>
      </c>
      <c r="E97" t="s">
        <v>132</v>
      </c>
      <c r="F97" s="51">
        <v>1238</v>
      </c>
      <c r="G97" s="51">
        <v>366</v>
      </c>
      <c r="H97" s="51">
        <v>444</v>
      </c>
      <c r="I97" s="51">
        <v>19808</v>
      </c>
      <c r="J97" s="51">
        <v>19334</v>
      </c>
      <c r="K97">
        <v>123</v>
      </c>
      <c r="L97" t="s">
        <v>62</v>
      </c>
      <c r="P97" t="s">
        <v>38</v>
      </c>
      <c r="Q97" s="7">
        <f>(Table1_21718[[#This Row],[Likes]]+Table1_21718[[#This Row],[Shares]]+Table1_21718[[#This Row],[Comments]])/Table1_21718[[#This Row],[Impressions]]</f>
        <v>0.10339256865912763</v>
      </c>
      <c r="R97" s="7">
        <f>Table1_21718[[#This Row],[Likes]]+Table1_21718[[#This Row],[Shares]]+Table1_21718[[#This Row],[Comments]]</f>
        <v>2048</v>
      </c>
    </row>
    <row r="98" spans="1:18" x14ac:dyDescent="0.3">
      <c r="A98" t="s">
        <v>243</v>
      </c>
      <c r="B98" t="s">
        <v>33</v>
      </c>
      <c r="C98" s="6">
        <v>45517</v>
      </c>
      <c r="D98" t="s">
        <v>52</v>
      </c>
      <c r="E98" t="s">
        <v>215</v>
      </c>
      <c r="F98" s="51">
        <v>4739</v>
      </c>
      <c r="G98" s="51">
        <v>527</v>
      </c>
      <c r="H98" s="51">
        <v>135</v>
      </c>
      <c r="I98" s="51">
        <v>61607</v>
      </c>
      <c r="J98" s="51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  <c r="Q98" s="7">
        <f>(Table1_21718[[#This Row],[Likes]]+Table1_21718[[#This Row],[Shares]]+Table1_21718[[#This Row],[Comments]])/Table1_21718[[#This Row],[Impressions]]</f>
        <v>8.7668609086629767E-2</v>
      </c>
      <c r="R98" s="7">
        <f>Table1_21718[[#This Row],[Likes]]+Table1_21718[[#This Row],[Shares]]+Table1_21718[[#This Row],[Comments]]</f>
        <v>5401</v>
      </c>
    </row>
    <row r="99" spans="1:18" x14ac:dyDescent="0.3">
      <c r="A99" t="s">
        <v>245</v>
      </c>
      <c r="B99" t="s">
        <v>14</v>
      </c>
      <c r="C99" s="6">
        <v>45453</v>
      </c>
      <c r="D99" t="s">
        <v>35</v>
      </c>
      <c r="E99" t="s">
        <v>149</v>
      </c>
      <c r="F99" s="51">
        <v>1575</v>
      </c>
      <c r="G99" s="51">
        <v>771</v>
      </c>
      <c r="H99" s="51">
        <v>486</v>
      </c>
      <c r="I99" s="51">
        <v>25200</v>
      </c>
      <c r="J99" s="51">
        <v>24826</v>
      </c>
      <c r="K99">
        <v>17</v>
      </c>
      <c r="L99" t="s">
        <v>62</v>
      </c>
      <c r="O99" t="s">
        <v>38</v>
      </c>
      <c r="P99" t="s">
        <v>38</v>
      </c>
      <c r="Q99" s="7">
        <f>(Table1_21718[[#This Row],[Likes]]+Table1_21718[[#This Row],[Shares]]+Table1_21718[[#This Row],[Comments]])/Table1_21718[[#This Row],[Impressions]]</f>
        <v>0.11238095238095239</v>
      </c>
      <c r="R99" s="7">
        <f>Table1_21718[[#This Row],[Likes]]+Table1_21718[[#This Row],[Shares]]+Table1_21718[[#This Row],[Comments]]</f>
        <v>2832</v>
      </c>
    </row>
    <row r="100" spans="1:18" x14ac:dyDescent="0.3">
      <c r="A100" t="s">
        <v>246</v>
      </c>
      <c r="B100" t="s">
        <v>27</v>
      </c>
      <c r="C100" s="6">
        <v>45475</v>
      </c>
      <c r="D100" t="s">
        <v>45</v>
      </c>
      <c r="E100" t="s">
        <v>68</v>
      </c>
      <c r="F100" s="51">
        <v>4171</v>
      </c>
      <c r="G100" s="51">
        <v>548</v>
      </c>
      <c r="H100" s="51">
        <v>86</v>
      </c>
      <c r="I100" s="51">
        <v>66736</v>
      </c>
      <c r="J100" s="51">
        <v>66634</v>
      </c>
      <c r="K100">
        <v>173</v>
      </c>
      <c r="L100" t="s">
        <v>62</v>
      </c>
      <c r="O100" t="s">
        <v>31</v>
      </c>
      <c r="P100" t="s">
        <v>31</v>
      </c>
      <c r="Q100" s="7">
        <f>(Table1_21718[[#This Row],[Likes]]+Table1_21718[[#This Row],[Shares]]+Table1_21718[[#This Row],[Comments]])/Table1_21718[[#This Row],[Impressions]]</f>
        <v>7.2000119875329657E-2</v>
      </c>
      <c r="R100" s="7">
        <f>Table1_21718[[#This Row],[Likes]]+Table1_21718[[#This Row],[Shares]]+Table1_21718[[#This Row],[Comments]]</f>
        <v>4805</v>
      </c>
    </row>
    <row r="101" spans="1:18" x14ac:dyDescent="0.3">
      <c r="A101" t="s">
        <v>248</v>
      </c>
      <c r="B101" t="s">
        <v>27</v>
      </c>
      <c r="C101" s="6">
        <v>45698</v>
      </c>
      <c r="D101" t="s">
        <v>74</v>
      </c>
      <c r="E101" t="s">
        <v>219</v>
      </c>
      <c r="F101" s="51">
        <v>1766</v>
      </c>
      <c r="G101" s="51">
        <v>92</v>
      </c>
      <c r="H101" s="51">
        <v>424</v>
      </c>
      <c r="I101" s="51">
        <v>24724</v>
      </c>
      <c r="J101" s="51">
        <v>24333</v>
      </c>
      <c r="K101">
        <v>52</v>
      </c>
      <c r="L101" t="s">
        <v>37</v>
      </c>
      <c r="P101" t="s">
        <v>19</v>
      </c>
      <c r="Q101" s="7">
        <f>(Table1_21718[[#This Row],[Likes]]+Table1_21718[[#This Row],[Shares]]+Table1_21718[[#This Row],[Comments]])/Table1_21718[[#This Row],[Impressions]]</f>
        <v>9.2298980747451867E-2</v>
      </c>
      <c r="R101" s="7">
        <f>Table1_21718[[#This Row],[Likes]]+Table1_21718[[#This Row],[Shares]]+Table1_21718[[#This Row],[Comments]]</f>
        <v>2282</v>
      </c>
    </row>
    <row r="102" spans="1:18" x14ac:dyDescent="0.3">
      <c r="A102" t="s">
        <v>250</v>
      </c>
      <c r="B102" t="s">
        <v>27</v>
      </c>
      <c r="C102" s="6">
        <v>45583</v>
      </c>
      <c r="D102" t="s">
        <v>74</v>
      </c>
      <c r="E102" t="s">
        <v>219</v>
      </c>
      <c r="F102" s="51">
        <v>4450</v>
      </c>
      <c r="G102" s="51">
        <v>983</v>
      </c>
      <c r="H102" s="51">
        <v>143</v>
      </c>
      <c r="I102" s="51">
        <v>75650</v>
      </c>
      <c r="J102" s="51">
        <v>75008</v>
      </c>
      <c r="K102">
        <v>12</v>
      </c>
      <c r="L102" t="s">
        <v>62</v>
      </c>
      <c r="O102" t="s">
        <v>31</v>
      </c>
      <c r="P102" t="s">
        <v>31</v>
      </c>
      <c r="Q102" s="7">
        <f>(Table1_21718[[#This Row],[Likes]]+Table1_21718[[#This Row],[Shares]]+Table1_21718[[#This Row],[Comments]])/Table1_21718[[#This Row],[Impressions]]</f>
        <v>7.3707865168539333E-2</v>
      </c>
      <c r="R102" s="7">
        <f>Table1_21718[[#This Row],[Likes]]+Table1_21718[[#This Row],[Shares]]+Table1_21718[[#This Row],[Comments]]</f>
        <v>5576</v>
      </c>
    </row>
    <row r="103" spans="1:18" x14ac:dyDescent="0.3">
      <c r="A103" t="s">
        <v>251</v>
      </c>
      <c r="B103" t="s">
        <v>14</v>
      </c>
      <c r="C103" s="6">
        <v>45553</v>
      </c>
      <c r="D103" t="s">
        <v>16</v>
      </c>
      <c r="E103" t="s">
        <v>17</v>
      </c>
      <c r="F103" s="51">
        <v>1000</v>
      </c>
      <c r="G103" s="51">
        <v>978</v>
      </c>
      <c r="H103" s="51">
        <v>162</v>
      </c>
      <c r="I103" s="51">
        <v>6000</v>
      </c>
      <c r="J103" s="51">
        <v>5221</v>
      </c>
      <c r="K103">
        <v>223</v>
      </c>
      <c r="L103" t="s">
        <v>37</v>
      </c>
      <c r="O103" t="s">
        <v>25</v>
      </c>
      <c r="P103" t="s">
        <v>25</v>
      </c>
      <c r="Q103" s="7">
        <f>(Table1_21718[[#This Row],[Likes]]+Table1_21718[[#This Row],[Shares]]+Table1_21718[[#This Row],[Comments]])/Table1_21718[[#This Row],[Impressions]]</f>
        <v>0.35666666666666669</v>
      </c>
      <c r="R103" s="7">
        <f>Table1_21718[[#This Row],[Likes]]+Table1_21718[[#This Row],[Shares]]+Table1_21718[[#This Row],[Comments]]</f>
        <v>2140</v>
      </c>
    </row>
    <row r="104" spans="1:18" x14ac:dyDescent="0.3">
      <c r="A104" t="s">
        <v>253</v>
      </c>
      <c r="B104" t="s">
        <v>43</v>
      </c>
      <c r="C104" s="6">
        <v>45454</v>
      </c>
      <c r="D104" t="s">
        <v>52</v>
      </c>
      <c r="E104" t="s">
        <v>59</v>
      </c>
      <c r="F104" s="51">
        <v>3689</v>
      </c>
      <c r="G104" s="51">
        <v>48</v>
      </c>
      <c r="H104" s="51">
        <v>306</v>
      </c>
      <c r="I104" s="51">
        <v>40579</v>
      </c>
      <c r="J104" s="51">
        <v>39588</v>
      </c>
      <c r="K104">
        <v>212</v>
      </c>
      <c r="L104" t="s">
        <v>37</v>
      </c>
      <c r="O104" t="s">
        <v>25</v>
      </c>
      <c r="P104" t="s">
        <v>25</v>
      </c>
      <c r="Q104" s="7">
        <f>(Table1_21718[[#This Row],[Likes]]+Table1_21718[[#This Row],[Shares]]+Table1_21718[[#This Row],[Comments]])/Table1_21718[[#This Row],[Impressions]]</f>
        <v>9.9632815002833983E-2</v>
      </c>
      <c r="R104" s="7">
        <f>Table1_21718[[#This Row],[Likes]]+Table1_21718[[#This Row],[Shares]]+Table1_21718[[#This Row],[Comments]]</f>
        <v>4043</v>
      </c>
    </row>
    <row r="105" spans="1:18" x14ac:dyDescent="0.3">
      <c r="A105" t="s">
        <v>255</v>
      </c>
      <c r="B105" t="s">
        <v>27</v>
      </c>
      <c r="C105" s="6">
        <v>45739</v>
      </c>
      <c r="D105" t="s">
        <v>35</v>
      </c>
      <c r="E105" t="s">
        <v>154</v>
      </c>
      <c r="F105" s="51">
        <v>3655</v>
      </c>
      <c r="G105" s="51">
        <v>568</v>
      </c>
      <c r="H105" s="51">
        <v>286</v>
      </c>
      <c r="I105" s="51">
        <v>32895</v>
      </c>
      <c r="J105" s="51">
        <v>32015</v>
      </c>
      <c r="K105">
        <v>199</v>
      </c>
      <c r="L105" t="s">
        <v>30</v>
      </c>
      <c r="O105" t="s">
        <v>31</v>
      </c>
      <c r="P105" t="s">
        <v>31</v>
      </c>
      <c r="Q105" s="7">
        <f>(Table1_21718[[#This Row],[Likes]]+Table1_21718[[#This Row],[Shares]]+Table1_21718[[#This Row],[Comments]])/Table1_21718[[#This Row],[Impressions]]</f>
        <v>0.13707250341997265</v>
      </c>
      <c r="R105" s="7">
        <f>Table1_21718[[#This Row],[Likes]]+Table1_21718[[#This Row],[Shares]]+Table1_21718[[#This Row],[Comments]]</f>
        <v>4509</v>
      </c>
    </row>
    <row r="106" spans="1:18" x14ac:dyDescent="0.3">
      <c r="A106" t="s">
        <v>257</v>
      </c>
      <c r="B106" t="s">
        <v>33</v>
      </c>
      <c r="C106" s="6">
        <v>45457</v>
      </c>
      <c r="D106" t="s">
        <v>45</v>
      </c>
      <c r="E106" t="s">
        <v>88</v>
      </c>
      <c r="F106" s="51">
        <v>498</v>
      </c>
      <c r="G106" s="51">
        <v>38</v>
      </c>
      <c r="H106" s="51">
        <v>42</v>
      </c>
      <c r="I106" s="51">
        <v>4482</v>
      </c>
      <c r="J106" s="51">
        <v>3647</v>
      </c>
      <c r="K106">
        <v>32</v>
      </c>
      <c r="L106" t="s">
        <v>62</v>
      </c>
      <c r="O106" t="s">
        <v>19</v>
      </c>
      <c r="P106" t="s">
        <v>19</v>
      </c>
      <c r="Q106" s="7">
        <f>(Table1_21718[[#This Row],[Likes]]+Table1_21718[[#This Row],[Shares]]+Table1_21718[[#This Row],[Comments]])/Table1_21718[[#This Row],[Impressions]]</f>
        <v>0.12896028558679162</v>
      </c>
      <c r="R106" s="7">
        <f>Table1_21718[[#This Row],[Likes]]+Table1_21718[[#This Row],[Shares]]+Table1_21718[[#This Row],[Comments]]</f>
        <v>578</v>
      </c>
    </row>
    <row r="107" spans="1:18" x14ac:dyDescent="0.3">
      <c r="A107" t="s">
        <v>259</v>
      </c>
      <c r="B107" t="s">
        <v>33</v>
      </c>
      <c r="C107" s="6">
        <v>45692</v>
      </c>
      <c r="D107" t="s">
        <v>52</v>
      </c>
      <c r="E107" t="s">
        <v>215</v>
      </c>
      <c r="F107" s="51">
        <v>4619</v>
      </c>
      <c r="G107" s="51">
        <v>821</v>
      </c>
      <c r="H107" s="51">
        <v>499</v>
      </c>
      <c r="I107" s="51">
        <v>69285</v>
      </c>
      <c r="J107" s="51">
        <v>69141</v>
      </c>
      <c r="K107">
        <v>298</v>
      </c>
      <c r="L107" t="s">
        <v>30</v>
      </c>
      <c r="O107" t="s">
        <v>38</v>
      </c>
      <c r="P107" t="s">
        <v>38</v>
      </c>
      <c r="Q107" s="7">
        <f>(Table1_21718[[#This Row],[Likes]]+Table1_21718[[#This Row],[Shares]]+Table1_21718[[#This Row],[Comments]])/Table1_21718[[#This Row],[Impressions]]</f>
        <v>8.5718409468138843E-2</v>
      </c>
      <c r="R107" s="7">
        <f>Table1_21718[[#This Row],[Likes]]+Table1_21718[[#This Row],[Shares]]+Table1_21718[[#This Row],[Comments]]</f>
        <v>5939</v>
      </c>
    </row>
    <row r="108" spans="1:18" x14ac:dyDescent="0.3">
      <c r="A108" t="s">
        <v>261</v>
      </c>
      <c r="B108" t="s">
        <v>27</v>
      </c>
      <c r="C108" s="6">
        <v>45464</v>
      </c>
      <c r="D108" t="s">
        <v>52</v>
      </c>
      <c r="E108" t="s">
        <v>53</v>
      </c>
      <c r="F108" s="51">
        <v>4832</v>
      </c>
      <c r="G108" s="51">
        <v>893</v>
      </c>
      <c r="H108" s="51">
        <v>10</v>
      </c>
      <c r="I108" s="51">
        <v>91808</v>
      </c>
      <c r="J108" s="51">
        <v>91296</v>
      </c>
      <c r="K108">
        <v>182</v>
      </c>
      <c r="L108" t="s">
        <v>30</v>
      </c>
      <c r="P108" t="s">
        <v>25</v>
      </c>
      <c r="Q108" s="7">
        <f>(Table1_21718[[#This Row],[Likes]]+Table1_21718[[#This Row],[Shares]]+Table1_21718[[#This Row],[Comments]])/Table1_21718[[#This Row],[Impressions]]</f>
        <v>6.2467323109097243E-2</v>
      </c>
      <c r="R108" s="7">
        <f>Table1_21718[[#This Row],[Likes]]+Table1_21718[[#This Row],[Shares]]+Table1_21718[[#This Row],[Comments]]</f>
        <v>5735</v>
      </c>
    </row>
    <row r="109" spans="1:18" x14ac:dyDescent="0.3">
      <c r="A109" t="s">
        <v>263</v>
      </c>
      <c r="B109" t="s">
        <v>14</v>
      </c>
      <c r="C109" s="6">
        <v>45741</v>
      </c>
      <c r="D109" t="s">
        <v>74</v>
      </c>
      <c r="E109" t="s">
        <v>145</v>
      </c>
      <c r="F109" s="51">
        <v>4050</v>
      </c>
      <c r="G109" s="51">
        <v>871</v>
      </c>
      <c r="H109" s="51">
        <v>347</v>
      </c>
      <c r="I109" s="51">
        <v>52650</v>
      </c>
      <c r="J109" s="51">
        <v>51755</v>
      </c>
      <c r="K109">
        <v>209</v>
      </c>
      <c r="L109" t="s">
        <v>30</v>
      </c>
      <c r="O109" t="s">
        <v>25</v>
      </c>
      <c r="P109" t="s">
        <v>25</v>
      </c>
      <c r="Q109" s="7">
        <f>(Table1_21718[[#This Row],[Likes]]+Table1_21718[[#This Row],[Shares]]+Table1_21718[[#This Row],[Comments]])/Table1_21718[[#This Row],[Impressions]]</f>
        <v>0.10005698005698006</v>
      </c>
      <c r="R109" s="7">
        <f>Table1_21718[[#This Row],[Likes]]+Table1_21718[[#This Row],[Shares]]+Table1_21718[[#This Row],[Comments]]</f>
        <v>5268</v>
      </c>
    </row>
    <row r="110" spans="1:18" x14ac:dyDescent="0.3">
      <c r="A110" t="s">
        <v>265</v>
      </c>
      <c r="B110" t="s">
        <v>14</v>
      </c>
      <c r="C110" s="6">
        <v>45512</v>
      </c>
      <c r="D110" t="s">
        <v>35</v>
      </c>
      <c r="E110" t="s">
        <v>149</v>
      </c>
      <c r="F110" s="51">
        <v>3649</v>
      </c>
      <c r="G110" s="51">
        <v>215</v>
      </c>
      <c r="H110" s="51">
        <v>413</v>
      </c>
      <c r="I110" s="51">
        <v>25543</v>
      </c>
      <c r="J110" s="51">
        <v>24963</v>
      </c>
      <c r="K110">
        <v>167</v>
      </c>
      <c r="L110" t="s">
        <v>62</v>
      </c>
      <c r="O110" t="s">
        <v>31</v>
      </c>
      <c r="P110" t="s">
        <v>31</v>
      </c>
      <c r="Q110" s="7">
        <f>(Table1_21718[[#This Row],[Likes]]+Table1_21718[[#This Row],[Shares]]+Table1_21718[[#This Row],[Comments]])/Table1_21718[[#This Row],[Impressions]]</f>
        <v>0.16744313510550835</v>
      </c>
      <c r="R110" s="7">
        <f>Table1_21718[[#This Row],[Likes]]+Table1_21718[[#This Row],[Shares]]+Table1_21718[[#This Row],[Comments]]</f>
        <v>4277</v>
      </c>
    </row>
    <row r="111" spans="1:18" x14ac:dyDescent="0.3">
      <c r="A111" t="s">
        <v>267</v>
      </c>
      <c r="B111" t="s">
        <v>33</v>
      </c>
      <c r="C111" s="6">
        <v>45502</v>
      </c>
      <c r="D111" t="s">
        <v>16</v>
      </c>
      <c r="E111" t="s">
        <v>82</v>
      </c>
      <c r="F111" s="51">
        <v>3523</v>
      </c>
      <c r="G111" s="51">
        <v>753</v>
      </c>
      <c r="H111" s="51">
        <v>482</v>
      </c>
      <c r="I111" s="51">
        <v>38753</v>
      </c>
      <c r="J111" s="51">
        <v>38579</v>
      </c>
      <c r="K111">
        <v>270</v>
      </c>
      <c r="L111" t="s">
        <v>37</v>
      </c>
      <c r="O111" t="s">
        <v>25</v>
      </c>
      <c r="P111" t="s">
        <v>25</v>
      </c>
      <c r="Q111" s="7">
        <f>(Table1_21718[[#This Row],[Likes]]+Table1_21718[[#This Row],[Shares]]+Table1_21718[[#This Row],[Comments]])/Table1_21718[[#This Row],[Impressions]]</f>
        <v>0.12277759141227776</v>
      </c>
      <c r="R111" s="7">
        <f>Table1_21718[[#This Row],[Likes]]+Table1_21718[[#This Row],[Shares]]+Table1_21718[[#This Row],[Comments]]</f>
        <v>4758</v>
      </c>
    </row>
    <row r="112" spans="1:18" x14ac:dyDescent="0.3">
      <c r="A112" t="s">
        <v>269</v>
      </c>
      <c r="B112" t="s">
        <v>27</v>
      </c>
      <c r="C112" s="6">
        <v>45619</v>
      </c>
      <c r="D112" t="s">
        <v>52</v>
      </c>
      <c r="E112" t="s">
        <v>53</v>
      </c>
      <c r="F112" s="51">
        <v>2719</v>
      </c>
      <c r="G112" s="51">
        <v>17</v>
      </c>
      <c r="H112" s="51">
        <v>285</v>
      </c>
      <c r="I112" s="51">
        <v>40785</v>
      </c>
      <c r="J112" s="51">
        <v>40281</v>
      </c>
      <c r="K112">
        <v>40</v>
      </c>
      <c r="L112" t="s">
        <v>30</v>
      </c>
      <c r="O112" t="s">
        <v>25</v>
      </c>
      <c r="P112" t="s">
        <v>25</v>
      </c>
      <c r="Q112" s="7">
        <f>(Table1_21718[[#This Row],[Likes]]+Table1_21718[[#This Row],[Shares]]+Table1_21718[[#This Row],[Comments]])/Table1_21718[[#This Row],[Impressions]]</f>
        <v>7.4071349760941527E-2</v>
      </c>
      <c r="R112" s="7">
        <f>Table1_21718[[#This Row],[Likes]]+Table1_21718[[#This Row],[Shares]]+Table1_21718[[#This Row],[Comments]]</f>
        <v>3021</v>
      </c>
    </row>
    <row r="113" spans="1:18" x14ac:dyDescent="0.3">
      <c r="A113" t="s">
        <v>271</v>
      </c>
      <c r="B113" t="s">
        <v>14</v>
      </c>
      <c r="C113" s="6">
        <v>45570</v>
      </c>
      <c r="D113" t="s">
        <v>35</v>
      </c>
      <c r="E113" t="s">
        <v>149</v>
      </c>
      <c r="F113" s="51">
        <v>1957</v>
      </c>
      <c r="G113" s="51">
        <v>877</v>
      </c>
      <c r="H113" s="51">
        <v>238</v>
      </c>
      <c r="I113" s="51">
        <v>17613</v>
      </c>
      <c r="J113" s="51">
        <v>16865</v>
      </c>
      <c r="K113">
        <v>297</v>
      </c>
      <c r="L113" t="s">
        <v>62</v>
      </c>
      <c r="O113" t="s">
        <v>31</v>
      </c>
      <c r="P113" t="s">
        <v>31</v>
      </c>
      <c r="Q113" s="7">
        <f>(Table1_21718[[#This Row],[Likes]]+Table1_21718[[#This Row],[Shares]]+Table1_21718[[#This Row],[Comments]])/Table1_21718[[#This Row],[Impressions]]</f>
        <v>0.17441662408448305</v>
      </c>
      <c r="R113" s="7">
        <f>Table1_21718[[#This Row],[Likes]]+Table1_21718[[#This Row],[Shares]]+Table1_21718[[#This Row],[Comments]]</f>
        <v>3072</v>
      </c>
    </row>
    <row r="114" spans="1:18" x14ac:dyDescent="0.3">
      <c r="A114" t="s">
        <v>273</v>
      </c>
      <c r="B114" t="s">
        <v>14</v>
      </c>
      <c r="C114" s="6">
        <v>45567</v>
      </c>
      <c r="D114" t="s">
        <v>45</v>
      </c>
      <c r="E114" t="s">
        <v>49</v>
      </c>
      <c r="F114" s="51">
        <v>4419</v>
      </c>
      <c r="G114" s="51">
        <v>236</v>
      </c>
      <c r="H114" s="51">
        <v>369</v>
      </c>
      <c r="I114" s="51">
        <v>44190</v>
      </c>
      <c r="J114" s="51">
        <v>43582</v>
      </c>
      <c r="K114">
        <v>10</v>
      </c>
      <c r="L114" t="s">
        <v>37</v>
      </c>
      <c r="O114" t="s">
        <v>19</v>
      </c>
      <c r="P114" t="s">
        <v>19</v>
      </c>
      <c r="Q114" s="7">
        <f>(Table1_21718[[#This Row],[Likes]]+Table1_21718[[#This Row],[Shares]]+Table1_21718[[#This Row],[Comments]])/Table1_21718[[#This Row],[Impressions]]</f>
        <v>0.11369088028965829</v>
      </c>
      <c r="R114" s="7">
        <f>Table1_21718[[#This Row],[Likes]]+Table1_21718[[#This Row],[Shares]]+Table1_21718[[#This Row],[Comments]]</f>
        <v>5024</v>
      </c>
    </row>
    <row r="115" spans="1:18" x14ac:dyDescent="0.3">
      <c r="A115" t="s">
        <v>275</v>
      </c>
      <c r="B115" t="s">
        <v>14</v>
      </c>
      <c r="C115" s="6">
        <v>45610</v>
      </c>
      <c r="D115" t="s">
        <v>35</v>
      </c>
      <c r="E115" t="s">
        <v>149</v>
      </c>
      <c r="F115" s="51">
        <v>4000</v>
      </c>
      <c r="G115" s="51">
        <v>689</v>
      </c>
      <c r="H115" s="51">
        <v>488</v>
      </c>
      <c r="I115" s="51">
        <v>40000</v>
      </c>
      <c r="J115" s="51">
        <v>39569</v>
      </c>
      <c r="K115">
        <v>44</v>
      </c>
      <c r="L115" t="s">
        <v>62</v>
      </c>
      <c r="O115" t="s">
        <v>19</v>
      </c>
      <c r="P115" t="s">
        <v>19</v>
      </c>
      <c r="Q115" s="7">
        <f>(Table1_21718[[#This Row],[Likes]]+Table1_21718[[#This Row],[Shares]]+Table1_21718[[#This Row],[Comments]])/Table1_21718[[#This Row],[Impressions]]</f>
        <v>0.12942500000000001</v>
      </c>
      <c r="R115" s="7">
        <f>Table1_21718[[#This Row],[Likes]]+Table1_21718[[#This Row],[Shares]]+Table1_21718[[#This Row],[Comments]]</f>
        <v>5177</v>
      </c>
    </row>
    <row r="116" spans="1:18" x14ac:dyDescent="0.3">
      <c r="A116" t="s">
        <v>277</v>
      </c>
      <c r="B116" t="s">
        <v>14</v>
      </c>
      <c r="C116" s="6">
        <v>45788</v>
      </c>
      <c r="D116" t="s">
        <v>52</v>
      </c>
      <c r="E116" t="s">
        <v>132</v>
      </c>
      <c r="F116" s="51">
        <v>2493</v>
      </c>
      <c r="G116" s="51">
        <v>97</v>
      </c>
      <c r="H116" s="51">
        <v>44</v>
      </c>
      <c r="I116" s="51">
        <v>42381</v>
      </c>
      <c r="J116" s="51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  <c r="Q116" s="7">
        <f>(Table1_21718[[#This Row],[Likes]]+Table1_21718[[#This Row],[Shares]]+Table1_21718[[#This Row],[Comments]])/Table1_21718[[#This Row],[Impressions]]</f>
        <v>6.2150491965739366E-2</v>
      </c>
      <c r="R116" s="7">
        <f>Table1_21718[[#This Row],[Likes]]+Table1_21718[[#This Row],[Shares]]+Table1_21718[[#This Row],[Comments]]</f>
        <v>2634</v>
      </c>
    </row>
    <row r="117" spans="1:18" x14ac:dyDescent="0.3">
      <c r="A117" t="s">
        <v>279</v>
      </c>
      <c r="B117" t="s">
        <v>27</v>
      </c>
      <c r="C117" s="6">
        <v>45734</v>
      </c>
      <c r="D117" t="s">
        <v>16</v>
      </c>
      <c r="E117" t="s">
        <v>29</v>
      </c>
      <c r="F117" s="51">
        <v>3704</v>
      </c>
      <c r="G117" s="51">
        <v>186</v>
      </c>
      <c r="H117" s="51">
        <v>458</v>
      </c>
      <c r="I117" s="51">
        <v>25928</v>
      </c>
      <c r="J117" s="51">
        <v>25081</v>
      </c>
      <c r="K117">
        <v>131</v>
      </c>
      <c r="L117" t="s">
        <v>30</v>
      </c>
      <c r="P117" t="s">
        <v>25</v>
      </c>
      <c r="Q117" s="7">
        <f>(Table1_21718[[#This Row],[Likes]]+Table1_21718[[#This Row],[Shares]]+Table1_21718[[#This Row],[Comments]])/Table1_21718[[#This Row],[Impressions]]</f>
        <v>0.16769515581610614</v>
      </c>
      <c r="R117" s="7">
        <f>Table1_21718[[#This Row],[Likes]]+Table1_21718[[#This Row],[Shares]]+Table1_21718[[#This Row],[Comments]]</f>
        <v>4348</v>
      </c>
    </row>
    <row r="118" spans="1:18" x14ac:dyDescent="0.3">
      <c r="A118" t="s">
        <v>281</v>
      </c>
      <c r="B118" t="s">
        <v>14</v>
      </c>
      <c r="C118" s="6">
        <v>45600</v>
      </c>
      <c r="D118" t="s">
        <v>52</v>
      </c>
      <c r="E118" t="s">
        <v>132</v>
      </c>
      <c r="F118" s="51">
        <v>1606</v>
      </c>
      <c r="G118" s="51">
        <v>451</v>
      </c>
      <c r="H118" s="51">
        <v>405</v>
      </c>
      <c r="I118" s="51">
        <v>20878</v>
      </c>
      <c r="J118" s="51">
        <v>20190</v>
      </c>
      <c r="K118">
        <v>219</v>
      </c>
      <c r="L118" t="s">
        <v>37</v>
      </c>
      <c r="O118" t="s">
        <v>38</v>
      </c>
      <c r="P118" t="s">
        <v>38</v>
      </c>
      <c r="Q118" s="7">
        <f>(Table1_21718[[#This Row],[Likes]]+Table1_21718[[#This Row],[Shares]]+Table1_21718[[#This Row],[Comments]])/Table1_21718[[#This Row],[Impressions]]</f>
        <v>0.11792317271769326</v>
      </c>
      <c r="R118" s="7">
        <f>Table1_21718[[#This Row],[Likes]]+Table1_21718[[#This Row],[Shares]]+Table1_21718[[#This Row],[Comments]]</f>
        <v>2462</v>
      </c>
    </row>
    <row r="119" spans="1:18" x14ac:dyDescent="0.3">
      <c r="A119" t="s">
        <v>283</v>
      </c>
      <c r="B119" t="s">
        <v>43</v>
      </c>
      <c r="C119" s="6">
        <v>45600</v>
      </c>
      <c r="D119" t="s">
        <v>52</v>
      </c>
      <c r="E119" t="s">
        <v>59</v>
      </c>
      <c r="F119" s="51">
        <v>4551</v>
      </c>
      <c r="G119" s="51">
        <v>714</v>
      </c>
      <c r="H119" s="51">
        <v>207</v>
      </c>
      <c r="I119" s="51">
        <v>68265</v>
      </c>
      <c r="J119" s="51">
        <v>67754</v>
      </c>
      <c r="K119">
        <v>57</v>
      </c>
      <c r="L119" t="s">
        <v>62</v>
      </c>
      <c r="O119" t="s">
        <v>31</v>
      </c>
      <c r="P119" t="s">
        <v>31</v>
      </c>
      <c r="Q119" s="7">
        <f>(Table1_21718[[#This Row],[Likes]]+Table1_21718[[#This Row],[Shares]]+Table1_21718[[#This Row],[Comments]])/Table1_21718[[#This Row],[Impressions]]</f>
        <v>8.0158206987475278E-2</v>
      </c>
      <c r="R119" s="7">
        <f>Table1_21718[[#This Row],[Likes]]+Table1_21718[[#This Row],[Shares]]+Table1_21718[[#This Row],[Comments]]</f>
        <v>5472</v>
      </c>
    </row>
    <row r="120" spans="1:18" x14ac:dyDescent="0.3">
      <c r="A120" t="s">
        <v>284</v>
      </c>
      <c r="B120" t="s">
        <v>33</v>
      </c>
      <c r="C120" s="6">
        <v>45695</v>
      </c>
      <c r="D120" t="s">
        <v>16</v>
      </c>
      <c r="E120" t="s">
        <v>82</v>
      </c>
      <c r="F120" s="51">
        <v>1970</v>
      </c>
      <c r="G120" s="51">
        <v>675</v>
      </c>
      <c r="H120" s="51">
        <v>478</v>
      </c>
      <c r="I120" s="51">
        <v>9850</v>
      </c>
      <c r="J120" s="51">
        <v>8924</v>
      </c>
      <c r="K120">
        <v>117</v>
      </c>
      <c r="L120" t="s">
        <v>62</v>
      </c>
      <c r="P120" t="s">
        <v>38</v>
      </c>
      <c r="Q120" s="7">
        <f>(Table1_21718[[#This Row],[Likes]]+Table1_21718[[#This Row],[Shares]]+Table1_21718[[#This Row],[Comments]])/Table1_21718[[#This Row],[Impressions]]</f>
        <v>0.31705583756345179</v>
      </c>
      <c r="R120" s="7">
        <f>Table1_21718[[#This Row],[Likes]]+Table1_21718[[#This Row],[Shares]]+Table1_21718[[#This Row],[Comments]]</f>
        <v>3123</v>
      </c>
    </row>
    <row r="121" spans="1:18" x14ac:dyDescent="0.3">
      <c r="A121" t="s">
        <v>286</v>
      </c>
      <c r="B121" t="s">
        <v>43</v>
      </c>
      <c r="C121" s="6">
        <v>45586</v>
      </c>
      <c r="D121" t="s">
        <v>35</v>
      </c>
      <c r="E121" t="s">
        <v>71</v>
      </c>
      <c r="F121" s="51">
        <v>780</v>
      </c>
      <c r="G121" s="51">
        <v>928</v>
      </c>
      <c r="H121" s="51">
        <v>301</v>
      </c>
      <c r="I121" s="51">
        <v>8580</v>
      </c>
      <c r="J121" s="51">
        <v>8081</v>
      </c>
      <c r="K121">
        <v>91</v>
      </c>
      <c r="L121" t="s">
        <v>37</v>
      </c>
      <c r="O121" t="s">
        <v>31</v>
      </c>
      <c r="P121" t="s">
        <v>31</v>
      </c>
      <c r="Q121" s="7">
        <f>(Table1_21718[[#This Row],[Likes]]+Table1_21718[[#This Row],[Shares]]+Table1_21718[[#This Row],[Comments]])/Table1_21718[[#This Row],[Impressions]]</f>
        <v>0.23414918414918415</v>
      </c>
      <c r="R121" s="7">
        <f>Table1_21718[[#This Row],[Likes]]+Table1_21718[[#This Row],[Shares]]+Table1_21718[[#This Row],[Comments]]</f>
        <v>2009</v>
      </c>
    </row>
    <row r="122" spans="1:18" x14ac:dyDescent="0.3">
      <c r="A122" t="s">
        <v>287</v>
      </c>
      <c r="B122" t="s">
        <v>33</v>
      </c>
      <c r="C122" s="6">
        <v>45502</v>
      </c>
      <c r="D122" t="s">
        <v>35</v>
      </c>
      <c r="E122" t="s">
        <v>36</v>
      </c>
      <c r="F122" s="51">
        <v>498</v>
      </c>
      <c r="G122" s="51">
        <v>701</v>
      </c>
      <c r="H122" s="51">
        <v>412</v>
      </c>
      <c r="I122" s="51">
        <v>4980</v>
      </c>
      <c r="J122" s="51">
        <v>4185</v>
      </c>
      <c r="K122">
        <v>185</v>
      </c>
      <c r="L122" t="s">
        <v>62</v>
      </c>
      <c r="P122" t="s">
        <v>38</v>
      </c>
      <c r="Q122" s="7">
        <f>(Table1_21718[[#This Row],[Likes]]+Table1_21718[[#This Row],[Shares]]+Table1_21718[[#This Row],[Comments]])/Table1_21718[[#This Row],[Impressions]]</f>
        <v>0.32349397590361445</v>
      </c>
      <c r="R122" s="7">
        <f>Table1_21718[[#This Row],[Likes]]+Table1_21718[[#This Row],[Shares]]+Table1_21718[[#This Row],[Comments]]</f>
        <v>1611</v>
      </c>
    </row>
    <row r="123" spans="1:18" x14ac:dyDescent="0.3">
      <c r="A123" t="s">
        <v>288</v>
      </c>
      <c r="B123" t="s">
        <v>33</v>
      </c>
      <c r="C123" s="6">
        <v>45567</v>
      </c>
      <c r="D123" t="s">
        <v>22</v>
      </c>
      <c r="E123" t="s">
        <v>113</v>
      </c>
      <c r="F123" s="51">
        <v>3432</v>
      </c>
      <c r="G123" s="51">
        <v>869</v>
      </c>
      <c r="H123" s="51">
        <v>123</v>
      </c>
      <c r="I123" s="51">
        <v>54912</v>
      </c>
      <c r="J123" s="51">
        <v>53916</v>
      </c>
      <c r="K123">
        <v>264</v>
      </c>
      <c r="L123" t="s">
        <v>37</v>
      </c>
      <c r="O123" t="s">
        <v>25</v>
      </c>
      <c r="P123" t="s">
        <v>25</v>
      </c>
      <c r="Q123" s="7">
        <f>(Table1_21718[[#This Row],[Likes]]+Table1_21718[[#This Row],[Shares]]+Table1_21718[[#This Row],[Comments]])/Table1_21718[[#This Row],[Impressions]]</f>
        <v>8.0565268065268064E-2</v>
      </c>
      <c r="R123" s="7">
        <f>Table1_21718[[#This Row],[Likes]]+Table1_21718[[#This Row],[Shares]]+Table1_21718[[#This Row],[Comments]]</f>
        <v>4424</v>
      </c>
    </row>
    <row r="124" spans="1:18" x14ac:dyDescent="0.3">
      <c r="A124" t="s">
        <v>289</v>
      </c>
      <c r="B124" t="s">
        <v>33</v>
      </c>
      <c r="C124" s="6">
        <v>45457</v>
      </c>
      <c r="D124" t="s">
        <v>35</v>
      </c>
      <c r="E124" t="s">
        <v>36</v>
      </c>
      <c r="F124" s="51">
        <v>4363</v>
      </c>
      <c r="G124" s="51">
        <v>649</v>
      </c>
      <c r="H124" s="51">
        <v>140</v>
      </c>
      <c r="I124" s="51">
        <v>21815</v>
      </c>
      <c r="J124" s="51">
        <v>21481</v>
      </c>
      <c r="K124">
        <v>157</v>
      </c>
      <c r="L124" t="s">
        <v>37</v>
      </c>
      <c r="O124" t="s">
        <v>19</v>
      </c>
      <c r="P124" t="s">
        <v>19</v>
      </c>
      <c r="Q124" s="7">
        <f>(Table1_21718[[#This Row],[Likes]]+Table1_21718[[#This Row],[Shares]]+Table1_21718[[#This Row],[Comments]])/Table1_21718[[#This Row],[Impressions]]</f>
        <v>0.23616777446710979</v>
      </c>
      <c r="R124" s="7">
        <f>Table1_21718[[#This Row],[Likes]]+Table1_21718[[#This Row],[Shares]]+Table1_21718[[#This Row],[Comments]]</f>
        <v>5152</v>
      </c>
    </row>
    <row r="125" spans="1:18" x14ac:dyDescent="0.3">
      <c r="A125" t="s">
        <v>290</v>
      </c>
      <c r="B125" t="s">
        <v>27</v>
      </c>
      <c r="C125" s="6">
        <v>45753</v>
      </c>
      <c r="D125" t="s">
        <v>45</v>
      </c>
      <c r="E125" t="s">
        <v>68</v>
      </c>
      <c r="F125" s="51">
        <v>736</v>
      </c>
      <c r="G125" s="51">
        <v>771</v>
      </c>
      <c r="H125" s="51">
        <v>225</v>
      </c>
      <c r="I125" s="51">
        <v>5152</v>
      </c>
      <c r="J125" s="51">
        <v>4706</v>
      </c>
      <c r="K125">
        <v>19</v>
      </c>
      <c r="L125" t="s">
        <v>37</v>
      </c>
      <c r="O125" t="s">
        <v>19</v>
      </c>
      <c r="P125" t="s">
        <v>19</v>
      </c>
      <c r="Q125" s="7">
        <f>(Table1_21718[[#This Row],[Likes]]+Table1_21718[[#This Row],[Shares]]+Table1_21718[[#This Row],[Comments]])/Table1_21718[[#This Row],[Impressions]]</f>
        <v>0.33618012422360249</v>
      </c>
      <c r="R125" s="7">
        <f>Table1_21718[[#This Row],[Likes]]+Table1_21718[[#This Row],[Shares]]+Table1_21718[[#This Row],[Comments]]</f>
        <v>1732</v>
      </c>
    </row>
    <row r="126" spans="1:18" x14ac:dyDescent="0.3">
      <c r="A126" t="s">
        <v>292</v>
      </c>
      <c r="B126" t="s">
        <v>14</v>
      </c>
      <c r="C126" s="6">
        <v>45543</v>
      </c>
      <c r="D126" t="s">
        <v>45</v>
      </c>
      <c r="E126" t="s">
        <v>49</v>
      </c>
      <c r="F126" s="51">
        <v>3811</v>
      </c>
      <c r="G126" s="51">
        <v>866</v>
      </c>
      <c r="H126" s="51">
        <v>216</v>
      </c>
      <c r="I126" s="51">
        <v>34299</v>
      </c>
      <c r="J126" s="51">
        <v>34088</v>
      </c>
      <c r="K126">
        <v>233</v>
      </c>
      <c r="L126" t="s">
        <v>30</v>
      </c>
      <c r="O126" t="s">
        <v>38</v>
      </c>
      <c r="P126" t="s">
        <v>38</v>
      </c>
      <c r="Q126" s="7">
        <f>(Table1_21718[[#This Row],[Likes]]+Table1_21718[[#This Row],[Shares]]+Table1_21718[[#This Row],[Comments]])/Table1_21718[[#This Row],[Impressions]]</f>
        <v>0.14265722032712325</v>
      </c>
      <c r="R126" s="7">
        <f>Table1_21718[[#This Row],[Likes]]+Table1_21718[[#This Row],[Shares]]+Table1_21718[[#This Row],[Comments]]</f>
        <v>4893</v>
      </c>
    </row>
    <row r="127" spans="1:18" x14ac:dyDescent="0.3">
      <c r="A127" t="s">
        <v>294</v>
      </c>
      <c r="B127" t="s">
        <v>33</v>
      </c>
      <c r="C127" s="6">
        <v>45744</v>
      </c>
      <c r="D127" t="s">
        <v>45</v>
      </c>
      <c r="E127" t="s">
        <v>88</v>
      </c>
      <c r="F127" s="51">
        <v>4158</v>
      </c>
      <c r="G127" s="51">
        <v>167</v>
      </c>
      <c r="H127" s="51">
        <v>241</v>
      </c>
      <c r="I127" s="51">
        <v>45738</v>
      </c>
      <c r="J127" s="51">
        <v>45183</v>
      </c>
      <c r="K127">
        <v>142</v>
      </c>
      <c r="L127" t="s">
        <v>62</v>
      </c>
      <c r="P127" t="s">
        <v>38</v>
      </c>
      <c r="Q127" s="7">
        <f>(Table1_21718[[#This Row],[Likes]]+Table1_21718[[#This Row],[Shares]]+Table1_21718[[#This Row],[Comments]])/Table1_21718[[#This Row],[Impressions]]</f>
        <v>9.9829463465827106E-2</v>
      </c>
      <c r="R127" s="7">
        <f>Table1_21718[[#This Row],[Likes]]+Table1_21718[[#This Row],[Shares]]+Table1_21718[[#This Row],[Comments]]</f>
        <v>4566</v>
      </c>
    </row>
    <row r="128" spans="1:18" x14ac:dyDescent="0.3">
      <c r="A128" t="s">
        <v>295</v>
      </c>
      <c r="B128" t="s">
        <v>43</v>
      </c>
      <c r="C128" s="6">
        <v>45684</v>
      </c>
      <c r="D128" t="s">
        <v>16</v>
      </c>
      <c r="E128" t="s">
        <v>65</v>
      </c>
      <c r="F128" s="51">
        <v>3452</v>
      </c>
      <c r="G128" s="51">
        <v>652</v>
      </c>
      <c r="H128" s="51">
        <v>442</v>
      </c>
      <c r="I128" s="51">
        <v>65588</v>
      </c>
      <c r="J128" s="51">
        <v>65049</v>
      </c>
      <c r="K128">
        <v>158</v>
      </c>
      <c r="L128" t="s">
        <v>62</v>
      </c>
      <c r="O128" t="s">
        <v>31</v>
      </c>
      <c r="P128" t="s">
        <v>31</v>
      </c>
      <c r="Q128" s="7">
        <f>(Table1_21718[[#This Row],[Likes]]+Table1_21718[[#This Row],[Shares]]+Table1_21718[[#This Row],[Comments]])/Table1_21718[[#This Row],[Impressions]]</f>
        <v>6.9311459413307311E-2</v>
      </c>
      <c r="R128" s="7">
        <f>Table1_21718[[#This Row],[Likes]]+Table1_21718[[#This Row],[Shares]]+Table1_21718[[#This Row],[Comments]]</f>
        <v>4546</v>
      </c>
    </row>
    <row r="129" spans="1:18" x14ac:dyDescent="0.3">
      <c r="A129" t="s">
        <v>296</v>
      </c>
      <c r="B129" t="s">
        <v>14</v>
      </c>
      <c r="C129" s="6">
        <v>45667</v>
      </c>
      <c r="D129" t="s">
        <v>52</v>
      </c>
      <c r="E129" t="s">
        <v>132</v>
      </c>
      <c r="F129" s="51">
        <v>3092</v>
      </c>
      <c r="G129" s="51">
        <v>106</v>
      </c>
      <c r="H129" s="51">
        <v>291</v>
      </c>
      <c r="I129" s="51">
        <v>27828</v>
      </c>
      <c r="J129" s="51">
        <v>27217</v>
      </c>
      <c r="K129">
        <v>102</v>
      </c>
      <c r="L129" t="s">
        <v>62</v>
      </c>
      <c r="P129" t="s">
        <v>38</v>
      </c>
      <c r="Q129" s="7">
        <f>(Table1_21718[[#This Row],[Likes]]+Table1_21718[[#This Row],[Shares]]+Table1_21718[[#This Row],[Comments]])/Table1_21718[[#This Row],[Impressions]]</f>
        <v>0.12537731780940059</v>
      </c>
      <c r="R129" s="7">
        <f>Table1_21718[[#This Row],[Likes]]+Table1_21718[[#This Row],[Shares]]+Table1_21718[[#This Row],[Comments]]</f>
        <v>3489</v>
      </c>
    </row>
    <row r="130" spans="1:18" x14ac:dyDescent="0.3">
      <c r="A130" t="s">
        <v>297</v>
      </c>
      <c r="B130" t="s">
        <v>14</v>
      </c>
      <c r="C130" s="6">
        <v>45494</v>
      </c>
      <c r="D130" t="s">
        <v>22</v>
      </c>
      <c r="E130" t="s">
        <v>23</v>
      </c>
      <c r="F130" s="51">
        <v>2147</v>
      </c>
      <c r="G130" s="51">
        <v>430</v>
      </c>
      <c r="H130" s="51">
        <v>393</v>
      </c>
      <c r="I130" s="51">
        <v>17176</v>
      </c>
      <c r="J130" s="51">
        <v>16483</v>
      </c>
      <c r="K130">
        <v>170</v>
      </c>
      <c r="L130" t="s">
        <v>30</v>
      </c>
      <c r="P130" t="s">
        <v>25</v>
      </c>
      <c r="Q130" s="7">
        <f>(Table1_21718[[#This Row],[Likes]]+Table1_21718[[#This Row],[Shares]]+Table1_21718[[#This Row],[Comments]])/Table1_21718[[#This Row],[Impressions]]</f>
        <v>0.17291569632044715</v>
      </c>
      <c r="R130" s="7">
        <f>Table1_21718[[#This Row],[Likes]]+Table1_21718[[#This Row],[Shares]]+Table1_21718[[#This Row],[Comments]]</f>
        <v>2970</v>
      </c>
    </row>
    <row r="131" spans="1:18" x14ac:dyDescent="0.3">
      <c r="A131" t="s">
        <v>298</v>
      </c>
      <c r="B131" t="s">
        <v>27</v>
      </c>
      <c r="C131" s="6">
        <v>45564</v>
      </c>
      <c r="D131" t="s">
        <v>16</v>
      </c>
      <c r="E131" t="s">
        <v>29</v>
      </c>
      <c r="F131" s="51">
        <v>2936</v>
      </c>
      <c r="G131" s="51">
        <v>439</v>
      </c>
      <c r="H131" s="51">
        <v>44</v>
      </c>
      <c r="I131" s="51">
        <v>38168</v>
      </c>
      <c r="J131" s="51">
        <v>37571</v>
      </c>
      <c r="K131">
        <v>22</v>
      </c>
      <c r="L131" t="s">
        <v>37</v>
      </c>
      <c r="O131" t="s">
        <v>38</v>
      </c>
      <c r="P131" t="s">
        <v>38</v>
      </c>
      <c r="Q131" s="7">
        <f>(Table1_21718[[#This Row],[Likes]]+Table1_21718[[#This Row],[Shares]]+Table1_21718[[#This Row],[Comments]])/Table1_21718[[#This Row],[Impressions]]</f>
        <v>8.9577656675749323E-2</v>
      </c>
      <c r="R131" s="7">
        <f>Table1_21718[[#This Row],[Likes]]+Table1_21718[[#This Row],[Shares]]+Table1_21718[[#This Row],[Comments]]</f>
        <v>3419</v>
      </c>
    </row>
    <row r="132" spans="1:18" x14ac:dyDescent="0.3">
      <c r="A132" t="s">
        <v>300</v>
      </c>
      <c r="B132" t="s">
        <v>33</v>
      </c>
      <c r="C132" s="6">
        <v>45586</v>
      </c>
      <c r="D132" t="s">
        <v>16</v>
      </c>
      <c r="E132" t="s">
        <v>82</v>
      </c>
      <c r="F132" s="51">
        <v>4840</v>
      </c>
      <c r="G132" s="51">
        <v>658</v>
      </c>
      <c r="H132" s="51">
        <v>211</v>
      </c>
      <c r="I132" s="51">
        <v>43560</v>
      </c>
      <c r="J132" s="51">
        <v>43225</v>
      </c>
      <c r="K132">
        <v>57</v>
      </c>
      <c r="L132" t="s">
        <v>62</v>
      </c>
      <c r="O132" t="s">
        <v>31</v>
      </c>
      <c r="P132" t="s">
        <v>31</v>
      </c>
      <c r="Q132" s="7">
        <f>(Table1_21718[[#This Row],[Likes]]+Table1_21718[[#This Row],[Shares]]+Table1_21718[[#This Row],[Comments]])/Table1_21718[[#This Row],[Impressions]]</f>
        <v>0.13106060606060607</v>
      </c>
      <c r="R132" s="7">
        <f>Table1_21718[[#This Row],[Likes]]+Table1_21718[[#This Row],[Shares]]+Table1_21718[[#This Row],[Comments]]</f>
        <v>5709</v>
      </c>
    </row>
    <row r="133" spans="1:18" x14ac:dyDescent="0.3">
      <c r="A133" t="s">
        <v>301</v>
      </c>
      <c r="B133" t="s">
        <v>33</v>
      </c>
      <c r="C133" s="6">
        <v>45720</v>
      </c>
      <c r="D133" t="s">
        <v>35</v>
      </c>
      <c r="E133" t="s">
        <v>36</v>
      </c>
      <c r="F133" s="51">
        <v>1947</v>
      </c>
      <c r="G133" s="51">
        <v>842</v>
      </c>
      <c r="H133" s="51">
        <v>101</v>
      </c>
      <c r="I133" s="51">
        <v>21417</v>
      </c>
      <c r="J133" s="51">
        <v>20967</v>
      </c>
      <c r="K133">
        <v>186</v>
      </c>
      <c r="L133" t="s">
        <v>62</v>
      </c>
      <c r="O133" t="s">
        <v>25</v>
      </c>
      <c r="P133" t="s">
        <v>25</v>
      </c>
      <c r="Q133" s="7">
        <f>(Table1_21718[[#This Row],[Likes]]+Table1_21718[[#This Row],[Shares]]+Table1_21718[[#This Row],[Comments]])/Table1_21718[[#This Row],[Impressions]]</f>
        <v>0.13493953401503478</v>
      </c>
      <c r="R133" s="7">
        <f>Table1_21718[[#This Row],[Likes]]+Table1_21718[[#This Row],[Shares]]+Table1_21718[[#This Row],[Comments]]</f>
        <v>2890</v>
      </c>
    </row>
    <row r="134" spans="1:18" x14ac:dyDescent="0.3">
      <c r="A134" t="s">
        <v>302</v>
      </c>
      <c r="B134" t="s">
        <v>43</v>
      </c>
      <c r="C134" s="6">
        <v>45694</v>
      </c>
      <c r="D134" t="s">
        <v>52</v>
      </c>
      <c r="E134" t="s">
        <v>59</v>
      </c>
      <c r="F134" s="51">
        <v>2072</v>
      </c>
      <c r="G134" s="51">
        <v>532</v>
      </c>
      <c r="H134" s="51">
        <v>71</v>
      </c>
      <c r="I134" s="51">
        <v>37296</v>
      </c>
      <c r="J134" s="51">
        <v>36467</v>
      </c>
      <c r="K134">
        <v>25</v>
      </c>
      <c r="L134" t="s">
        <v>30</v>
      </c>
      <c r="O134" t="s">
        <v>38</v>
      </c>
      <c r="P134" t="s">
        <v>38</v>
      </c>
      <c r="Q134" s="7">
        <f>(Table1_21718[[#This Row],[Likes]]+Table1_21718[[#This Row],[Shares]]+Table1_21718[[#This Row],[Comments]])/Table1_21718[[#This Row],[Impressions]]</f>
        <v>7.172350922350923E-2</v>
      </c>
      <c r="R134" s="7">
        <f>Table1_21718[[#This Row],[Likes]]+Table1_21718[[#This Row],[Shares]]+Table1_21718[[#This Row],[Comments]]</f>
        <v>2675</v>
      </c>
    </row>
    <row r="135" spans="1:18" x14ac:dyDescent="0.3">
      <c r="A135" t="s">
        <v>304</v>
      </c>
      <c r="B135" t="s">
        <v>14</v>
      </c>
      <c r="C135" s="6">
        <v>45771</v>
      </c>
      <c r="D135" t="s">
        <v>16</v>
      </c>
      <c r="E135" t="s">
        <v>17</v>
      </c>
      <c r="F135" s="51">
        <v>3731</v>
      </c>
      <c r="G135" s="51">
        <v>115</v>
      </c>
      <c r="H135" s="51">
        <v>135</v>
      </c>
      <c r="I135" s="51">
        <v>55965</v>
      </c>
      <c r="J135" s="51">
        <v>55436</v>
      </c>
      <c r="K135">
        <v>103</v>
      </c>
      <c r="L135" t="s">
        <v>30</v>
      </c>
      <c r="O135" t="s">
        <v>19</v>
      </c>
      <c r="P135" t="s">
        <v>19</v>
      </c>
      <c r="Q135" s="7">
        <f>(Table1_21718[[#This Row],[Likes]]+Table1_21718[[#This Row],[Shares]]+Table1_21718[[#This Row],[Comments]])/Table1_21718[[#This Row],[Impressions]]</f>
        <v>7.1133744304476013E-2</v>
      </c>
      <c r="R135" s="7">
        <f>Table1_21718[[#This Row],[Likes]]+Table1_21718[[#This Row],[Shares]]+Table1_21718[[#This Row],[Comments]]</f>
        <v>3981</v>
      </c>
    </row>
    <row r="136" spans="1:18" x14ac:dyDescent="0.3">
      <c r="A136" t="s">
        <v>306</v>
      </c>
      <c r="B136" t="s">
        <v>43</v>
      </c>
      <c r="C136" s="6">
        <v>45624</v>
      </c>
      <c r="D136" t="s">
        <v>22</v>
      </c>
      <c r="E136" t="s">
        <v>56</v>
      </c>
      <c r="F136" s="51">
        <v>4213</v>
      </c>
      <c r="G136" s="51">
        <v>253</v>
      </c>
      <c r="H136" s="51">
        <v>434</v>
      </c>
      <c r="I136" s="51">
        <v>75834</v>
      </c>
      <c r="J136" s="51">
        <v>75437</v>
      </c>
      <c r="K136">
        <v>272</v>
      </c>
      <c r="L136" t="s">
        <v>62</v>
      </c>
      <c r="O136" t="s">
        <v>38</v>
      </c>
      <c r="P136" t="s">
        <v>38</v>
      </c>
      <c r="Q136" s="7">
        <f>(Table1_21718[[#This Row],[Likes]]+Table1_21718[[#This Row],[Shares]]+Table1_21718[[#This Row],[Comments]])/Table1_21718[[#This Row],[Impressions]]</f>
        <v>6.461481657304112E-2</v>
      </c>
      <c r="R136" s="7">
        <f>Table1_21718[[#This Row],[Likes]]+Table1_21718[[#This Row],[Shares]]+Table1_21718[[#This Row],[Comments]]</f>
        <v>4900</v>
      </c>
    </row>
    <row r="137" spans="1:18" x14ac:dyDescent="0.3">
      <c r="A137" t="s">
        <v>308</v>
      </c>
      <c r="B137" t="s">
        <v>33</v>
      </c>
      <c r="C137" s="6">
        <v>45484</v>
      </c>
      <c r="D137" t="s">
        <v>22</v>
      </c>
      <c r="E137" t="s">
        <v>113</v>
      </c>
      <c r="F137" s="51">
        <v>3134</v>
      </c>
      <c r="G137" s="51">
        <v>888</v>
      </c>
      <c r="H137" s="51">
        <v>444</v>
      </c>
      <c r="I137" s="51">
        <v>21938</v>
      </c>
      <c r="J137" s="51">
        <v>21337</v>
      </c>
      <c r="K137">
        <v>130</v>
      </c>
      <c r="L137" t="s">
        <v>37</v>
      </c>
      <c r="O137" t="s">
        <v>38</v>
      </c>
      <c r="P137" t="s">
        <v>38</v>
      </c>
      <c r="Q137" s="7">
        <f>(Table1_21718[[#This Row],[Likes]]+Table1_21718[[#This Row],[Shares]]+Table1_21718[[#This Row],[Comments]])/Table1_21718[[#This Row],[Impressions]]</f>
        <v>0.20357370772176134</v>
      </c>
      <c r="R137" s="7">
        <f>Table1_21718[[#This Row],[Likes]]+Table1_21718[[#This Row],[Shares]]+Table1_21718[[#This Row],[Comments]]</f>
        <v>4466</v>
      </c>
    </row>
    <row r="138" spans="1:18" x14ac:dyDescent="0.3">
      <c r="A138" t="s">
        <v>310</v>
      </c>
      <c r="B138" t="s">
        <v>43</v>
      </c>
      <c r="C138" s="6">
        <v>45504</v>
      </c>
      <c r="D138" t="s">
        <v>74</v>
      </c>
      <c r="E138" t="s">
        <v>75</v>
      </c>
      <c r="F138" s="51">
        <v>3008</v>
      </c>
      <c r="G138" s="51">
        <v>94</v>
      </c>
      <c r="H138" s="51">
        <v>37</v>
      </c>
      <c r="I138" s="51">
        <v>15040</v>
      </c>
      <c r="J138" s="51">
        <v>14639</v>
      </c>
      <c r="K138">
        <v>277</v>
      </c>
      <c r="L138" t="s">
        <v>62</v>
      </c>
      <c r="P138" t="s">
        <v>38</v>
      </c>
      <c r="Q138" s="7">
        <f>(Table1_21718[[#This Row],[Likes]]+Table1_21718[[#This Row],[Shares]]+Table1_21718[[#This Row],[Comments]])/Table1_21718[[#This Row],[Impressions]]</f>
        <v>0.20871010638297871</v>
      </c>
      <c r="R138" s="7">
        <f>Table1_21718[[#This Row],[Likes]]+Table1_21718[[#This Row],[Shares]]+Table1_21718[[#This Row],[Comments]]</f>
        <v>3139</v>
      </c>
    </row>
    <row r="139" spans="1:18" x14ac:dyDescent="0.3">
      <c r="A139" t="s">
        <v>311</v>
      </c>
      <c r="B139" t="s">
        <v>14</v>
      </c>
      <c r="C139" s="6">
        <v>45745</v>
      </c>
      <c r="D139" t="s">
        <v>52</v>
      </c>
      <c r="E139" t="s">
        <v>132</v>
      </c>
      <c r="F139" s="51">
        <v>305</v>
      </c>
      <c r="G139" s="51">
        <v>187</v>
      </c>
      <c r="H139" s="51">
        <v>243</v>
      </c>
      <c r="I139" s="51">
        <v>4575</v>
      </c>
      <c r="J139" s="51">
        <v>3704</v>
      </c>
      <c r="K139">
        <v>234</v>
      </c>
      <c r="L139" t="s">
        <v>62</v>
      </c>
      <c r="O139" t="s">
        <v>31</v>
      </c>
      <c r="P139" t="s">
        <v>31</v>
      </c>
      <c r="Q139" s="7">
        <f>(Table1_21718[[#This Row],[Likes]]+Table1_21718[[#This Row],[Shares]]+Table1_21718[[#This Row],[Comments]])/Table1_21718[[#This Row],[Impressions]]</f>
        <v>0.16065573770491803</v>
      </c>
      <c r="R139" s="7">
        <f>Table1_21718[[#This Row],[Likes]]+Table1_21718[[#This Row],[Shares]]+Table1_21718[[#This Row],[Comments]]</f>
        <v>735</v>
      </c>
    </row>
    <row r="140" spans="1:18" x14ac:dyDescent="0.3">
      <c r="A140" t="s">
        <v>312</v>
      </c>
      <c r="B140" t="s">
        <v>27</v>
      </c>
      <c r="C140" s="6">
        <v>45594</v>
      </c>
      <c r="D140" t="s">
        <v>22</v>
      </c>
      <c r="E140" t="s">
        <v>104</v>
      </c>
      <c r="F140" s="51">
        <v>2746</v>
      </c>
      <c r="G140" s="51">
        <v>156</v>
      </c>
      <c r="H140" s="51">
        <v>203</v>
      </c>
      <c r="I140" s="51">
        <v>32952</v>
      </c>
      <c r="J140" s="51">
        <v>32147</v>
      </c>
      <c r="K140">
        <v>147</v>
      </c>
      <c r="L140" t="s">
        <v>37</v>
      </c>
      <c r="O140" t="s">
        <v>19</v>
      </c>
      <c r="P140" t="s">
        <v>19</v>
      </c>
      <c r="Q140" s="7">
        <f>(Table1_21718[[#This Row],[Likes]]+Table1_21718[[#This Row],[Shares]]+Table1_21718[[#This Row],[Comments]])/Table1_21718[[#This Row],[Impressions]]</f>
        <v>9.422796795338674E-2</v>
      </c>
      <c r="R140" s="7">
        <f>Table1_21718[[#This Row],[Likes]]+Table1_21718[[#This Row],[Shares]]+Table1_21718[[#This Row],[Comments]]</f>
        <v>3105</v>
      </c>
    </row>
    <row r="141" spans="1:18" x14ac:dyDescent="0.3">
      <c r="A141" t="s">
        <v>314</v>
      </c>
      <c r="B141" t="s">
        <v>43</v>
      </c>
      <c r="C141" s="6">
        <v>45488</v>
      </c>
      <c r="D141" t="s">
        <v>52</v>
      </c>
      <c r="E141" t="s">
        <v>59</v>
      </c>
      <c r="F141" s="51">
        <v>2291</v>
      </c>
      <c r="G141" s="51">
        <v>78</v>
      </c>
      <c r="H141" s="51">
        <v>485</v>
      </c>
      <c r="I141" s="51">
        <v>18328</v>
      </c>
      <c r="J141" s="5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  <c r="Q141" s="7">
        <f>(Table1_21718[[#This Row],[Likes]]+Table1_21718[[#This Row],[Shares]]+Table1_21718[[#This Row],[Comments]])/Table1_21718[[#This Row],[Impressions]]</f>
        <v>0.15571802706241816</v>
      </c>
      <c r="R141" s="7">
        <f>Table1_21718[[#This Row],[Likes]]+Table1_21718[[#This Row],[Shares]]+Table1_21718[[#This Row],[Comments]]</f>
        <v>2854</v>
      </c>
    </row>
    <row r="142" spans="1:18" x14ac:dyDescent="0.3">
      <c r="A142" t="s">
        <v>317</v>
      </c>
      <c r="B142" t="s">
        <v>14</v>
      </c>
      <c r="C142" s="6">
        <v>45535</v>
      </c>
      <c r="D142" t="s">
        <v>52</v>
      </c>
      <c r="E142" t="s">
        <v>132</v>
      </c>
      <c r="F142" s="51">
        <v>3170</v>
      </c>
      <c r="G142" s="51">
        <v>857</v>
      </c>
      <c r="H142" s="51">
        <v>379</v>
      </c>
      <c r="I142" s="51">
        <v>19020</v>
      </c>
      <c r="J142" s="51">
        <v>18559</v>
      </c>
      <c r="K142">
        <v>240</v>
      </c>
      <c r="L142" t="s">
        <v>62</v>
      </c>
      <c r="P142" t="s">
        <v>38</v>
      </c>
      <c r="Q142" s="7">
        <f>(Table1_21718[[#This Row],[Likes]]+Table1_21718[[#This Row],[Shares]]+Table1_21718[[#This Row],[Comments]])/Table1_21718[[#This Row],[Impressions]]</f>
        <v>0.2316508937960042</v>
      </c>
      <c r="R142" s="7">
        <f>Table1_21718[[#This Row],[Likes]]+Table1_21718[[#This Row],[Shares]]+Table1_21718[[#This Row],[Comments]]</f>
        <v>4406</v>
      </c>
    </row>
    <row r="143" spans="1:18" x14ac:dyDescent="0.3">
      <c r="A143" t="s">
        <v>319</v>
      </c>
      <c r="B143" t="s">
        <v>27</v>
      </c>
      <c r="C143" s="6">
        <v>45741</v>
      </c>
      <c r="D143" t="s">
        <v>35</v>
      </c>
      <c r="E143" t="s">
        <v>154</v>
      </c>
      <c r="F143" s="51">
        <v>2070</v>
      </c>
      <c r="G143" s="51">
        <v>275</v>
      </c>
      <c r="H143" s="51">
        <v>386</v>
      </c>
      <c r="I143" s="51">
        <v>39330</v>
      </c>
      <c r="J143" s="51">
        <v>38627</v>
      </c>
      <c r="K143">
        <v>114</v>
      </c>
      <c r="L143" t="s">
        <v>62</v>
      </c>
      <c r="O143" t="s">
        <v>38</v>
      </c>
      <c r="P143" t="s">
        <v>38</v>
      </c>
      <c r="Q143" s="7">
        <f>(Table1_21718[[#This Row],[Likes]]+Table1_21718[[#This Row],[Shares]]+Table1_21718[[#This Row],[Comments]])/Table1_21718[[#This Row],[Impressions]]</f>
        <v>6.9438087973557078E-2</v>
      </c>
      <c r="R143" s="7">
        <f>Table1_21718[[#This Row],[Likes]]+Table1_21718[[#This Row],[Shares]]+Table1_21718[[#This Row],[Comments]]</f>
        <v>2731</v>
      </c>
    </row>
    <row r="144" spans="1:18" x14ac:dyDescent="0.3">
      <c r="A144" t="s">
        <v>320</v>
      </c>
      <c r="B144" t="s">
        <v>27</v>
      </c>
      <c r="C144" s="6">
        <v>45567</v>
      </c>
      <c r="D144" t="s">
        <v>45</v>
      </c>
      <c r="E144" t="s">
        <v>68</v>
      </c>
      <c r="F144" s="51">
        <v>80</v>
      </c>
      <c r="G144" s="51">
        <v>362</v>
      </c>
      <c r="H144" s="51">
        <v>80</v>
      </c>
      <c r="I144" s="51">
        <v>1040</v>
      </c>
      <c r="J144" s="51">
        <v>349</v>
      </c>
      <c r="K144">
        <v>117</v>
      </c>
      <c r="L144" t="s">
        <v>30</v>
      </c>
      <c r="O144" t="s">
        <v>31</v>
      </c>
      <c r="P144" t="s">
        <v>31</v>
      </c>
      <c r="Q144" s="7">
        <f>(Table1_21718[[#This Row],[Likes]]+Table1_21718[[#This Row],[Shares]]+Table1_21718[[#This Row],[Comments]])/Table1_21718[[#This Row],[Impressions]]</f>
        <v>0.50192307692307692</v>
      </c>
      <c r="R144" s="7">
        <f>Table1_21718[[#This Row],[Likes]]+Table1_21718[[#This Row],[Shares]]+Table1_21718[[#This Row],[Comments]]</f>
        <v>522</v>
      </c>
    </row>
    <row r="145" spans="1:18" x14ac:dyDescent="0.3">
      <c r="A145" t="s">
        <v>321</v>
      </c>
      <c r="B145" t="s">
        <v>27</v>
      </c>
      <c r="C145" s="6">
        <v>45593</v>
      </c>
      <c r="D145" t="s">
        <v>35</v>
      </c>
      <c r="E145" t="s">
        <v>154</v>
      </c>
      <c r="F145" s="51">
        <v>4929</v>
      </c>
      <c r="G145" s="51">
        <v>749</v>
      </c>
      <c r="H145" s="51">
        <v>452</v>
      </c>
      <c r="I145" s="51">
        <v>93651</v>
      </c>
      <c r="J145" s="51">
        <v>92810</v>
      </c>
      <c r="K145">
        <v>66</v>
      </c>
      <c r="L145" t="s">
        <v>37</v>
      </c>
      <c r="O145" t="s">
        <v>38</v>
      </c>
      <c r="P145" t="s">
        <v>38</v>
      </c>
      <c r="Q145" s="7">
        <f>(Table1_21718[[#This Row],[Likes]]+Table1_21718[[#This Row],[Shares]]+Table1_21718[[#This Row],[Comments]])/Table1_21718[[#This Row],[Impressions]]</f>
        <v>6.5455787978772245E-2</v>
      </c>
      <c r="R145" s="7">
        <f>Table1_21718[[#This Row],[Likes]]+Table1_21718[[#This Row],[Shares]]+Table1_21718[[#This Row],[Comments]]</f>
        <v>6130</v>
      </c>
    </row>
    <row r="146" spans="1:18" x14ac:dyDescent="0.3">
      <c r="A146" t="s">
        <v>322</v>
      </c>
      <c r="B146" t="s">
        <v>33</v>
      </c>
      <c r="C146" s="6">
        <v>45516</v>
      </c>
      <c r="D146" t="s">
        <v>45</v>
      </c>
      <c r="E146" t="s">
        <v>88</v>
      </c>
      <c r="F146" s="51">
        <v>1878</v>
      </c>
      <c r="G146" s="51">
        <v>62</v>
      </c>
      <c r="H146" s="51">
        <v>179</v>
      </c>
      <c r="I146" s="51">
        <v>37560</v>
      </c>
      <c r="J146" s="51">
        <v>36874</v>
      </c>
      <c r="K146">
        <v>142</v>
      </c>
      <c r="L146" t="s">
        <v>30</v>
      </c>
      <c r="O146" t="s">
        <v>38</v>
      </c>
      <c r="P146" t="s">
        <v>38</v>
      </c>
      <c r="Q146" s="7">
        <f>(Table1_21718[[#This Row],[Likes]]+Table1_21718[[#This Row],[Shares]]+Table1_21718[[#This Row],[Comments]])/Table1_21718[[#This Row],[Impressions]]</f>
        <v>5.6416400425985093E-2</v>
      </c>
      <c r="R146" s="7">
        <f>Table1_21718[[#This Row],[Likes]]+Table1_21718[[#This Row],[Shares]]+Table1_21718[[#This Row],[Comments]]</f>
        <v>2119</v>
      </c>
    </row>
    <row r="147" spans="1:18" x14ac:dyDescent="0.3">
      <c r="A147" t="s">
        <v>323</v>
      </c>
      <c r="B147" t="s">
        <v>27</v>
      </c>
      <c r="C147" s="6">
        <v>45448</v>
      </c>
      <c r="D147" t="s">
        <v>16</v>
      </c>
      <c r="E147" t="s">
        <v>29</v>
      </c>
      <c r="F147" s="51">
        <v>3065</v>
      </c>
      <c r="G147" s="51">
        <v>772</v>
      </c>
      <c r="H147" s="51">
        <v>142</v>
      </c>
      <c r="I147" s="51">
        <v>18390</v>
      </c>
      <c r="J147" s="51">
        <v>17875</v>
      </c>
      <c r="K147">
        <v>200</v>
      </c>
      <c r="L147" t="s">
        <v>37</v>
      </c>
      <c r="M147" t="s">
        <v>615</v>
      </c>
      <c r="P147" t="s">
        <v>19</v>
      </c>
      <c r="Q147" s="7">
        <f>(Table1_21718[[#This Row],[Likes]]+Table1_21718[[#This Row],[Shares]]+Table1_21718[[#This Row],[Comments]])/Table1_21718[[#This Row],[Impressions]]</f>
        <v>0.21636759108210984</v>
      </c>
      <c r="R147" s="7">
        <f>Table1_21718[[#This Row],[Likes]]+Table1_21718[[#This Row],[Shares]]+Table1_21718[[#This Row],[Comments]]</f>
        <v>3979</v>
      </c>
    </row>
    <row r="148" spans="1:18" x14ac:dyDescent="0.3">
      <c r="A148" t="s">
        <v>326</v>
      </c>
      <c r="B148" t="s">
        <v>33</v>
      </c>
      <c r="C148" s="6">
        <v>45586</v>
      </c>
      <c r="D148" t="s">
        <v>16</v>
      </c>
      <c r="E148" t="s">
        <v>82</v>
      </c>
      <c r="F148" s="51">
        <v>3256</v>
      </c>
      <c r="G148" s="51">
        <v>459</v>
      </c>
      <c r="H148" s="51">
        <v>266</v>
      </c>
      <c r="I148" s="51">
        <v>26048</v>
      </c>
      <c r="J148" s="51">
        <v>25529</v>
      </c>
      <c r="K148">
        <v>143</v>
      </c>
      <c r="L148" t="s">
        <v>30</v>
      </c>
      <c r="O148" t="s">
        <v>25</v>
      </c>
      <c r="P148" t="s">
        <v>25</v>
      </c>
      <c r="Q148" s="7">
        <f>(Table1_21718[[#This Row],[Likes]]+Table1_21718[[#This Row],[Shares]]+Table1_21718[[#This Row],[Comments]])/Table1_21718[[#This Row],[Impressions]]</f>
        <v>0.15283323095823095</v>
      </c>
      <c r="R148" s="7">
        <f>Table1_21718[[#This Row],[Likes]]+Table1_21718[[#This Row],[Shares]]+Table1_21718[[#This Row],[Comments]]</f>
        <v>3981</v>
      </c>
    </row>
    <row r="149" spans="1:18" x14ac:dyDescent="0.3">
      <c r="A149" t="s">
        <v>327</v>
      </c>
      <c r="B149" t="s">
        <v>33</v>
      </c>
      <c r="C149" s="6">
        <v>45762</v>
      </c>
      <c r="D149" t="s">
        <v>74</v>
      </c>
      <c r="E149" t="s">
        <v>85</v>
      </c>
      <c r="F149" s="51">
        <v>4133</v>
      </c>
      <c r="G149" s="51">
        <v>466</v>
      </c>
      <c r="H149" s="51">
        <v>327</v>
      </c>
      <c r="I149" s="51">
        <v>24798</v>
      </c>
      <c r="J149" s="51">
        <v>24620</v>
      </c>
      <c r="K149">
        <v>176</v>
      </c>
      <c r="L149" t="s">
        <v>37</v>
      </c>
      <c r="O149" t="s">
        <v>38</v>
      </c>
      <c r="P149" t="s">
        <v>38</v>
      </c>
      <c r="Q149" s="7">
        <f>(Table1_21718[[#This Row],[Likes]]+Table1_21718[[#This Row],[Shares]]+Table1_21718[[#This Row],[Comments]])/Table1_21718[[#This Row],[Impressions]]</f>
        <v>0.19864505202032423</v>
      </c>
      <c r="R149" s="7">
        <f>Table1_21718[[#This Row],[Likes]]+Table1_21718[[#This Row],[Shares]]+Table1_21718[[#This Row],[Comments]]</f>
        <v>4926</v>
      </c>
    </row>
    <row r="150" spans="1:18" x14ac:dyDescent="0.3">
      <c r="A150" t="s">
        <v>328</v>
      </c>
      <c r="B150" t="s">
        <v>14</v>
      </c>
      <c r="C150" s="6">
        <v>45459</v>
      </c>
      <c r="D150" t="s">
        <v>74</v>
      </c>
      <c r="E150" t="s">
        <v>145</v>
      </c>
      <c r="F150" s="51">
        <v>1702</v>
      </c>
      <c r="G150" s="51">
        <v>750</v>
      </c>
      <c r="H150" s="51">
        <v>179</v>
      </c>
      <c r="I150" s="51">
        <v>34040</v>
      </c>
      <c r="J150" s="51">
        <v>33174</v>
      </c>
      <c r="K150">
        <v>76</v>
      </c>
      <c r="L150" t="s">
        <v>37</v>
      </c>
      <c r="O150" t="s">
        <v>19</v>
      </c>
      <c r="P150" t="s">
        <v>19</v>
      </c>
      <c r="Q150" s="7">
        <f>(Table1_21718[[#This Row],[Likes]]+Table1_21718[[#This Row],[Shares]]+Table1_21718[[#This Row],[Comments]])/Table1_21718[[#This Row],[Impressions]]</f>
        <v>7.7291421856639245E-2</v>
      </c>
      <c r="R150" s="7">
        <f>Table1_21718[[#This Row],[Likes]]+Table1_21718[[#This Row],[Shares]]+Table1_21718[[#This Row],[Comments]]</f>
        <v>2631</v>
      </c>
    </row>
    <row r="151" spans="1:18" x14ac:dyDescent="0.3">
      <c r="A151" t="s">
        <v>330</v>
      </c>
      <c r="B151" t="s">
        <v>27</v>
      </c>
      <c r="C151" s="6">
        <v>45526</v>
      </c>
      <c r="D151" t="s">
        <v>45</v>
      </c>
      <c r="E151" t="s">
        <v>68</v>
      </c>
      <c r="F151" s="51">
        <v>4295</v>
      </c>
      <c r="G151" s="51">
        <v>853</v>
      </c>
      <c r="H151" s="51">
        <v>325</v>
      </c>
      <c r="I151" s="51">
        <v>85900</v>
      </c>
      <c r="J151" s="51">
        <v>85788</v>
      </c>
      <c r="K151">
        <v>290</v>
      </c>
      <c r="L151" t="s">
        <v>30</v>
      </c>
      <c r="O151" t="s">
        <v>38</v>
      </c>
      <c r="P151" t="s">
        <v>38</v>
      </c>
      <c r="Q151" s="7">
        <f>(Table1_21718[[#This Row],[Likes]]+Table1_21718[[#This Row],[Shares]]+Table1_21718[[#This Row],[Comments]])/Table1_21718[[#This Row],[Impressions]]</f>
        <v>6.3713620488940623E-2</v>
      </c>
      <c r="R151" s="7">
        <f>Table1_21718[[#This Row],[Likes]]+Table1_21718[[#This Row],[Shares]]+Table1_21718[[#This Row],[Comments]]</f>
        <v>5473</v>
      </c>
    </row>
    <row r="152" spans="1:18" x14ac:dyDescent="0.3">
      <c r="A152" t="s">
        <v>332</v>
      </c>
      <c r="B152" t="s">
        <v>33</v>
      </c>
      <c r="C152" s="6">
        <v>45499</v>
      </c>
      <c r="D152" t="s">
        <v>52</v>
      </c>
      <c r="E152" t="s">
        <v>215</v>
      </c>
      <c r="F152" s="51">
        <v>3559</v>
      </c>
      <c r="G152" s="51">
        <v>59</v>
      </c>
      <c r="H152" s="51">
        <v>289</v>
      </c>
      <c r="I152" s="51">
        <v>35590</v>
      </c>
      <c r="J152" s="51">
        <v>35105</v>
      </c>
      <c r="K152">
        <v>122</v>
      </c>
      <c r="L152" t="s">
        <v>37</v>
      </c>
      <c r="O152" t="s">
        <v>19</v>
      </c>
      <c r="P152" t="s">
        <v>19</v>
      </c>
      <c r="Q152" s="7">
        <f>(Table1_21718[[#This Row],[Likes]]+Table1_21718[[#This Row],[Shares]]+Table1_21718[[#This Row],[Comments]])/Table1_21718[[#This Row],[Impressions]]</f>
        <v>0.10977802753582468</v>
      </c>
      <c r="R152" s="7">
        <f>Table1_21718[[#This Row],[Likes]]+Table1_21718[[#This Row],[Shares]]+Table1_21718[[#This Row],[Comments]]</f>
        <v>3907</v>
      </c>
    </row>
    <row r="153" spans="1:18" x14ac:dyDescent="0.3">
      <c r="A153" t="s">
        <v>333</v>
      </c>
      <c r="B153" t="s">
        <v>43</v>
      </c>
      <c r="C153" s="6">
        <v>45769</v>
      </c>
      <c r="D153" t="s">
        <v>52</v>
      </c>
      <c r="E153" t="s">
        <v>59</v>
      </c>
      <c r="F153" s="51">
        <v>4804</v>
      </c>
      <c r="G153" s="51">
        <v>550</v>
      </c>
      <c r="H153" s="51">
        <v>270</v>
      </c>
      <c r="I153" s="51">
        <v>28824</v>
      </c>
      <c r="J153" s="51">
        <v>28370</v>
      </c>
      <c r="K153">
        <v>47</v>
      </c>
      <c r="L153" t="s">
        <v>37</v>
      </c>
      <c r="O153" t="s">
        <v>38</v>
      </c>
      <c r="P153" t="s">
        <v>38</v>
      </c>
      <c r="Q153" s="7">
        <f>(Table1_21718[[#This Row],[Likes]]+Table1_21718[[#This Row],[Shares]]+Table1_21718[[#This Row],[Comments]])/Table1_21718[[#This Row],[Impressions]]</f>
        <v>0.19511518179295032</v>
      </c>
      <c r="R153" s="7">
        <f>Table1_21718[[#This Row],[Likes]]+Table1_21718[[#This Row],[Shares]]+Table1_21718[[#This Row],[Comments]]</f>
        <v>5624</v>
      </c>
    </row>
    <row r="154" spans="1:18" x14ac:dyDescent="0.3">
      <c r="A154" t="s">
        <v>335</v>
      </c>
      <c r="B154" t="s">
        <v>14</v>
      </c>
      <c r="C154" s="6">
        <v>45658</v>
      </c>
      <c r="D154" t="s">
        <v>74</v>
      </c>
      <c r="E154" t="s">
        <v>145</v>
      </c>
      <c r="F154" s="51">
        <v>754</v>
      </c>
      <c r="G154" s="51">
        <v>197</v>
      </c>
      <c r="H154" s="51">
        <v>257</v>
      </c>
      <c r="I154" s="51">
        <v>6786</v>
      </c>
      <c r="J154" s="51">
        <v>6221</v>
      </c>
      <c r="K154">
        <v>212</v>
      </c>
      <c r="L154" t="s">
        <v>30</v>
      </c>
      <c r="O154" t="s">
        <v>31</v>
      </c>
      <c r="P154" t="s">
        <v>31</v>
      </c>
      <c r="Q154" s="7">
        <f>(Table1_21718[[#This Row],[Likes]]+Table1_21718[[#This Row],[Shares]]+Table1_21718[[#This Row],[Comments]])/Table1_21718[[#This Row],[Impressions]]</f>
        <v>0.17801355732390214</v>
      </c>
      <c r="R154" s="7">
        <f>Table1_21718[[#This Row],[Likes]]+Table1_21718[[#This Row],[Shares]]+Table1_21718[[#This Row],[Comments]]</f>
        <v>1208</v>
      </c>
    </row>
    <row r="155" spans="1:18" x14ac:dyDescent="0.3">
      <c r="A155" t="s">
        <v>337</v>
      </c>
      <c r="B155" t="s">
        <v>33</v>
      </c>
      <c r="C155" s="6">
        <v>45574</v>
      </c>
      <c r="D155" t="s">
        <v>45</v>
      </c>
      <c r="E155" t="s">
        <v>88</v>
      </c>
      <c r="F155" s="51">
        <v>985</v>
      </c>
      <c r="G155" s="51">
        <v>932</v>
      </c>
      <c r="H155" s="51">
        <v>287</v>
      </c>
      <c r="I155" s="51">
        <v>6895</v>
      </c>
      <c r="J155" s="51">
        <v>6757</v>
      </c>
      <c r="K155">
        <v>64</v>
      </c>
      <c r="L155" t="s">
        <v>62</v>
      </c>
      <c r="O155" t="s">
        <v>38</v>
      </c>
      <c r="P155" t="s">
        <v>38</v>
      </c>
      <c r="Q155" s="7">
        <f>(Table1_21718[[#This Row],[Likes]]+Table1_21718[[#This Row],[Shares]]+Table1_21718[[#This Row],[Comments]])/Table1_21718[[#This Row],[Impressions]]</f>
        <v>0.31965192168237855</v>
      </c>
      <c r="R155" s="7">
        <f>Table1_21718[[#This Row],[Likes]]+Table1_21718[[#This Row],[Shares]]+Table1_21718[[#This Row],[Comments]]</f>
        <v>2204</v>
      </c>
    </row>
    <row r="156" spans="1:18" x14ac:dyDescent="0.3">
      <c r="A156" t="s">
        <v>338</v>
      </c>
      <c r="B156" t="s">
        <v>27</v>
      </c>
      <c r="C156" s="6">
        <v>45647</v>
      </c>
      <c r="D156" t="s">
        <v>52</v>
      </c>
      <c r="E156" t="s">
        <v>53</v>
      </c>
      <c r="F156" s="51">
        <v>2283</v>
      </c>
      <c r="G156" s="51">
        <v>210</v>
      </c>
      <c r="H156" s="51">
        <v>130</v>
      </c>
      <c r="I156" s="51">
        <v>22830</v>
      </c>
      <c r="J156" s="51">
        <v>22617</v>
      </c>
      <c r="K156">
        <v>143</v>
      </c>
      <c r="L156" t="s">
        <v>62</v>
      </c>
      <c r="O156" t="s">
        <v>25</v>
      </c>
      <c r="P156" t="s">
        <v>25</v>
      </c>
      <c r="Q156" s="7">
        <f>(Table1_21718[[#This Row],[Likes]]+Table1_21718[[#This Row],[Shares]]+Table1_21718[[#This Row],[Comments]])/Table1_21718[[#This Row],[Impressions]]</f>
        <v>0.11489268506351293</v>
      </c>
      <c r="R156" s="7">
        <f>Table1_21718[[#This Row],[Likes]]+Table1_21718[[#This Row],[Shares]]+Table1_21718[[#This Row],[Comments]]</f>
        <v>2623</v>
      </c>
    </row>
    <row r="157" spans="1:18" x14ac:dyDescent="0.3">
      <c r="A157" t="s">
        <v>340</v>
      </c>
      <c r="B157" t="s">
        <v>43</v>
      </c>
      <c r="C157" s="6">
        <v>45587</v>
      </c>
      <c r="D157" t="s">
        <v>45</v>
      </c>
      <c r="E157" t="s">
        <v>46</v>
      </c>
      <c r="F157" s="51">
        <v>3352</v>
      </c>
      <c r="G157" s="51">
        <v>941</v>
      </c>
      <c r="H157" s="51">
        <v>482</v>
      </c>
      <c r="I157" s="51">
        <v>43576</v>
      </c>
      <c r="J157" s="51">
        <v>43338</v>
      </c>
      <c r="K157">
        <v>240</v>
      </c>
      <c r="L157" t="s">
        <v>62</v>
      </c>
      <c r="O157" t="s">
        <v>25</v>
      </c>
      <c r="P157" t="s">
        <v>25</v>
      </c>
      <c r="Q157" s="7">
        <f>(Table1_21718[[#This Row],[Likes]]+Table1_21718[[#This Row],[Shares]]+Table1_21718[[#This Row],[Comments]])/Table1_21718[[#This Row],[Impressions]]</f>
        <v>0.1095786671562328</v>
      </c>
      <c r="R157" s="7">
        <f>Table1_21718[[#This Row],[Likes]]+Table1_21718[[#This Row],[Shares]]+Table1_21718[[#This Row],[Comments]]</f>
        <v>4775</v>
      </c>
    </row>
    <row r="158" spans="1:18" x14ac:dyDescent="0.3">
      <c r="A158" t="s">
        <v>342</v>
      </c>
      <c r="B158" t="s">
        <v>27</v>
      </c>
      <c r="C158" s="6">
        <v>45496</v>
      </c>
      <c r="D158" t="s">
        <v>35</v>
      </c>
      <c r="E158" t="s">
        <v>154</v>
      </c>
      <c r="F158" s="51">
        <v>4775</v>
      </c>
      <c r="G158" s="51">
        <v>173</v>
      </c>
      <c r="H158" s="51">
        <v>206</v>
      </c>
      <c r="I158" s="51">
        <v>47750</v>
      </c>
      <c r="J158" s="51">
        <v>47544</v>
      </c>
      <c r="K158">
        <v>187</v>
      </c>
      <c r="L158" t="s">
        <v>62</v>
      </c>
      <c r="O158" t="s">
        <v>25</v>
      </c>
      <c r="P158" t="s">
        <v>25</v>
      </c>
      <c r="Q158" s="7">
        <f>(Table1_21718[[#This Row],[Likes]]+Table1_21718[[#This Row],[Shares]]+Table1_21718[[#This Row],[Comments]])/Table1_21718[[#This Row],[Impressions]]</f>
        <v>0.10793717277486911</v>
      </c>
      <c r="R158" s="7">
        <f>Table1_21718[[#This Row],[Likes]]+Table1_21718[[#This Row],[Shares]]+Table1_21718[[#This Row],[Comments]]</f>
        <v>5154</v>
      </c>
    </row>
    <row r="159" spans="1:18" x14ac:dyDescent="0.3">
      <c r="A159" t="s">
        <v>344</v>
      </c>
      <c r="B159" t="s">
        <v>33</v>
      </c>
      <c r="C159" s="6">
        <v>45515</v>
      </c>
      <c r="D159" t="s">
        <v>35</v>
      </c>
      <c r="E159" t="s">
        <v>36</v>
      </c>
      <c r="F159" s="51">
        <v>1762</v>
      </c>
      <c r="G159" s="51">
        <v>405</v>
      </c>
      <c r="H159" s="51">
        <v>423</v>
      </c>
      <c r="I159" s="51">
        <v>22906</v>
      </c>
      <c r="J159" s="51">
        <v>21925</v>
      </c>
      <c r="K159">
        <v>25</v>
      </c>
      <c r="L159" t="s">
        <v>30</v>
      </c>
      <c r="O159" t="s">
        <v>19</v>
      </c>
      <c r="P159" t="s">
        <v>19</v>
      </c>
      <c r="Q159" s="7">
        <f>(Table1_21718[[#This Row],[Likes]]+Table1_21718[[#This Row],[Shares]]+Table1_21718[[#This Row],[Comments]])/Table1_21718[[#This Row],[Impressions]]</f>
        <v>0.11307081114118571</v>
      </c>
      <c r="R159" s="7">
        <f>Table1_21718[[#This Row],[Likes]]+Table1_21718[[#This Row],[Shares]]+Table1_21718[[#This Row],[Comments]]</f>
        <v>2590</v>
      </c>
    </row>
    <row r="160" spans="1:18" x14ac:dyDescent="0.3">
      <c r="A160" t="s">
        <v>346</v>
      </c>
      <c r="B160" t="s">
        <v>43</v>
      </c>
      <c r="C160" s="6">
        <v>45621</v>
      </c>
      <c r="D160" t="s">
        <v>35</v>
      </c>
      <c r="E160" t="s">
        <v>71</v>
      </c>
      <c r="F160" s="51">
        <v>2120</v>
      </c>
      <c r="G160" s="51">
        <v>158</v>
      </c>
      <c r="H160" s="51">
        <v>488</v>
      </c>
      <c r="I160" s="51">
        <v>12720</v>
      </c>
      <c r="J160" s="51">
        <v>12085</v>
      </c>
      <c r="K160">
        <v>17</v>
      </c>
      <c r="L160" t="s">
        <v>62</v>
      </c>
      <c r="O160" t="s">
        <v>25</v>
      </c>
      <c r="P160" t="s">
        <v>25</v>
      </c>
      <c r="Q160" s="7">
        <f>(Table1_21718[[#This Row],[Likes]]+Table1_21718[[#This Row],[Shares]]+Table1_21718[[#This Row],[Comments]])/Table1_21718[[#This Row],[Impressions]]</f>
        <v>0.21745283018867925</v>
      </c>
      <c r="R160" s="7">
        <f>Table1_21718[[#This Row],[Likes]]+Table1_21718[[#This Row],[Shares]]+Table1_21718[[#This Row],[Comments]]</f>
        <v>2766</v>
      </c>
    </row>
    <row r="161" spans="1:18" x14ac:dyDescent="0.3">
      <c r="A161" t="s">
        <v>347</v>
      </c>
      <c r="B161" t="s">
        <v>14</v>
      </c>
      <c r="C161" s="6">
        <v>45528</v>
      </c>
      <c r="D161" t="s">
        <v>74</v>
      </c>
      <c r="E161" t="s">
        <v>145</v>
      </c>
      <c r="F161" s="51">
        <v>1082</v>
      </c>
      <c r="G161" s="51">
        <v>209</v>
      </c>
      <c r="H161" s="51">
        <v>484</v>
      </c>
      <c r="I161" s="51">
        <v>19476</v>
      </c>
      <c r="J161" s="51">
        <v>18654</v>
      </c>
      <c r="K161">
        <v>20</v>
      </c>
      <c r="L161" t="s">
        <v>30</v>
      </c>
      <c r="P161" t="s">
        <v>25</v>
      </c>
      <c r="Q161" s="7">
        <f>(Table1_21718[[#This Row],[Likes]]+Table1_21718[[#This Row],[Shares]]+Table1_21718[[#This Row],[Comments]])/Table1_21718[[#This Row],[Impressions]]</f>
        <v>9.1137810638734856E-2</v>
      </c>
      <c r="R161" s="7">
        <f>Table1_21718[[#This Row],[Likes]]+Table1_21718[[#This Row],[Shares]]+Table1_21718[[#This Row],[Comments]]</f>
        <v>1775</v>
      </c>
    </row>
    <row r="162" spans="1:18" x14ac:dyDescent="0.3">
      <c r="A162" t="s">
        <v>349</v>
      </c>
      <c r="B162" t="s">
        <v>14</v>
      </c>
      <c r="C162" s="6">
        <v>45707</v>
      </c>
      <c r="D162" t="s">
        <v>22</v>
      </c>
      <c r="E162" t="s">
        <v>23</v>
      </c>
      <c r="F162" s="51">
        <v>4671</v>
      </c>
      <c r="G162" s="51">
        <v>876</v>
      </c>
      <c r="H162" s="51">
        <v>366</v>
      </c>
      <c r="I162" s="51">
        <v>51381</v>
      </c>
      <c r="J162" s="51">
        <v>50565</v>
      </c>
      <c r="K162">
        <v>245</v>
      </c>
      <c r="L162" t="s">
        <v>30</v>
      </c>
      <c r="O162" t="s">
        <v>38</v>
      </c>
      <c r="P162" t="s">
        <v>38</v>
      </c>
      <c r="Q162" s="7">
        <f>(Table1_21718[[#This Row],[Likes]]+Table1_21718[[#This Row],[Shares]]+Table1_21718[[#This Row],[Comments]])/Table1_21718[[#This Row],[Impressions]]</f>
        <v>0.11508145034156594</v>
      </c>
      <c r="R162" s="7">
        <f>Table1_21718[[#This Row],[Likes]]+Table1_21718[[#This Row],[Shares]]+Table1_21718[[#This Row],[Comments]]</f>
        <v>5913</v>
      </c>
    </row>
    <row r="163" spans="1:18" x14ac:dyDescent="0.3">
      <c r="A163" t="s">
        <v>351</v>
      </c>
      <c r="B163" t="s">
        <v>43</v>
      </c>
      <c r="C163" s="6">
        <v>45748</v>
      </c>
      <c r="D163" t="s">
        <v>35</v>
      </c>
      <c r="E163" t="s">
        <v>71</v>
      </c>
      <c r="F163" s="51">
        <v>3430</v>
      </c>
      <c r="G163" s="51">
        <v>566</v>
      </c>
      <c r="H163" s="51">
        <v>164</v>
      </c>
      <c r="I163" s="51">
        <v>48020</v>
      </c>
      <c r="J163" s="51">
        <v>47305</v>
      </c>
      <c r="K163">
        <v>120</v>
      </c>
      <c r="L163" t="s">
        <v>62</v>
      </c>
      <c r="P163" t="s">
        <v>38</v>
      </c>
      <c r="Q163" s="7">
        <f>(Table1_21718[[#This Row],[Likes]]+Table1_21718[[#This Row],[Shares]]+Table1_21718[[#This Row],[Comments]])/Table1_21718[[#This Row],[Impressions]]</f>
        <v>8.6630570595585168E-2</v>
      </c>
      <c r="R163" s="7">
        <f>Table1_21718[[#This Row],[Likes]]+Table1_21718[[#This Row],[Shares]]+Table1_21718[[#This Row],[Comments]]</f>
        <v>4160</v>
      </c>
    </row>
    <row r="164" spans="1:18" x14ac:dyDescent="0.3">
      <c r="A164" t="s">
        <v>353</v>
      </c>
      <c r="B164" t="s">
        <v>33</v>
      </c>
      <c r="C164" s="6">
        <v>45755</v>
      </c>
      <c r="D164" t="s">
        <v>52</v>
      </c>
      <c r="E164" t="s">
        <v>215</v>
      </c>
      <c r="F164" s="51">
        <v>4501</v>
      </c>
      <c r="G164" s="51">
        <v>375</v>
      </c>
      <c r="H164" s="51">
        <v>323</v>
      </c>
      <c r="I164" s="51">
        <v>22505</v>
      </c>
      <c r="J164" s="51">
        <v>21836</v>
      </c>
      <c r="K164">
        <v>132</v>
      </c>
      <c r="L164" t="s">
        <v>30</v>
      </c>
      <c r="O164" t="s">
        <v>25</v>
      </c>
      <c r="P164" t="s">
        <v>25</v>
      </c>
      <c r="Q164" s="7">
        <f>(Table1_21718[[#This Row],[Likes]]+Table1_21718[[#This Row],[Shares]]+Table1_21718[[#This Row],[Comments]])/Table1_21718[[#This Row],[Impressions]]</f>
        <v>0.23101532992668297</v>
      </c>
      <c r="R164" s="7">
        <f>Table1_21718[[#This Row],[Likes]]+Table1_21718[[#This Row],[Shares]]+Table1_21718[[#This Row],[Comments]]</f>
        <v>5199</v>
      </c>
    </row>
    <row r="165" spans="1:18" x14ac:dyDescent="0.3">
      <c r="A165" t="s">
        <v>355</v>
      </c>
      <c r="B165" t="s">
        <v>27</v>
      </c>
      <c r="C165" s="6">
        <v>45715</v>
      </c>
      <c r="D165" t="s">
        <v>22</v>
      </c>
      <c r="E165" t="s">
        <v>104</v>
      </c>
      <c r="F165" s="51">
        <v>4934</v>
      </c>
      <c r="G165" s="51">
        <v>971</v>
      </c>
      <c r="H165" s="51">
        <v>156</v>
      </c>
      <c r="I165" s="51">
        <v>39472</v>
      </c>
      <c r="J165" s="51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  <c r="Q165" s="7">
        <f>(Table1_21718[[#This Row],[Likes]]+Table1_21718[[#This Row],[Shares]]+Table1_21718[[#This Row],[Comments]])/Table1_21718[[#This Row],[Impressions]]</f>
        <v>0.15355188488042157</v>
      </c>
      <c r="R165" s="7">
        <f>Table1_21718[[#This Row],[Likes]]+Table1_21718[[#This Row],[Shares]]+Table1_21718[[#This Row],[Comments]]</f>
        <v>6061</v>
      </c>
    </row>
    <row r="166" spans="1:18" x14ac:dyDescent="0.3">
      <c r="A166" t="s">
        <v>356</v>
      </c>
      <c r="B166" t="s">
        <v>14</v>
      </c>
      <c r="C166" s="6">
        <v>45637</v>
      </c>
      <c r="D166" t="s">
        <v>22</v>
      </c>
      <c r="E166" t="s">
        <v>23</v>
      </c>
      <c r="F166" s="51">
        <v>3239</v>
      </c>
      <c r="G166" s="51">
        <v>43</v>
      </c>
      <c r="H166" s="51">
        <v>211</v>
      </c>
      <c r="I166" s="51">
        <v>22673</v>
      </c>
      <c r="J166" s="51">
        <v>22171</v>
      </c>
      <c r="K166">
        <v>230</v>
      </c>
      <c r="L166" t="s">
        <v>30</v>
      </c>
      <c r="O166" t="s">
        <v>25</v>
      </c>
      <c r="P166" t="s">
        <v>25</v>
      </c>
      <c r="Q166" s="7">
        <f>(Table1_21718[[#This Row],[Likes]]+Table1_21718[[#This Row],[Shares]]+Table1_21718[[#This Row],[Comments]])/Table1_21718[[#This Row],[Impressions]]</f>
        <v>0.15405989502933004</v>
      </c>
      <c r="R166" s="7">
        <f>Table1_21718[[#This Row],[Likes]]+Table1_21718[[#This Row],[Shares]]+Table1_21718[[#This Row],[Comments]]</f>
        <v>3493</v>
      </c>
    </row>
    <row r="167" spans="1:18" x14ac:dyDescent="0.3">
      <c r="A167" t="s">
        <v>357</v>
      </c>
      <c r="B167" t="s">
        <v>14</v>
      </c>
      <c r="C167" s="6">
        <v>45704</v>
      </c>
      <c r="D167" t="s">
        <v>16</v>
      </c>
      <c r="E167" t="s">
        <v>17</v>
      </c>
      <c r="F167" s="51">
        <v>1076</v>
      </c>
      <c r="G167" s="51">
        <v>313</v>
      </c>
      <c r="H167" s="51">
        <v>306</v>
      </c>
      <c r="I167" s="51">
        <v>11836</v>
      </c>
      <c r="J167" s="51">
        <v>11596</v>
      </c>
      <c r="K167">
        <v>104</v>
      </c>
      <c r="L167" t="s">
        <v>62</v>
      </c>
      <c r="O167" t="s">
        <v>19</v>
      </c>
      <c r="P167" t="s">
        <v>19</v>
      </c>
      <c r="Q167" s="7">
        <f>(Table1_21718[[#This Row],[Likes]]+Table1_21718[[#This Row],[Shares]]+Table1_21718[[#This Row],[Comments]])/Table1_21718[[#This Row],[Impressions]]</f>
        <v>0.14320716458262928</v>
      </c>
      <c r="R167" s="7">
        <f>Table1_21718[[#This Row],[Likes]]+Table1_21718[[#This Row],[Shares]]+Table1_21718[[#This Row],[Comments]]</f>
        <v>1695</v>
      </c>
    </row>
    <row r="168" spans="1:18" x14ac:dyDescent="0.3">
      <c r="A168" t="s">
        <v>358</v>
      </c>
      <c r="B168" t="s">
        <v>33</v>
      </c>
      <c r="C168" s="6">
        <v>45624</v>
      </c>
      <c r="D168" t="s">
        <v>22</v>
      </c>
      <c r="E168" t="s">
        <v>113</v>
      </c>
      <c r="F168" s="51">
        <v>4771</v>
      </c>
      <c r="G168" s="51">
        <v>818</v>
      </c>
      <c r="H168" s="51">
        <v>56</v>
      </c>
      <c r="I168" s="51">
        <v>57252</v>
      </c>
      <c r="J168" s="51">
        <v>56378</v>
      </c>
      <c r="K168">
        <v>150</v>
      </c>
      <c r="L168" t="s">
        <v>62</v>
      </c>
      <c r="P168" t="s">
        <v>38</v>
      </c>
      <c r="Q168" s="7">
        <f>(Table1_21718[[#This Row],[Likes]]+Table1_21718[[#This Row],[Shares]]+Table1_21718[[#This Row],[Comments]])/Table1_21718[[#This Row],[Impressions]]</f>
        <v>9.859917557465242E-2</v>
      </c>
      <c r="R168" s="7">
        <f>Table1_21718[[#This Row],[Likes]]+Table1_21718[[#This Row],[Shares]]+Table1_21718[[#This Row],[Comments]]</f>
        <v>5645</v>
      </c>
    </row>
    <row r="169" spans="1:18" x14ac:dyDescent="0.3">
      <c r="A169" t="s">
        <v>359</v>
      </c>
      <c r="B169" t="s">
        <v>43</v>
      </c>
      <c r="C169" s="6">
        <v>45608</v>
      </c>
      <c r="D169" t="s">
        <v>22</v>
      </c>
      <c r="E169" t="s">
        <v>56</v>
      </c>
      <c r="F169" s="51">
        <v>2418</v>
      </c>
      <c r="G169" s="51">
        <v>754</v>
      </c>
      <c r="H169" s="51">
        <v>54</v>
      </c>
      <c r="I169" s="51">
        <v>43524</v>
      </c>
      <c r="J169" s="51">
        <v>42743</v>
      </c>
      <c r="K169">
        <v>182</v>
      </c>
      <c r="L169" t="s">
        <v>37</v>
      </c>
      <c r="O169" t="s">
        <v>19</v>
      </c>
      <c r="P169" t="s">
        <v>19</v>
      </c>
      <c r="Q169" s="7">
        <f>(Table1_21718[[#This Row],[Likes]]+Table1_21718[[#This Row],[Shares]]+Table1_21718[[#This Row],[Comments]])/Table1_21718[[#This Row],[Impressions]]</f>
        <v>7.412002573292896E-2</v>
      </c>
      <c r="R169" s="7">
        <f>Table1_21718[[#This Row],[Likes]]+Table1_21718[[#This Row],[Shares]]+Table1_21718[[#This Row],[Comments]]</f>
        <v>3226</v>
      </c>
    </row>
    <row r="170" spans="1:18" x14ac:dyDescent="0.3">
      <c r="A170" t="s">
        <v>361</v>
      </c>
      <c r="B170" t="s">
        <v>27</v>
      </c>
      <c r="C170" s="6">
        <v>45629</v>
      </c>
      <c r="D170" t="s">
        <v>74</v>
      </c>
      <c r="E170" t="s">
        <v>219</v>
      </c>
      <c r="F170" s="51">
        <v>3809</v>
      </c>
      <c r="G170" s="51">
        <v>273</v>
      </c>
      <c r="H170" s="51">
        <v>200</v>
      </c>
      <c r="I170" s="51">
        <v>34281</v>
      </c>
      <c r="J170" s="51">
        <v>33534</v>
      </c>
      <c r="K170">
        <v>83</v>
      </c>
      <c r="L170" t="s">
        <v>37</v>
      </c>
      <c r="O170" t="s">
        <v>19</v>
      </c>
      <c r="P170" t="s">
        <v>19</v>
      </c>
      <c r="Q170" s="7">
        <f>(Table1_21718[[#This Row],[Likes]]+Table1_21718[[#This Row],[Shares]]+Table1_21718[[#This Row],[Comments]])/Table1_21718[[#This Row],[Impressions]]</f>
        <v>0.12490884163239112</v>
      </c>
      <c r="R170" s="7">
        <f>Table1_21718[[#This Row],[Likes]]+Table1_21718[[#This Row],[Shares]]+Table1_21718[[#This Row],[Comments]]</f>
        <v>4282</v>
      </c>
    </row>
    <row r="171" spans="1:18" x14ac:dyDescent="0.3">
      <c r="A171" t="s">
        <v>363</v>
      </c>
      <c r="B171" t="s">
        <v>14</v>
      </c>
      <c r="C171" s="6">
        <v>45775</v>
      </c>
      <c r="D171" t="s">
        <v>22</v>
      </c>
      <c r="E171" t="s">
        <v>23</v>
      </c>
      <c r="F171" s="51">
        <v>3577</v>
      </c>
      <c r="G171" s="51">
        <v>596</v>
      </c>
      <c r="H171" s="51">
        <v>493</v>
      </c>
      <c r="I171" s="51">
        <v>67963</v>
      </c>
      <c r="J171" s="51">
        <v>67839</v>
      </c>
      <c r="K171">
        <v>53</v>
      </c>
      <c r="L171" t="s">
        <v>30</v>
      </c>
      <c r="O171" t="s">
        <v>31</v>
      </c>
      <c r="P171" t="s">
        <v>31</v>
      </c>
      <c r="Q171" s="7">
        <f>(Table1_21718[[#This Row],[Likes]]+Table1_21718[[#This Row],[Shares]]+Table1_21718[[#This Row],[Comments]])/Table1_21718[[#This Row],[Impressions]]</f>
        <v>6.8655003457763777E-2</v>
      </c>
      <c r="R171" s="7">
        <f>Table1_21718[[#This Row],[Likes]]+Table1_21718[[#This Row],[Shares]]+Table1_21718[[#This Row],[Comments]]</f>
        <v>4666</v>
      </c>
    </row>
    <row r="172" spans="1:18" x14ac:dyDescent="0.3">
      <c r="A172" t="s">
        <v>365</v>
      </c>
      <c r="B172" t="s">
        <v>27</v>
      </c>
      <c r="C172" s="6">
        <v>45657</v>
      </c>
      <c r="D172" t="s">
        <v>74</v>
      </c>
      <c r="E172" t="s">
        <v>219</v>
      </c>
      <c r="F172" s="51">
        <v>1018</v>
      </c>
      <c r="G172" s="51">
        <v>447</v>
      </c>
      <c r="H172" s="51">
        <v>332</v>
      </c>
      <c r="I172" s="51">
        <v>18324</v>
      </c>
      <c r="J172" s="51">
        <v>18164</v>
      </c>
      <c r="K172">
        <v>38</v>
      </c>
      <c r="L172" t="s">
        <v>62</v>
      </c>
      <c r="O172" t="s">
        <v>25</v>
      </c>
      <c r="P172" t="s">
        <v>25</v>
      </c>
      <c r="Q172" s="7">
        <f>(Table1_21718[[#This Row],[Likes]]+Table1_21718[[#This Row],[Shares]]+Table1_21718[[#This Row],[Comments]])/Table1_21718[[#This Row],[Impressions]]</f>
        <v>9.8068107400130972E-2</v>
      </c>
      <c r="R172" s="7">
        <f>Table1_21718[[#This Row],[Likes]]+Table1_21718[[#This Row],[Shares]]+Table1_21718[[#This Row],[Comments]]</f>
        <v>1797</v>
      </c>
    </row>
    <row r="173" spans="1:18" x14ac:dyDescent="0.3">
      <c r="A173" t="s">
        <v>367</v>
      </c>
      <c r="B173" t="s">
        <v>43</v>
      </c>
      <c r="C173" s="6">
        <v>45518</v>
      </c>
      <c r="D173" t="s">
        <v>45</v>
      </c>
      <c r="E173" t="s">
        <v>46</v>
      </c>
      <c r="F173" s="51">
        <v>3073</v>
      </c>
      <c r="G173" s="51">
        <v>553</v>
      </c>
      <c r="H173" s="51">
        <v>174</v>
      </c>
      <c r="I173" s="51">
        <v>52241</v>
      </c>
      <c r="J173" s="51">
        <v>51605</v>
      </c>
      <c r="K173">
        <v>246</v>
      </c>
      <c r="L173" t="s">
        <v>37</v>
      </c>
      <c r="O173" t="s">
        <v>31</v>
      </c>
      <c r="P173" t="s">
        <v>31</v>
      </c>
      <c r="Q173" s="7">
        <f>(Table1_21718[[#This Row],[Likes]]+Table1_21718[[#This Row],[Shares]]+Table1_21718[[#This Row],[Comments]])/Table1_21718[[#This Row],[Impressions]]</f>
        <v>7.2739802071170159E-2</v>
      </c>
      <c r="R173" s="7">
        <f>Table1_21718[[#This Row],[Likes]]+Table1_21718[[#This Row],[Shares]]+Table1_21718[[#This Row],[Comments]]</f>
        <v>3800</v>
      </c>
    </row>
    <row r="174" spans="1:18" x14ac:dyDescent="0.3">
      <c r="A174" t="s">
        <v>369</v>
      </c>
      <c r="B174" t="s">
        <v>14</v>
      </c>
      <c r="C174" s="6">
        <v>45631</v>
      </c>
      <c r="D174" t="s">
        <v>74</v>
      </c>
      <c r="E174" t="s">
        <v>145</v>
      </c>
      <c r="F174" s="51">
        <v>1330</v>
      </c>
      <c r="G174" s="51">
        <v>925</v>
      </c>
      <c r="H174" s="51">
        <v>35</v>
      </c>
      <c r="I174" s="51">
        <v>15960</v>
      </c>
      <c r="J174" s="51">
        <v>15379</v>
      </c>
      <c r="K174">
        <v>229</v>
      </c>
      <c r="L174" t="s">
        <v>62</v>
      </c>
      <c r="O174" t="s">
        <v>31</v>
      </c>
      <c r="P174" t="s">
        <v>31</v>
      </c>
      <c r="Q174" s="7">
        <f>(Table1_21718[[#This Row],[Likes]]+Table1_21718[[#This Row],[Shares]]+Table1_21718[[#This Row],[Comments]])/Table1_21718[[#This Row],[Impressions]]</f>
        <v>0.14348370927318296</v>
      </c>
      <c r="R174" s="7">
        <f>Table1_21718[[#This Row],[Likes]]+Table1_21718[[#This Row],[Shares]]+Table1_21718[[#This Row],[Comments]]</f>
        <v>2290</v>
      </c>
    </row>
    <row r="175" spans="1:18" x14ac:dyDescent="0.3">
      <c r="A175" t="s">
        <v>371</v>
      </c>
      <c r="B175" t="s">
        <v>43</v>
      </c>
      <c r="C175" s="6">
        <v>45465</v>
      </c>
      <c r="D175" t="s">
        <v>22</v>
      </c>
      <c r="E175" t="s">
        <v>56</v>
      </c>
      <c r="F175" s="51">
        <v>3828</v>
      </c>
      <c r="G175" s="51">
        <v>148</v>
      </c>
      <c r="H175" s="51">
        <v>253</v>
      </c>
      <c r="I175" s="51">
        <v>30624</v>
      </c>
      <c r="J175" s="51">
        <v>30229</v>
      </c>
      <c r="K175">
        <v>235</v>
      </c>
      <c r="L175" t="s">
        <v>37</v>
      </c>
      <c r="P175" t="s">
        <v>19</v>
      </c>
      <c r="Q175" s="7">
        <f>(Table1_21718[[#This Row],[Likes]]+Table1_21718[[#This Row],[Shares]]+Table1_21718[[#This Row],[Comments]])/Table1_21718[[#This Row],[Impressions]]</f>
        <v>0.13809430512016718</v>
      </c>
      <c r="R175" s="7">
        <f>Table1_21718[[#This Row],[Likes]]+Table1_21718[[#This Row],[Shares]]+Table1_21718[[#This Row],[Comments]]</f>
        <v>4229</v>
      </c>
    </row>
    <row r="176" spans="1:18" x14ac:dyDescent="0.3">
      <c r="A176" t="s">
        <v>372</v>
      </c>
      <c r="B176" t="s">
        <v>33</v>
      </c>
      <c r="C176" s="6">
        <v>45674</v>
      </c>
      <c r="D176" t="s">
        <v>16</v>
      </c>
      <c r="E176" t="s">
        <v>82</v>
      </c>
      <c r="F176" s="51">
        <v>142</v>
      </c>
      <c r="G176" s="51">
        <v>784</v>
      </c>
      <c r="H176" s="51">
        <v>183</v>
      </c>
      <c r="I176" s="51">
        <v>1704</v>
      </c>
      <c r="J176" s="51">
        <v>995</v>
      </c>
      <c r="K176">
        <v>154</v>
      </c>
      <c r="L176" t="s">
        <v>62</v>
      </c>
      <c r="O176" t="s">
        <v>38</v>
      </c>
      <c r="P176" t="s">
        <v>38</v>
      </c>
      <c r="Q176" s="7">
        <f>(Table1_21718[[#This Row],[Likes]]+Table1_21718[[#This Row],[Shares]]+Table1_21718[[#This Row],[Comments]])/Table1_21718[[#This Row],[Impressions]]</f>
        <v>0.6508215962441315</v>
      </c>
      <c r="R176" s="7">
        <f>Table1_21718[[#This Row],[Likes]]+Table1_21718[[#This Row],[Shares]]+Table1_21718[[#This Row],[Comments]]</f>
        <v>1109</v>
      </c>
    </row>
    <row r="177" spans="1:18" x14ac:dyDescent="0.3">
      <c r="A177" t="s">
        <v>374</v>
      </c>
      <c r="B177" t="s">
        <v>43</v>
      </c>
      <c r="C177" s="6">
        <v>45463</v>
      </c>
      <c r="D177" t="s">
        <v>74</v>
      </c>
      <c r="E177" t="s">
        <v>75</v>
      </c>
      <c r="F177" s="51">
        <v>3798</v>
      </c>
      <c r="G177" s="51">
        <v>31</v>
      </c>
      <c r="H177" s="51">
        <v>279</v>
      </c>
      <c r="I177" s="51">
        <v>75960</v>
      </c>
      <c r="J177" s="51">
        <v>75813</v>
      </c>
      <c r="K177">
        <v>266</v>
      </c>
      <c r="L177" t="s">
        <v>30</v>
      </c>
      <c r="O177" t="s">
        <v>19</v>
      </c>
      <c r="P177" t="s">
        <v>19</v>
      </c>
      <c r="Q177" s="7">
        <f>(Table1_21718[[#This Row],[Likes]]+Table1_21718[[#This Row],[Shares]]+Table1_21718[[#This Row],[Comments]])/Table1_21718[[#This Row],[Impressions]]</f>
        <v>5.4081095313322801E-2</v>
      </c>
      <c r="R177" s="7">
        <f>Table1_21718[[#This Row],[Likes]]+Table1_21718[[#This Row],[Shares]]+Table1_21718[[#This Row],[Comments]]</f>
        <v>4108</v>
      </c>
    </row>
    <row r="178" spans="1:18" x14ac:dyDescent="0.3">
      <c r="A178" t="s">
        <v>376</v>
      </c>
      <c r="B178" t="s">
        <v>33</v>
      </c>
      <c r="C178" s="6">
        <v>45483</v>
      </c>
      <c r="D178" t="s">
        <v>45</v>
      </c>
      <c r="E178" t="s">
        <v>88</v>
      </c>
      <c r="F178" s="51">
        <v>3099</v>
      </c>
      <c r="G178" s="51">
        <v>694</v>
      </c>
      <c r="H178" s="51">
        <v>171</v>
      </c>
      <c r="I178" s="51">
        <v>43386</v>
      </c>
      <c r="J178" s="51">
        <v>42921</v>
      </c>
      <c r="K178">
        <v>52</v>
      </c>
      <c r="L178" t="s">
        <v>30</v>
      </c>
      <c r="O178" t="s">
        <v>31</v>
      </c>
      <c r="P178" t="s">
        <v>31</v>
      </c>
      <c r="Q178" s="7">
        <f>(Table1_21718[[#This Row],[Likes]]+Table1_21718[[#This Row],[Shares]]+Table1_21718[[#This Row],[Comments]])/Table1_21718[[#This Row],[Impressions]]</f>
        <v>9.1365878393951966E-2</v>
      </c>
      <c r="R178" s="7">
        <f>Table1_21718[[#This Row],[Likes]]+Table1_21718[[#This Row],[Shares]]+Table1_21718[[#This Row],[Comments]]</f>
        <v>3964</v>
      </c>
    </row>
    <row r="179" spans="1:18" x14ac:dyDescent="0.3">
      <c r="A179" t="s">
        <v>378</v>
      </c>
      <c r="B179" t="s">
        <v>33</v>
      </c>
      <c r="C179" s="6">
        <v>45603</v>
      </c>
      <c r="D179" t="s">
        <v>74</v>
      </c>
      <c r="E179" t="s">
        <v>85</v>
      </c>
      <c r="F179" s="51">
        <v>129</v>
      </c>
      <c r="G179" s="51">
        <v>643</v>
      </c>
      <c r="H179" s="51">
        <v>136</v>
      </c>
      <c r="I179" s="51">
        <v>1290</v>
      </c>
      <c r="J179" s="51">
        <v>839</v>
      </c>
      <c r="K179">
        <v>238</v>
      </c>
      <c r="L179" t="s">
        <v>30</v>
      </c>
      <c r="O179" t="s">
        <v>38</v>
      </c>
      <c r="P179" t="s">
        <v>38</v>
      </c>
      <c r="Q179" s="7">
        <f>(Table1_21718[[#This Row],[Likes]]+Table1_21718[[#This Row],[Shares]]+Table1_21718[[#This Row],[Comments]])/Table1_21718[[#This Row],[Impressions]]</f>
        <v>0.70387596899224802</v>
      </c>
      <c r="R179" s="7">
        <f>Table1_21718[[#This Row],[Likes]]+Table1_21718[[#This Row],[Shares]]+Table1_21718[[#This Row],[Comments]]</f>
        <v>908</v>
      </c>
    </row>
    <row r="180" spans="1:18" x14ac:dyDescent="0.3">
      <c r="A180" t="s">
        <v>379</v>
      </c>
      <c r="B180" t="s">
        <v>43</v>
      </c>
      <c r="C180" s="6">
        <v>45488</v>
      </c>
      <c r="D180" t="s">
        <v>45</v>
      </c>
      <c r="E180" t="s">
        <v>46</v>
      </c>
      <c r="F180" s="51">
        <v>3796</v>
      </c>
      <c r="G180" s="51">
        <v>667</v>
      </c>
      <c r="H180" s="51">
        <v>395</v>
      </c>
      <c r="I180" s="51">
        <v>64532</v>
      </c>
      <c r="J180" s="51">
        <v>63550</v>
      </c>
      <c r="K180">
        <v>292</v>
      </c>
      <c r="L180" t="s">
        <v>30</v>
      </c>
      <c r="P180" t="s">
        <v>25</v>
      </c>
      <c r="Q180" s="7">
        <f>(Table1_21718[[#This Row],[Likes]]+Table1_21718[[#This Row],[Shares]]+Table1_21718[[#This Row],[Comments]])/Table1_21718[[#This Row],[Impressions]]</f>
        <v>7.5280481001673588E-2</v>
      </c>
      <c r="R180" s="7">
        <f>Table1_21718[[#This Row],[Likes]]+Table1_21718[[#This Row],[Shares]]+Table1_21718[[#This Row],[Comments]]</f>
        <v>4858</v>
      </c>
    </row>
    <row r="181" spans="1:18" x14ac:dyDescent="0.3">
      <c r="A181" t="s">
        <v>380</v>
      </c>
      <c r="B181" t="s">
        <v>27</v>
      </c>
      <c r="C181" s="6">
        <v>45629</v>
      </c>
      <c r="D181" t="s">
        <v>22</v>
      </c>
      <c r="E181" t="s">
        <v>104</v>
      </c>
      <c r="F181" s="51">
        <v>3711</v>
      </c>
      <c r="G181" s="51">
        <v>352</v>
      </c>
      <c r="H181" s="51">
        <v>290</v>
      </c>
      <c r="I181" s="51">
        <v>48243</v>
      </c>
      <c r="J181" s="51">
        <v>47579</v>
      </c>
      <c r="K181">
        <v>11</v>
      </c>
      <c r="L181" t="s">
        <v>30</v>
      </c>
      <c r="O181" t="s">
        <v>19</v>
      </c>
      <c r="P181" t="s">
        <v>19</v>
      </c>
      <c r="Q181" s="7">
        <f>(Table1_21718[[#This Row],[Likes]]+Table1_21718[[#This Row],[Shares]]+Table1_21718[[#This Row],[Comments]])/Table1_21718[[#This Row],[Impressions]]</f>
        <v>9.023070704558174E-2</v>
      </c>
      <c r="R181" s="7">
        <f>Table1_21718[[#This Row],[Likes]]+Table1_21718[[#This Row],[Shares]]+Table1_21718[[#This Row],[Comments]]</f>
        <v>4353</v>
      </c>
    </row>
    <row r="182" spans="1:18" x14ac:dyDescent="0.3">
      <c r="A182" t="s">
        <v>381</v>
      </c>
      <c r="B182" t="s">
        <v>27</v>
      </c>
      <c r="C182" s="6">
        <v>45737</v>
      </c>
      <c r="D182" t="s">
        <v>52</v>
      </c>
      <c r="E182" t="s">
        <v>53</v>
      </c>
      <c r="F182" s="51">
        <v>606</v>
      </c>
      <c r="G182" s="51">
        <v>789</v>
      </c>
      <c r="H182" s="51">
        <v>470</v>
      </c>
      <c r="I182" s="51">
        <v>7878</v>
      </c>
      <c r="J182" s="51">
        <v>7389</v>
      </c>
      <c r="K182">
        <v>239</v>
      </c>
      <c r="L182" t="s">
        <v>37</v>
      </c>
      <c r="O182" t="s">
        <v>31</v>
      </c>
      <c r="P182" t="s">
        <v>31</v>
      </c>
      <c r="Q182" s="7">
        <f>(Table1_21718[[#This Row],[Likes]]+Table1_21718[[#This Row],[Shares]]+Table1_21718[[#This Row],[Comments]])/Table1_21718[[#This Row],[Impressions]]</f>
        <v>0.23673521198273673</v>
      </c>
      <c r="R182" s="7">
        <f>Table1_21718[[#This Row],[Likes]]+Table1_21718[[#This Row],[Shares]]+Table1_21718[[#This Row],[Comments]]</f>
        <v>1865</v>
      </c>
    </row>
    <row r="183" spans="1:18" x14ac:dyDescent="0.3">
      <c r="A183" t="s">
        <v>383</v>
      </c>
      <c r="B183" t="s">
        <v>43</v>
      </c>
      <c r="C183" s="6">
        <v>45504</v>
      </c>
      <c r="D183" t="s">
        <v>52</v>
      </c>
      <c r="E183" t="s">
        <v>59</v>
      </c>
      <c r="F183" s="51">
        <v>4689</v>
      </c>
      <c r="G183" s="51">
        <v>134</v>
      </c>
      <c r="H183" s="51">
        <v>403</v>
      </c>
      <c r="I183" s="51">
        <v>51579</v>
      </c>
      <c r="J183" s="51">
        <v>50924</v>
      </c>
      <c r="K183">
        <v>173</v>
      </c>
      <c r="L183" t="s">
        <v>30</v>
      </c>
      <c r="O183" t="s">
        <v>38</v>
      </c>
      <c r="P183" t="s">
        <v>38</v>
      </c>
      <c r="Q183" s="7">
        <f>(Table1_21718[[#This Row],[Likes]]+Table1_21718[[#This Row],[Shares]]+Table1_21718[[#This Row],[Comments]])/Table1_21718[[#This Row],[Impressions]]</f>
        <v>0.10132030477519921</v>
      </c>
      <c r="R183" s="7">
        <f>Table1_21718[[#This Row],[Likes]]+Table1_21718[[#This Row],[Shares]]+Table1_21718[[#This Row],[Comments]]</f>
        <v>5226</v>
      </c>
    </row>
    <row r="184" spans="1:18" x14ac:dyDescent="0.3">
      <c r="A184" t="s">
        <v>384</v>
      </c>
      <c r="B184" t="s">
        <v>33</v>
      </c>
      <c r="C184" s="6">
        <v>45643</v>
      </c>
      <c r="D184" t="s">
        <v>35</v>
      </c>
      <c r="E184" t="s">
        <v>36</v>
      </c>
      <c r="F184" s="51">
        <v>360</v>
      </c>
      <c r="G184" s="51">
        <v>590</v>
      </c>
      <c r="H184" s="51">
        <v>393</v>
      </c>
      <c r="I184" s="51">
        <v>4680</v>
      </c>
      <c r="J184" s="51">
        <v>4322</v>
      </c>
      <c r="K184">
        <v>208</v>
      </c>
      <c r="L184" t="s">
        <v>62</v>
      </c>
      <c r="O184" t="s">
        <v>25</v>
      </c>
      <c r="P184" t="s">
        <v>25</v>
      </c>
      <c r="Q184" s="7">
        <f>(Table1_21718[[#This Row],[Likes]]+Table1_21718[[#This Row],[Shares]]+Table1_21718[[#This Row],[Comments]])/Table1_21718[[#This Row],[Impressions]]</f>
        <v>0.28696581196581195</v>
      </c>
      <c r="R184" s="7">
        <f>Table1_21718[[#This Row],[Likes]]+Table1_21718[[#This Row],[Shares]]+Table1_21718[[#This Row],[Comments]]</f>
        <v>1343</v>
      </c>
    </row>
    <row r="185" spans="1:18" x14ac:dyDescent="0.3">
      <c r="A185" t="s">
        <v>386</v>
      </c>
      <c r="B185" t="s">
        <v>14</v>
      </c>
      <c r="C185" s="6">
        <v>45501</v>
      </c>
      <c r="D185" t="s">
        <v>52</v>
      </c>
      <c r="E185" t="s">
        <v>132</v>
      </c>
      <c r="F185" s="51">
        <v>3215</v>
      </c>
      <c r="G185" s="51">
        <v>960</v>
      </c>
      <c r="H185" s="51">
        <v>202</v>
      </c>
      <c r="I185" s="51">
        <v>32150</v>
      </c>
      <c r="J185" s="51">
        <v>31404</v>
      </c>
      <c r="K185">
        <v>251</v>
      </c>
      <c r="L185" t="s">
        <v>37</v>
      </c>
      <c r="O185" t="s">
        <v>19</v>
      </c>
      <c r="P185" t="s">
        <v>19</v>
      </c>
      <c r="Q185" s="7">
        <f>(Table1_21718[[#This Row],[Likes]]+Table1_21718[[#This Row],[Shares]]+Table1_21718[[#This Row],[Comments]])/Table1_21718[[#This Row],[Impressions]]</f>
        <v>0.13614307931570763</v>
      </c>
      <c r="R185" s="7">
        <f>Table1_21718[[#This Row],[Likes]]+Table1_21718[[#This Row],[Shares]]+Table1_21718[[#This Row],[Comments]]</f>
        <v>4377</v>
      </c>
    </row>
    <row r="186" spans="1:18" x14ac:dyDescent="0.3">
      <c r="A186" t="s">
        <v>388</v>
      </c>
      <c r="B186" t="s">
        <v>33</v>
      </c>
      <c r="C186" s="6">
        <v>45668</v>
      </c>
      <c r="D186" t="s">
        <v>45</v>
      </c>
      <c r="E186" t="s">
        <v>88</v>
      </c>
      <c r="F186" s="51">
        <v>4523</v>
      </c>
      <c r="G186" s="51">
        <v>61</v>
      </c>
      <c r="H186" s="51">
        <v>157</v>
      </c>
      <c r="I186" s="51">
        <v>49753</v>
      </c>
      <c r="J186" s="51">
        <v>49329</v>
      </c>
      <c r="K186">
        <v>71</v>
      </c>
      <c r="L186" t="s">
        <v>37</v>
      </c>
      <c r="P186" t="s">
        <v>19</v>
      </c>
      <c r="Q186" s="7">
        <f>(Table1_21718[[#This Row],[Likes]]+Table1_21718[[#This Row],[Shares]]+Table1_21718[[#This Row],[Comments]])/Table1_21718[[#This Row],[Impressions]]</f>
        <v>9.5290736237010829E-2</v>
      </c>
      <c r="R186" s="7">
        <f>Table1_21718[[#This Row],[Likes]]+Table1_21718[[#This Row],[Shares]]+Table1_21718[[#This Row],[Comments]]</f>
        <v>4741</v>
      </c>
    </row>
    <row r="187" spans="1:18" x14ac:dyDescent="0.3">
      <c r="A187" t="s">
        <v>390</v>
      </c>
      <c r="B187" t="s">
        <v>43</v>
      </c>
      <c r="C187" s="6">
        <v>45528</v>
      </c>
      <c r="D187" t="s">
        <v>45</v>
      </c>
      <c r="E187" t="s">
        <v>46</v>
      </c>
      <c r="F187" s="51">
        <v>4292</v>
      </c>
      <c r="G187" s="51">
        <v>51</v>
      </c>
      <c r="H187" s="51">
        <v>392</v>
      </c>
      <c r="I187" s="51">
        <v>55796</v>
      </c>
      <c r="J187" s="51">
        <v>54826</v>
      </c>
      <c r="K187">
        <v>264</v>
      </c>
      <c r="L187" t="s">
        <v>37</v>
      </c>
      <c r="O187" t="s">
        <v>31</v>
      </c>
      <c r="P187" t="s">
        <v>31</v>
      </c>
      <c r="Q187" s="7">
        <f>(Table1_21718[[#This Row],[Likes]]+Table1_21718[[#This Row],[Shares]]+Table1_21718[[#This Row],[Comments]])/Table1_21718[[#This Row],[Impressions]]</f>
        <v>8.4862714173059003E-2</v>
      </c>
      <c r="R187" s="7">
        <f>Table1_21718[[#This Row],[Likes]]+Table1_21718[[#This Row],[Shares]]+Table1_21718[[#This Row],[Comments]]</f>
        <v>4735</v>
      </c>
    </row>
    <row r="188" spans="1:18" x14ac:dyDescent="0.3">
      <c r="A188" t="s">
        <v>391</v>
      </c>
      <c r="B188" t="s">
        <v>14</v>
      </c>
      <c r="C188" s="6">
        <v>45648</v>
      </c>
      <c r="D188" t="s">
        <v>16</v>
      </c>
      <c r="E188" t="s">
        <v>17</v>
      </c>
      <c r="F188" s="51">
        <v>1644</v>
      </c>
      <c r="G188" s="51">
        <v>546</v>
      </c>
      <c r="H188" s="51">
        <v>150</v>
      </c>
      <c r="I188" s="51">
        <v>27948</v>
      </c>
      <c r="J188" s="51">
        <v>27184</v>
      </c>
      <c r="K188">
        <v>300</v>
      </c>
      <c r="L188" t="s">
        <v>37</v>
      </c>
      <c r="O188" t="s">
        <v>31</v>
      </c>
      <c r="P188" t="s">
        <v>31</v>
      </c>
      <c r="Q188" s="7">
        <f>(Table1_21718[[#This Row],[Likes]]+Table1_21718[[#This Row],[Shares]]+Table1_21718[[#This Row],[Comments]])/Table1_21718[[#This Row],[Impressions]]</f>
        <v>8.3726921425504502E-2</v>
      </c>
      <c r="R188" s="7">
        <f>Table1_21718[[#This Row],[Likes]]+Table1_21718[[#This Row],[Shares]]+Table1_21718[[#This Row],[Comments]]</f>
        <v>2340</v>
      </c>
    </row>
    <row r="189" spans="1:18" x14ac:dyDescent="0.3">
      <c r="A189" t="s">
        <v>393</v>
      </c>
      <c r="B189" t="s">
        <v>27</v>
      </c>
      <c r="C189" s="6">
        <v>45449</v>
      </c>
      <c r="D189" t="s">
        <v>16</v>
      </c>
      <c r="E189" t="s">
        <v>29</v>
      </c>
      <c r="F189" s="51">
        <v>2728</v>
      </c>
      <c r="G189" s="51">
        <v>533</v>
      </c>
      <c r="H189" s="51">
        <v>215</v>
      </c>
      <c r="I189" s="51">
        <v>40920</v>
      </c>
      <c r="J189" s="51">
        <v>40816</v>
      </c>
      <c r="K189">
        <v>137</v>
      </c>
      <c r="L189" t="s">
        <v>62</v>
      </c>
      <c r="O189" t="s">
        <v>25</v>
      </c>
      <c r="P189" t="s">
        <v>25</v>
      </c>
      <c r="Q189" s="7">
        <f>(Table1_21718[[#This Row],[Likes]]+Table1_21718[[#This Row],[Shares]]+Table1_21718[[#This Row],[Comments]])/Table1_21718[[#This Row],[Impressions]]</f>
        <v>8.4946236559139784E-2</v>
      </c>
      <c r="R189" s="7">
        <f>Table1_21718[[#This Row],[Likes]]+Table1_21718[[#This Row],[Shares]]+Table1_21718[[#This Row],[Comments]]</f>
        <v>3476</v>
      </c>
    </row>
    <row r="190" spans="1:18" x14ac:dyDescent="0.3">
      <c r="A190" t="s">
        <v>394</v>
      </c>
      <c r="B190" t="s">
        <v>43</v>
      </c>
      <c r="C190" s="6">
        <v>45740</v>
      </c>
      <c r="D190" t="s">
        <v>16</v>
      </c>
      <c r="E190" t="s">
        <v>65</v>
      </c>
      <c r="F190" s="51">
        <v>3360</v>
      </c>
      <c r="G190" s="51">
        <v>525</v>
      </c>
      <c r="H190" s="51">
        <v>500</v>
      </c>
      <c r="I190" s="51">
        <v>60480</v>
      </c>
      <c r="J190" s="51">
        <v>59610</v>
      </c>
      <c r="K190">
        <v>192</v>
      </c>
      <c r="L190" t="s">
        <v>30</v>
      </c>
      <c r="O190" t="s">
        <v>19</v>
      </c>
      <c r="P190" t="s">
        <v>19</v>
      </c>
      <c r="Q190" s="7">
        <f>(Table1_21718[[#This Row],[Likes]]+Table1_21718[[#This Row],[Shares]]+Table1_21718[[#This Row],[Comments]])/Table1_21718[[#This Row],[Impressions]]</f>
        <v>7.2503306878306875E-2</v>
      </c>
      <c r="R190" s="7">
        <f>Table1_21718[[#This Row],[Likes]]+Table1_21718[[#This Row],[Shares]]+Table1_21718[[#This Row],[Comments]]</f>
        <v>4385</v>
      </c>
    </row>
    <row r="191" spans="1:18" x14ac:dyDescent="0.3">
      <c r="A191" t="s">
        <v>395</v>
      </c>
      <c r="B191" t="s">
        <v>27</v>
      </c>
      <c r="C191" s="6">
        <v>45569</v>
      </c>
      <c r="D191" t="s">
        <v>22</v>
      </c>
      <c r="E191" t="s">
        <v>104</v>
      </c>
      <c r="F191" s="51">
        <v>1963</v>
      </c>
      <c r="G191" s="51">
        <v>213</v>
      </c>
      <c r="H191" s="51">
        <v>19</v>
      </c>
      <c r="I191" s="51">
        <v>39260</v>
      </c>
      <c r="J191" s="51">
        <v>38771</v>
      </c>
      <c r="K191">
        <v>145</v>
      </c>
      <c r="L191" t="s">
        <v>62</v>
      </c>
      <c r="P191" t="s">
        <v>38</v>
      </c>
      <c r="Q191" s="7">
        <f>(Table1_21718[[#This Row],[Likes]]+Table1_21718[[#This Row],[Shares]]+Table1_21718[[#This Row],[Comments]])/Table1_21718[[#This Row],[Impressions]]</f>
        <v>5.5909322465613857E-2</v>
      </c>
      <c r="R191" s="7">
        <f>Table1_21718[[#This Row],[Likes]]+Table1_21718[[#This Row],[Shares]]+Table1_21718[[#This Row],[Comments]]</f>
        <v>2195</v>
      </c>
    </row>
    <row r="192" spans="1:18" x14ac:dyDescent="0.3">
      <c r="A192" t="s">
        <v>397</v>
      </c>
      <c r="B192" t="s">
        <v>27</v>
      </c>
      <c r="C192" s="6">
        <v>45629</v>
      </c>
      <c r="D192" t="s">
        <v>35</v>
      </c>
      <c r="E192" t="s">
        <v>154</v>
      </c>
      <c r="F192" s="51">
        <v>4285</v>
      </c>
      <c r="G192" s="51">
        <v>886</v>
      </c>
      <c r="H192" s="51">
        <v>376</v>
      </c>
      <c r="I192" s="51">
        <v>55705</v>
      </c>
      <c r="J192" s="51">
        <v>55556</v>
      </c>
      <c r="K192">
        <v>51</v>
      </c>
      <c r="L192" t="s">
        <v>62</v>
      </c>
      <c r="O192" t="s">
        <v>31</v>
      </c>
      <c r="P192" t="s">
        <v>31</v>
      </c>
      <c r="Q192" s="7">
        <f>(Table1_21718[[#This Row],[Likes]]+Table1_21718[[#This Row],[Shares]]+Table1_21718[[#This Row],[Comments]])/Table1_21718[[#This Row],[Impressions]]</f>
        <v>9.9578134817341346E-2</v>
      </c>
      <c r="R192" s="7">
        <f>Table1_21718[[#This Row],[Likes]]+Table1_21718[[#This Row],[Shares]]+Table1_21718[[#This Row],[Comments]]</f>
        <v>5547</v>
      </c>
    </row>
    <row r="193" spans="1:18" x14ac:dyDescent="0.3">
      <c r="A193" t="s">
        <v>398</v>
      </c>
      <c r="B193" t="s">
        <v>33</v>
      </c>
      <c r="C193" s="6">
        <v>45625</v>
      </c>
      <c r="D193" t="s">
        <v>74</v>
      </c>
      <c r="E193" t="s">
        <v>85</v>
      </c>
      <c r="F193" s="51">
        <v>1176</v>
      </c>
      <c r="G193" s="51">
        <v>464</v>
      </c>
      <c r="H193" s="51">
        <v>394</v>
      </c>
      <c r="I193" s="51">
        <v>14112</v>
      </c>
      <c r="J193" s="51">
        <v>13588</v>
      </c>
      <c r="K193">
        <v>272</v>
      </c>
      <c r="L193" t="s">
        <v>37</v>
      </c>
      <c r="P193" t="s">
        <v>19</v>
      </c>
      <c r="Q193" s="7">
        <f>(Table1_21718[[#This Row],[Likes]]+Table1_21718[[#This Row],[Shares]]+Table1_21718[[#This Row],[Comments]])/Table1_21718[[#This Row],[Impressions]]</f>
        <v>0.1441326530612245</v>
      </c>
      <c r="R193" s="7">
        <f>Table1_21718[[#This Row],[Likes]]+Table1_21718[[#This Row],[Shares]]+Table1_21718[[#This Row],[Comments]]</f>
        <v>2034</v>
      </c>
    </row>
    <row r="194" spans="1:18" x14ac:dyDescent="0.3">
      <c r="A194" t="s">
        <v>400</v>
      </c>
      <c r="B194" t="s">
        <v>14</v>
      </c>
      <c r="C194" s="6">
        <v>45546</v>
      </c>
      <c r="D194" t="s">
        <v>52</v>
      </c>
      <c r="E194" t="s">
        <v>132</v>
      </c>
      <c r="F194" s="51">
        <v>4858</v>
      </c>
      <c r="G194" s="51">
        <v>317</v>
      </c>
      <c r="H194" s="51">
        <v>129</v>
      </c>
      <c r="I194" s="51">
        <v>53438</v>
      </c>
      <c r="J194" s="51">
        <v>52687</v>
      </c>
      <c r="K194">
        <v>223</v>
      </c>
      <c r="L194" t="s">
        <v>37</v>
      </c>
      <c r="O194" t="s">
        <v>31</v>
      </c>
      <c r="P194" t="s">
        <v>31</v>
      </c>
      <c r="Q194" s="7">
        <f>(Table1_21718[[#This Row],[Likes]]+Table1_21718[[#This Row],[Shares]]+Table1_21718[[#This Row],[Comments]])/Table1_21718[[#This Row],[Impressions]]</f>
        <v>9.9255211647142488E-2</v>
      </c>
      <c r="R194" s="7">
        <f>Table1_21718[[#This Row],[Likes]]+Table1_21718[[#This Row],[Shares]]+Table1_21718[[#This Row],[Comments]]</f>
        <v>5304</v>
      </c>
    </row>
    <row r="195" spans="1:18" x14ac:dyDescent="0.3">
      <c r="A195" t="s">
        <v>402</v>
      </c>
      <c r="B195" t="s">
        <v>27</v>
      </c>
      <c r="C195" s="6">
        <v>45567</v>
      </c>
      <c r="D195" t="s">
        <v>35</v>
      </c>
      <c r="E195" t="s">
        <v>154</v>
      </c>
      <c r="F195" s="51">
        <v>4350</v>
      </c>
      <c r="G195" s="51">
        <v>771</v>
      </c>
      <c r="H195" s="51">
        <v>7</v>
      </c>
      <c r="I195" s="51">
        <v>60900</v>
      </c>
      <c r="J195" s="51">
        <v>60592</v>
      </c>
      <c r="K195">
        <v>195</v>
      </c>
      <c r="L195" t="s">
        <v>37</v>
      </c>
      <c r="O195" t="s">
        <v>19</v>
      </c>
      <c r="P195" t="s">
        <v>19</v>
      </c>
      <c r="Q195" s="7">
        <f>(Table1_21718[[#This Row],[Likes]]+Table1_21718[[#This Row],[Shares]]+Table1_21718[[#This Row],[Comments]])/Table1_21718[[#This Row],[Impressions]]</f>
        <v>8.4203612479474554E-2</v>
      </c>
      <c r="R195" s="7">
        <f>Table1_21718[[#This Row],[Likes]]+Table1_21718[[#This Row],[Shares]]+Table1_21718[[#This Row],[Comments]]</f>
        <v>5128</v>
      </c>
    </row>
    <row r="196" spans="1:18" x14ac:dyDescent="0.3">
      <c r="A196" t="s">
        <v>403</v>
      </c>
      <c r="B196" t="s">
        <v>33</v>
      </c>
      <c r="C196" s="6">
        <v>45519</v>
      </c>
      <c r="D196" t="s">
        <v>45</v>
      </c>
      <c r="E196" t="s">
        <v>88</v>
      </c>
      <c r="F196" s="51">
        <v>914</v>
      </c>
      <c r="G196" s="51">
        <v>464</v>
      </c>
      <c r="H196" s="51">
        <v>246</v>
      </c>
      <c r="I196" s="51">
        <v>11882</v>
      </c>
      <c r="J196" s="51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s="7">
        <f>(Table1_21718[[#This Row],[Likes]]+Table1_21718[[#This Row],[Shares]]+Table1_21718[[#This Row],[Comments]])/Table1_21718[[#This Row],[Impressions]]</f>
        <v>0.13667732704931829</v>
      </c>
      <c r="R196" s="7">
        <f>Table1_21718[[#This Row],[Likes]]+Table1_21718[[#This Row],[Shares]]+Table1_21718[[#This Row],[Comments]]</f>
        <v>1624</v>
      </c>
    </row>
    <row r="197" spans="1:18" x14ac:dyDescent="0.3">
      <c r="A197" t="s">
        <v>405</v>
      </c>
      <c r="B197" t="s">
        <v>33</v>
      </c>
      <c r="C197" s="6">
        <v>45645</v>
      </c>
      <c r="D197" t="s">
        <v>22</v>
      </c>
      <c r="E197" t="s">
        <v>113</v>
      </c>
      <c r="F197" s="51">
        <v>1813</v>
      </c>
      <c r="G197" s="51">
        <v>623</v>
      </c>
      <c r="H197" s="51">
        <v>72</v>
      </c>
      <c r="I197" s="51">
        <v>19943</v>
      </c>
      <c r="J197" s="51">
        <v>18959</v>
      </c>
      <c r="K197">
        <v>85</v>
      </c>
      <c r="L197" t="s">
        <v>37</v>
      </c>
      <c r="O197" t="s">
        <v>31</v>
      </c>
      <c r="P197" t="s">
        <v>31</v>
      </c>
      <c r="Q197" s="7">
        <f>(Table1_21718[[#This Row],[Likes]]+Table1_21718[[#This Row],[Shares]]+Table1_21718[[#This Row],[Comments]])/Table1_21718[[#This Row],[Impressions]]</f>
        <v>0.12575841147269717</v>
      </c>
      <c r="R197" s="7">
        <f>Table1_21718[[#This Row],[Likes]]+Table1_21718[[#This Row],[Shares]]+Table1_21718[[#This Row],[Comments]]</f>
        <v>2508</v>
      </c>
    </row>
    <row r="198" spans="1:18" x14ac:dyDescent="0.3">
      <c r="A198" t="s">
        <v>407</v>
      </c>
      <c r="B198" t="s">
        <v>14</v>
      </c>
      <c r="C198" s="6">
        <v>45587</v>
      </c>
      <c r="D198" t="s">
        <v>16</v>
      </c>
      <c r="E198" t="s">
        <v>17</v>
      </c>
      <c r="F198" s="51">
        <v>4782</v>
      </c>
      <c r="G198" s="51">
        <v>721</v>
      </c>
      <c r="H198" s="51">
        <v>82</v>
      </c>
      <c r="I198" s="51">
        <v>86076</v>
      </c>
      <c r="J198" s="51">
        <v>85339</v>
      </c>
      <c r="K198">
        <v>19</v>
      </c>
      <c r="L198" t="s">
        <v>37</v>
      </c>
      <c r="O198" t="s">
        <v>19</v>
      </c>
      <c r="P198" t="s">
        <v>19</v>
      </c>
      <c r="Q198" s="7">
        <f>(Table1_21718[[#This Row],[Likes]]+Table1_21718[[#This Row],[Shares]]+Table1_21718[[#This Row],[Comments]])/Table1_21718[[#This Row],[Impressions]]</f>
        <v>6.4884520656164318E-2</v>
      </c>
      <c r="R198" s="7">
        <f>Table1_21718[[#This Row],[Likes]]+Table1_21718[[#This Row],[Shares]]+Table1_21718[[#This Row],[Comments]]</f>
        <v>5585</v>
      </c>
    </row>
    <row r="199" spans="1:18" x14ac:dyDescent="0.3">
      <c r="A199" t="s">
        <v>408</v>
      </c>
      <c r="B199" t="s">
        <v>14</v>
      </c>
      <c r="C199" s="6">
        <v>45549</v>
      </c>
      <c r="D199" t="s">
        <v>52</v>
      </c>
      <c r="E199" t="s">
        <v>132</v>
      </c>
      <c r="F199" s="51">
        <v>1048</v>
      </c>
      <c r="G199" s="51">
        <v>374</v>
      </c>
      <c r="H199" s="51">
        <v>450</v>
      </c>
      <c r="I199" s="51">
        <v>9432</v>
      </c>
      <c r="J199" s="51">
        <v>8882</v>
      </c>
      <c r="K199">
        <v>158</v>
      </c>
      <c r="L199" t="s">
        <v>30</v>
      </c>
      <c r="O199" t="s">
        <v>31</v>
      </c>
      <c r="P199" t="s">
        <v>31</v>
      </c>
      <c r="Q199" s="7">
        <f>(Table1_21718[[#This Row],[Likes]]+Table1_21718[[#This Row],[Shares]]+Table1_21718[[#This Row],[Comments]])/Table1_21718[[#This Row],[Impressions]]</f>
        <v>0.19847328244274809</v>
      </c>
      <c r="R199" s="7">
        <f>Table1_21718[[#This Row],[Likes]]+Table1_21718[[#This Row],[Shares]]+Table1_21718[[#This Row],[Comments]]</f>
        <v>1872</v>
      </c>
    </row>
    <row r="200" spans="1:18" x14ac:dyDescent="0.3">
      <c r="A200" t="s">
        <v>410</v>
      </c>
      <c r="B200" t="s">
        <v>27</v>
      </c>
      <c r="C200" s="6">
        <v>45626</v>
      </c>
      <c r="D200" t="s">
        <v>45</v>
      </c>
      <c r="E200" t="s">
        <v>68</v>
      </c>
      <c r="F200" s="51">
        <v>2509</v>
      </c>
      <c r="G200" s="51">
        <v>324</v>
      </c>
      <c r="H200" s="51">
        <v>171</v>
      </c>
      <c r="I200" s="51">
        <v>35126</v>
      </c>
      <c r="J200" s="51">
        <v>34685</v>
      </c>
      <c r="K200">
        <v>277</v>
      </c>
      <c r="L200" t="s">
        <v>30</v>
      </c>
      <c r="O200" t="s">
        <v>25</v>
      </c>
      <c r="P200" t="s">
        <v>25</v>
      </c>
      <c r="Q200" s="7">
        <f>(Table1_21718[[#This Row],[Likes]]+Table1_21718[[#This Row],[Shares]]+Table1_21718[[#This Row],[Comments]])/Table1_21718[[#This Row],[Impressions]]</f>
        <v>8.5520696919660646E-2</v>
      </c>
      <c r="R200" s="7">
        <f>Table1_21718[[#This Row],[Likes]]+Table1_21718[[#This Row],[Shares]]+Table1_21718[[#This Row],[Comments]]</f>
        <v>3004</v>
      </c>
    </row>
    <row r="201" spans="1:18" x14ac:dyDescent="0.3">
      <c r="A201" t="s">
        <v>411</v>
      </c>
      <c r="B201" t="s">
        <v>43</v>
      </c>
      <c r="C201" s="6">
        <v>45754</v>
      </c>
      <c r="D201" t="s">
        <v>16</v>
      </c>
      <c r="E201" t="s">
        <v>65</v>
      </c>
      <c r="F201" s="51">
        <v>3718</v>
      </c>
      <c r="G201" s="51">
        <v>385</v>
      </c>
      <c r="H201" s="51">
        <v>310</v>
      </c>
      <c r="I201" s="51">
        <v>70642</v>
      </c>
      <c r="J201" s="51">
        <v>69749</v>
      </c>
      <c r="K201">
        <v>233</v>
      </c>
      <c r="L201" t="s">
        <v>30</v>
      </c>
      <c r="O201" t="s">
        <v>25</v>
      </c>
      <c r="P201" t="s">
        <v>25</v>
      </c>
      <c r="Q201" s="7">
        <f>(Table1_21718[[#This Row],[Likes]]+Table1_21718[[#This Row],[Shares]]+Table1_21718[[#This Row],[Comments]])/Table1_21718[[#This Row],[Impressions]]</f>
        <v>6.246991874522239E-2</v>
      </c>
      <c r="R201" s="7">
        <f>Table1_21718[[#This Row],[Likes]]+Table1_21718[[#This Row],[Shares]]+Table1_21718[[#This Row],[Comments]]</f>
        <v>4413</v>
      </c>
    </row>
    <row r="202" spans="1:18" x14ac:dyDescent="0.3">
      <c r="A202" t="s">
        <v>413</v>
      </c>
      <c r="B202" t="s">
        <v>14</v>
      </c>
      <c r="C202" s="6">
        <v>45672</v>
      </c>
      <c r="D202" t="s">
        <v>16</v>
      </c>
      <c r="E202" t="s">
        <v>17</v>
      </c>
      <c r="F202" s="51">
        <v>802</v>
      </c>
      <c r="G202" s="51">
        <v>262</v>
      </c>
      <c r="H202" s="51">
        <v>244</v>
      </c>
      <c r="I202" s="51">
        <v>14436</v>
      </c>
      <c r="J202" s="51">
        <v>14280</v>
      </c>
      <c r="K202">
        <v>49</v>
      </c>
      <c r="L202" t="s">
        <v>37</v>
      </c>
      <c r="O202" t="s">
        <v>19</v>
      </c>
      <c r="P202" t="s">
        <v>19</v>
      </c>
      <c r="Q202" s="7">
        <f>(Table1_21718[[#This Row],[Likes]]+Table1_21718[[#This Row],[Shares]]+Table1_21718[[#This Row],[Comments]])/Table1_21718[[#This Row],[Impressions]]</f>
        <v>9.0606816292601824E-2</v>
      </c>
      <c r="R202" s="7">
        <f>Table1_21718[[#This Row],[Likes]]+Table1_21718[[#This Row],[Shares]]+Table1_21718[[#This Row],[Comments]]</f>
        <v>1308</v>
      </c>
    </row>
    <row r="203" spans="1:18" x14ac:dyDescent="0.3">
      <c r="A203" t="s">
        <v>415</v>
      </c>
      <c r="B203" t="s">
        <v>43</v>
      </c>
      <c r="C203" s="6">
        <v>45445</v>
      </c>
      <c r="D203" t="s">
        <v>52</v>
      </c>
      <c r="E203" t="s">
        <v>59</v>
      </c>
      <c r="F203" s="51">
        <v>1871</v>
      </c>
      <c r="G203" s="51">
        <v>252</v>
      </c>
      <c r="H203" s="51">
        <v>335</v>
      </c>
      <c r="I203" s="51">
        <v>29936</v>
      </c>
      <c r="J203" s="51">
        <v>29576</v>
      </c>
      <c r="K203">
        <v>288</v>
      </c>
      <c r="L203" t="s">
        <v>37</v>
      </c>
      <c r="O203" t="s">
        <v>31</v>
      </c>
      <c r="P203" t="s">
        <v>31</v>
      </c>
      <c r="Q203" s="7">
        <f>(Table1_21718[[#This Row],[Likes]]+Table1_21718[[#This Row],[Shares]]+Table1_21718[[#This Row],[Comments]])/Table1_21718[[#This Row],[Impressions]]</f>
        <v>8.2108498129342594E-2</v>
      </c>
      <c r="R203" s="7">
        <f>Table1_21718[[#This Row],[Likes]]+Table1_21718[[#This Row],[Shares]]+Table1_21718[[#This Row],[Comments]]</f>
        <v>2458</v>
      </c>
    </row>
    <row r="204" spans="1:18" x14ac:dyDescent="0.3">
      <c r="A204" t="s">
        <v>417</v>
      </c>
      <c r="B204" t="s">
        <v>33</v>
      </c>
      <c r="C204" s="6">
        <v>45617</v>
      </c>
      <c r="D204" t="s">
        <v>45</v>
      </c>
      <c r="E204" t="s">
        <v>88</v>
      </c>
      <c r="F204" s="51">
        <v>3773</v>
      </c>
      <c r="G204" s="51">
        <v>299</v>
      </c>
      <c r="H204" s="51">
        <v>38</v>
      </c>
      <c r="I204" s="51">
        <v>71687</v>
      </c>
      <c r="J204" s="51">
        <v>71447</v>
      </c>
      <c r="K204">
        <v>286</v>
      </c>
      <c r="L204" t="s">
        <v>62</v>
      </c>
      <c r="O204" t="s">
        <v>19</v>
      </c>
      <c r="P204" t="s">
        <v>19</v>
      </c>
      <c r="Q204" s="7">
        <f>(Table1_21718[[#This Row],[Likes]]+Table1_21718[[#This Row],[Shares]]+Table1_21718[[#This Row],[Comments]])/Table1_21718[[#This Row],[Impressions]]</f>
        <v>5.7332570758993957E-2</v>
      </c>
      <c r="R204" s="7">
        <f>Table1_21718[[#This Row],[Likes]]+Table1_21718[[#This Row],[Shares]]+Table1_21718[[#This Row],[Comments]]</f>
        <v>4110</v>
      </c>
    </row>
    <row r="205" spans="1:18" x14ac:dyDescent="0.3">
      <c r="A205" t="s">
        <v>419</v>
      </c>
      <c r="B205" t="s">
        <v>33</v>
      </c>
      <c r="C205" s="6">
        <v>45658</v>
      </c>
      <c r="D205" t="s">
        <v>45</v>
      </c>
      <c r="E205" t="s">
        <v>88</v>
      </c>
      <c r="F205" s="51">
        <v>2234</v>
      </c>
      <c r="G205" s="51">
        <v>653</v>
      </c>
      <c r="H205" s="51">
        <v>432</v>
      </c>
      <c r="I205" s="51">
        <v>11170</v>
      </c>
      <c r="J205" s="51">
        <v>10569</v>
      </c>
      <c r="K205">
        <v>198</v>
      </c>
      <c r="L205" t="s">
        <v>62</v>
      </c>
      <c r="O205" t="s">
        <v>31</v>
      </c>
      <c r="P205" t="s">
        <v>31</v>
      </c>
      <c r="Q205" s="7">
        <f>(Table1_21718[[#This Row],[Likes]]+Table1_21718[[#This Row],[Shares]]+Table1_21718[[#This Row],[Comments]])/Table1_21718[[#This Row],[Impressions]]</f>
        <v>0.29713518352730528</v>
      </c>
      <c r="R205" s="7">
        <f>Table1_21718[[#This Row],[Likes]]+Table1_21718[[#This Row],[Shares]]+Table1_21718[[#This Row],[Comments]]</f>
        <v>3319</v>
      </c>
    </row>
    <row r="206" spans="1:18" x14ac:dyDescent="0.3">
      <c r="A206" t="s">
        <v>420</v>
      </c>
      <c r="B206" t="s">
        <v>14</v>
      </c>
      <c r="C206" s="6">
        <v>45771</v>
      </c>
      <c r="D206" t="s">
        <v>74</v>
      </c>
      <c r="E206" t="s">
        <v>145</v>
      </c>
      <c r="F206" s="51">
        <v>3820</v>
      </c>
      <c r="G206" s="51">
        <v>697</v>
      </c>
      <c r="H206" s="51">
        <v>268</v>
      </c>
      <c r="I206" s="51">
        <v>45840</v>
      </c>
      <c r="J206" s="51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  <c r="Q206" s="7">
        <f>(Table1_21718[[#This Row],[Likes]]+Table1_21718[[#This Row],[Shares]]+Table1_21718[[#This Row],[Comments]])/Table1_21718[[#This Row],[Impressions]]</f>
        <v>0.1043848167539267</v>
      </c>
      <c r="R206" s="7">
        <f>Table1_21718[[#This Row],[Likes]]+Table1_21718[[#This Row],[Shares]]+Table1_21718[[#This Row],[Comments]]</f>
        <v>4785</v>
      </c>
    </row>
    <row r="207" spans="1:18" x14ac:dyDescent="0.3">
      <c r="A207" t="s">
        <v>422</v>
      </c>
      <c r="B207" t="s">
        <v>14</v>
      </c>
      <c r="C207" s="6">
        <v>45467</v>
      </c>
      <c r="D207" t="s">
        <v>22</v>
      </c>
      <c r="E207" t="s">
        <v>23</v>
      </c>
      <c r="F207" s="51">
        <v>941</v>
      </c>
      <c r="G207" s="51">
        <v>121</v>
      </c>
      <c r="H207" s="51">
        <v>458</v>
      </c>
      <c r="I207" s="51">
        <v>14115</v>
      </c>
      <c r="J207" s="51">
        <v>13838</v>
      </c>
      <c r="K207">
        <v>87</v>
      </c>
      <c r="L207" t="s">
        <v>37</v>
      </c>
      <c r="O207" t="s">
        <v>19</v>
      </c>
      <c r="P207" t="s">
        <v>19</v>
      </c>
      <c r="Q207" s="7">
        <f>(Table1_21718[[#This Row],[Likes]]+Table1_21718[[#This Row],[Shares]]+Table1_21718[[#This Row],[Comments]])/Table1_21718[[#This Row],[Impressions]]</f>
        <v>0.10768685795253277</v>
      </c>
      <c r="R207" s="7">
        <f>Table1_21718[[#This Row],[Likes]]+Table1_21718[[#This Row],[Shares]]+Table1_21718[[#This Row],[Comments]]</f>
        <v>1520</v>
      </c>
    </row>
    <row r="208" spans="1:18" x14ac:dyDescent="0.3">
      <c r="A208" t="s">
        <v>423</v>
      </c>
      <c r="B208" t="s">
        <v>14</v>
      </c>
      <c r="C208" s="6">
        <v>45655</v>
      </c>
      <c r="D208" t="s">
        <v>45</v>
      </c>
      <c r="E208" t="s">
        <v>49</v>
      </c>
      <c r="F208" s="51">
        <v>4274</v>
      </c>
      <c r="G208" s="51">
        <v>340</v>
      </c>
      <c r="H208" s="51">
        <v>281</v>
      </c>
      <c r="I208" s="51">
        <v>34192</v>
      </c>
      <c r="J208" s="51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  <c r="Q208" s="7">
        <f>(Table1_21718[[#This Row],[Likes]]+Table1_21718[[#This Row],[Shares]]+Table1_21718[[#This Row],[Comments]])/Table1_21718[[#This Row],[Impressions]]</f>
        <v>0.14316214319138981</v>
      </c>
      <c r="R208" s="7">
        <f>Table1_21718[[#This Row],[Likes]]+Table1_21718[[#This Row],[Shares]]+Table1_21718[[#This Row],[Comments]]</f>
        <v>4895</v>
      </c>
    </row>
    <row r="209" spans="1:18" x14ac:dyDescent="0.3">
      <c r="A209" t="s">
        <v>425</v>
      </c>
      <c r="B209" t="s">
        <v>27</v>
      </c>
      <c r="C209" s="6">
        <v>45467</v>
      </c>
      <c r="D209" t="s">
        <v>74</v>
      </c>
      <c r="E209" t="s">
        <v>219</v>
      </c>
      <c r="F209" s="51">
        <v>2949</v>
      </c>
      <c r="G209" s="51">
        <v>476</v>
      </c>
      <c r="H209" s="51">
        <v>403</v>
      </c>
      <c r="I209" s="51">
        <v>44235</v>
      </c>
      <c r="J209" s="51">
        <v>43705</v>
      </c>
      <c r="K209">
        <v>135</v>
      </c>
      <c r="L209" t="s">
        <v>30</v>
      </c>
      <c r="O209" t="s">
        <v>25</v>
      </c>
      <c r="P209" t="s">
        <v>25</v>
      </c>
      <c r="Q209" s="7">
        <f>(Table1_21718[[#This Row],[Likes]]+Table1_21718[[#This Row],[Shares]]+Table1_21718[[#This Row],[Comments]])/Table1_21718[[#This Row],[Impressions]]</f>
        <v>8.6537809426924378E-2</v>
      </c>
      <c r="R209" s="7">
        <f>Table1_21718[[#This Row],[Likes]]+Table1_21718[[#This Row],[Shares]]+Table1_21718[[#This Row],[Comments]]</f>
        <v>3828</v>
      </c>
    </row>
    <row r="210" spans="1:18" x14ac:dyDescent="0.3">
      <c r="A210" t="s">
        <v>426</v>
      </c>
      <c r="B210" t="s">
        <v>14</v>
      </c>
      <c r="C210" s="6">
        <v>45735</v>
      </c>
      <c r="D210" t="s">
        <v>74</v>
      </c>
      <c r="E210" t="s">
        <v>145</v>
      </c>
      <c r="F210" s="51">
        <v>3160</v>
      </c>
      <c r="G210" s="51">
        <v>204</v>
      </c>
      <c r="H210" s="51">
        <v>297</v>
      </c>
      <c r="I210" s="51">
        <v>44240</v>
      </c>
      <c r="J210" s="51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  <c r="Q210" s="7">
        <f>(Table1_21718[[#This Row],[Likes]]+Table1_21718[[#This Row],[Shares]]+Table1_21718[[#This Row],[Comments]])/Table1_21718[[#This Row],[Impressions]]</f>
        <v>8.2753164556962022E-2</v>
      </c>
      <c r="R210" s="7">
        <f>Table1_21718[[#This Row],[Likes]]+Table1_21718[[#This Row],[Shares]]+Table1_21718[[#This Row],[Comments]]</f>
        <v>3661</v>
      </c>
    </row>
    <row r="211" spans="1:18" x14ac:dyDescent="0.3">
      <c r="A211" t="s">
        <v>428</v>
      </c>
      <c r="B211" t="s">
        <v>27</v>
      </c>
      <c r="C211" s="6">
        <v>45707</v>
      </c>
      <c r="D211" t="s">
        <v>52</v>
      </c>
      <c r="E211" t="s">
        <v>53</v>
      </c>
      <c r="F211" s="51">
        <v>257</v>
      </c>
      <c r="G211" s="51">
        <v>966</v>
      </c>
      <c r="H211" s="51">
        <v>398</v>
      </c>
      <c r="I211" s="51">
        <v>3341</v>
      </c>
      <c r="J211" s="51">
        <v>2753</v>
      </c>
      <c r="K211">
        <v>287</v>
      </c>
      <c r="L211" t="s">
        <v>62</v>
      </c>
      <c r="O211" t="s">
        <v>19</v>
      </c>
      <c r="P211" t="s">
        <v>19</v>
      </c>
      <c r="Q211" s="7">
        <f>(Table1_21718[[#This Row],[Likes]]+Table1_21718[[#This Row],[Shares]]+Table1_21718[[#This Row],[Comments]])/Table1_21718[[#This Row],[Impressions]]</f>
        <v>0.48518407662376534</v>
      </c>
      <c r="R211" s="7">
        <f>Table1_21718[[#This Row],[Likes]]+Table1_21718[[#This Row],[Shares]]+Table1_21718[[#This Row],[Comments]]</f>
        <v>1621</v>
      </c>
    </row>
    <row r="212" spans="1:18" x14ac:dyDescent="0.3">
      <c r="A212" t="s">
        <v>429</v>
      </c>
      <c r="B212" t="s">
        <v>14</v>
      </c>
      <c r="C212" s="6">
        <v>45491</v>
      </c>
      <c r="D212" t="s">
        <v>45</v>
      </c>
      <c r="E212" t="s">
        <v>49</v>
      </c>
      <c r="F212" s="51">
        <v>2120</v>
      </c>
      <c r="G212" s="51">
        <v>38</v>
      </c>
      <c r="H212" s="51">
        <v>212</v>
      </c>
      <c r="I212" s="51">
        <v>12720</v>
      </c>
      <c r="J212" s="51">
        <v>12564</v>
      </c>
      <c r="K212">
        <v>21</v>
      </c>
      <c r="L212" t="s">
        <v>62</v>
      </c>
      <c r="O212" t="s">
        <v>38</v>
      </c>
      <c r="P212" t="s">
        <v>38</v>
      </c>
      <c r="Q212" s="7">
        <f>(Table1_21718[[#This Row],[Likes]]+Table1_21718[[#This Row],[Shares]]+Table1_21718[[#This Row],[Comments]])/Table1_21718[[#This Row],[Impressions]]</f>
        <v>0.18632075471698112</v>
      </c>
      <c r="R212" s="7">
        <f>Table1_21718[[#This Row],[Likes]]+Table1_21718[[#This Row],[Shares]]+Table1_21718[[#This Row],[Comments]]</f>
        <v>2370</v>
      </c>
    </row>
    <row r="213" spans="1:18" x14ac:dyDescent="0.3">
      <c r="A213" t="s">
        <v>431</v>
      </c>
      <c r="B213" t="s">
        <v>27</v>
      </c>
      <c r="C213" s="6">
        <v>45719</v>
      </c>
      <c r="D213" t="s">
        <v>74</v>
      </c>
      <c r="E213" t="s">
        <v>219</v>
      </c>
      <c r="F213" s="51">
        <v>3874</v>
      </c>
      <c r="G213" s="51">
        <v>884</v>
      </c>
      <c r="H213" s="51">
        <v>19</v>
      </c>
      <c r="I213" s="51">
        <v>38740</v>
      </c>
      <c r="J213" s="51">
        <v>38552</v>
      </c>
      <c r="K213">
        <v>219</v>
      </c>
      <c r="L213" t="s">
        <v>30</v>
      </c>
      <c r="O213" t="s">
        <v>25</v>
      </c>
      <c r="P213" t="s">
        <v>25</v>
      </c>
      <c r="Q213" s="7">
        <f>(Table1_21718[[#This Row],[Likes]]+Table1_21718[[#This Row],[Shares]]+Table1_21718[[#This Row],[Comments]])/Table1_21718[[#This Row],[Impressions]]</f>
        <v>0.123309241094476</v>
      </c>
      <c r="R213" s="7">
        <f>Table1_21718[[#This Row],[Likes]]+Table1_21718[[#This Row],[Shares]]+Table1_21718[[#This Row],[Comments]]</f>
        <v>4777</v>
      </c>
    </row>
    <row r="214" spans="1:18" x14ac:dyDescent="0.3">
      <c r="A214" t="s">
        <v>432</v>
      </c>
      <c r="B214" t="s">
        <v>43</v>
      </c>
      <c r="C214" s="6">
        <v>45778</v>
      </c>
      <c r="D214" t="s">
        <v>45</v>
      </c>
      <c r="E214" t="s">
        <v>46</v>
      </c>
      <c r="F214" s="51">
        <v>2696</v>
      </c>
      <c r="G214" s="51">
        <v>628</v>
      </c>
      <c r="H214" s="51">
        <v>443</v>
      </c>
      <c r="I214" s="51">
        <v>45832</v>
      </c>
      <c r="J214" s="51">
        <v>45632</v>
      </c>
      <c r="K214">
        <v>248</v>
      </c>
      <c r="L214" t="s">
        <v>37</v>
      </c>
      <c r="O214" t="s">
        <v>38</v>
      </c>
      <c r="P214" t="s">
        <v>38</v>
      </c>
      <c r="Q214" s="7">
        <f>(Table1_21718[[#This Row],[Likes]]+Table1_21718[[#This Row],[Shares]]+Table1_21718[[#This Row],[Comments]])/Table1_21718[[#This Row],[Impressions]]</f>
        <v>8.21914819340199E-2</v>
      </c>
      <c r="R214" s="7">
        <f>Table1_21718[[#This Row],[Likes]]+Table1_21718[[#This Row],[Shares]]+Table1_21718[[#This Row],[Comments]]</f>
        <v>3767</v>
      </c>
    </row>
    <row r="215" spans="1:18" x14ac:dyDescent="0.3">
      <c r="A215" t="s">
        <v>434</v>
      </c>
      <c r="B215" t="s">
        <v>33</v>
      </c>
      <c r="C215" s="6">
        <v>45649</v>
      </c>
      <c r="D215" t="s">
        <v>52</v>
      </c>
      <c r="E215" t="s">
        <v>215</v>
      </c>
      <c r="F215" s="51">
        <v>521</v>
      </c>
      <c r="G215" s="51">
        <v>746</v>
      </c>
      <c r="H215" s="51">
        <v>315</v>
      </c>
      <c r="I215" s="51">
        <v>4168</v>
      </c>
      <c r="J215" s="51">
        <v>3399</v>
      </c>
      <c r="K215">
        <v>282</v>
      </c>
      <c r="L215" t="s">
        <v>62</v>
      </c>
      <c r="O215" t="s">
        <v>25</v>
      </c>
      <c r="P215" t="s">
        <v>25</v>
      </c>
      <c r="Q215" s="7">
        <f>(Table1_21718[[#This Row],[Likes]]+Table1_21718[[#This Row],[Shares]]+Table1_21718[[#This Row],[Comments]])/Table1_21718[[#This Row],[Impressions]]</f>
        <v>0.37955854126679461</v>
      </c>
      <c r="R215" s="7">
        <f>Table1_21718[[#This Row],[Likes]]+Table1_21718[[#This Row],[Shares]]+Table1_21718[[#This Row],[Comments]]</f>
        <v>1582</v>
      </c>
    </row>
    <row r="216" spans="1:18" x14ac:dyDescent="0.3">
      <c r="A216" t="s">
        <v>435</v>
      </c>
      <c r="B216" t="s">
        <v>43</v>
      </c>
      <c r="C216" s="6">
        <v>45783</v>
      </c>
      <c r="D216" t="s">
        <v>52</v>
      </c>
      <c r="E216" t="s">
        <v>59</v>
      </c>
      <c r="F216" s="51">
        <v>4872</v>
      </c>
      <c r="G216" s="51">
        <v>925</v>
      </c>
      <c r="H216" s="51">
        <v>176</v>
      </c>
      <c r="I216" s="51">
        <v>82824</v>
      </c>
      <c r="J216" s="51">
        <v>82543</v>
      </c>
      <c r="K216">
        <v>89</v>
      </c>
      <c r="L216" t="s">
        <v>37</v>
      </c>
      <c r="O216" t="s">
        <v>25</v>
      </c>
      <c r="P216" t="s">
        <v>25</v>
      </c>
      <c r="Q216" s="7">
        <f>(Table1_21718[[#This Row],[Likes]]+Table1_21718[[#This Row],[Shares]]+Table1_21718[[#This Row],[Comments]])/Table1_21718[[#This Row],[Impressions]]</f>
        <v>7.2116777745580993E-2</v>
      </c>
      <c r="R216" s="7">
        <f>Table1_21718[[#This Row],[Likes]]+Table1_21718[[#This Row],[Shares]]+Table1_21718[[#This Row],[Comments]]</f>
        <v>5973</v>
      </c>
    </row>
    <row r="217" spans="1:18" x14ac:dyDescent="0.3">
      <c r="A217" t="s">
        <v>437</v>
      </c>
      <c r="B217" t="s">
        <v>27</v>
      </c>
      <c r="C217" s="6">
        <v>45502</v>
      </c>
      <c r="D217" t="s">
        <v>35</v>
      </c>
      <c r="E217" t="s">
        <v>154</v>
      </c>
      <c r="F217" s="51">
        <v>1509</v>
      </c>
      <c r="G217" s="51">
        <v>88</v>
      </c>
      <c r="H217" s="51">
        <v>163</v>
      </c>
      <c r="I217" s="51">
        <v>30180</v>
      </c>
      <c r="J217" s="51">
        <v>29689</v>
      </c>
      <c r="K217">
        <v>119</v>
      </c>
      <c r="L217" t="s">
        <v>37</v>
      </c>
      <c r="O217" t="s">
        <v>25</v>
      </c>
      <c r="P217" t="s">
        <v>25</v>
      </c>
      <c r="Q217" s="7">
        <f>(Table1_21718[[#This Row],[Likes]]+Table1_21718[[#This Row],[Shares]]+Table1_21718[[#This Row],[Comments]])/Table1_21718[[#This Row],[Impressions]]</f>
        <v>5.8316766070245198E-2</v>
      </c>
      <c r="R217" s="7">
        <f>Table1_21718[[#This Row],[Likes]]+Table1_21718[[#This Row],[Shares]]+Table1_21718[[#This Row],[Comments]]</f>
        <v>1760</v>
      </c>
    </row>
    <row r="218" spans="1:18" x14ac:dyDescent="0.3">
      <c r="A218" t="s">
        <v>438</v>
      </c>
      <c r="B218" t="s">
        <v>43</v>
      </c>
      <c r="C218" s="6">
        <v>45629</v>
      </c>
      <c r="D218" t="s">
        <v>52</v>
      </c>
      <c r="E218" t="s">
        <v>59</v>
      </c>
      <c r="F218" s="51">
        <v>4606</v>
      </c>
      <c r="G218" s="51">
        <v>931</v>
      </c>
      <c r="H218" s="51">
        <v>230</v>
      </c>
      <c r="I218" s="51">
        <v>92120</v>
      </c>
      <c r="J218" s="51">
        <v>91440</v>
      </c>
      <c r="K218">
        <v>56</v>
      </c>
      <c r="L218" t="s">
        <v>30</v>
      </c>
      <c r="P218" t="s">
        <v>25</v>
      </c>
      <c r="Q218" s="7">
        <f>(Table1_21718[[#This Row],[Likes]]+Table1_21718[[#This Row],[Shares]]+Table1_21718[[#This Row],[Comments]])/Table1_21718[[#This Row],[Impressions]]</f>
        <v>6.2603126356925748E-2</v>
      </c>
      <c r="R218" s="7">
        <f>Table1_21718[[#This Row],[Likes]]+Table1_21718[[#This Row],[Shares]]+Table1_21718[[#This Row],[Comments]]</f>
        <v>5767</v>
      </c>
    </row>
    <row r="219" spans="1:18" x14ac:dyDescent="0.3">
      <c r="A219" t="s">
        <v>439</v>
      </c>
      <c r="B219" t="s">
        <v>43</v>
      </c>
      <c r="C219" s="6">
        <v>45454</v>
      </c>
      <c r="D219" t="s">
        <v>45</v>
      </c>
      <c r="E219" t="s">
        <v>46</v>
      </c>
      <c r="F219" s="51">
        <v>1869</v>
      </c>
      <c r="G219" s="51">
        <v>453</v>
      </c>
      <c r="H219" s="51">
        <v>490</v>
      </c>
      <c r="I219" s="51">
        <v>14952</v>
      </c>
      <c r="J219" s="51">
        <v>14309</v>
      </c>
      <c r="K219">
        <v>275</v>
      </c>
      <c r="L219" t="s">
        <v>30</v>
      </c>
      <c r="O219" t="s">
        <v>38</v>
      </c>
      <c r="P219" t="s">
        <v>38</v>
      </c>
      <c r="Q219" s="7">
        <f>(Table1_21718[[#This Row],[Likes]]+Table1_21718[[#This Row],[Shares]]+Table1_21718[[#This Row],[Comments]])/Table1_21718[[#This Row],[Impressions]]</f>
        <v>0.18806848582129482</v>
      </c>
      <c r="R219" s="7">
        <f>Table1_21718[[#This Row],[Likes]]+Table1_21718[[#This Row],[Shares]]+Table1_21718[[#This Row],[Comments]]</f>
        <v>2812</v>
      </c>
    </row>
    <row r="220" spans="1:18" x14ac:dyDescent="0.3">
      <c r="A220" t="s">
        <v>440</v>
      </c>
      <c r="B220" t="s">
        <v>14</v>
      </c>
      <c r="C220" s="6">
        <v>45685</v>
      </c>
      <c r="D220" t="s">
        <v>16</v>
      </c>
      <c r="E220" t="s">
        <v>17</v>
      </c>
      <c r="F220" s="51">
        <v>1188</v>
      </c>
      <c r="G220" s="51">
        <v>470</v>
      </c>
      <c r="H220" s="51">
        <v>174</v>
      </c>
      <c r="I220" s="51">
        <v>7128</v>
      </c>
      <c r="J220" s="51">
        <v>6145</v>
      </c>
      <c r="K220">
        <v>270</v>
      </c>
      <c r="L220" t="s">
        <v>30</v>
      </c>
      <c r="O220" t="s">
        <v>38</v>
      </c>
      <c r="P220" t="s">
        <v>38</v>
      </c>
      <c r="Q220" s="7">
        <f>(Table1_21718[[#This Row],[Likes]]+Table1_21718[[#This Row],[Shares]]+Table1_21718[[#This Row],[Comments]])/Table1_21718[[#This Row],[Impressions]]</f>
        <v>0.25701459034792368</v>
      </c>
      <c r="R220" s="7">
        <f>Table1_21718[[#This Row],[Likes]]+Table1_21718[[#This Row],[Shares]]+Table1_21718[[#This Row],[Comments]]</f>
        <v>1832</v>
      </c>
    </row>
    <row r="221" spans="1:18" x14ac:dyDescent="0.3">
      <c r="A221" t="s">
        <v>441</v>
      </c>
      <c r="B221" t="s">
        <v>33</v>
      </c>
      <c r="C221" s="6">
        <v>45445</v>
      </c>
      <c r="D221" t="s">
        <v>35</v>
      </c>
      <c r="E221" t="s">
        <v>36</v>
      </c>
      <c r="F221" s="51">
        <v>84</v>
      </c>
      <c r="G221" s="51">
        <v>897</v>
      </c>
      <c r="H221" s="51">
        <v>85</v>
      </c>
      <c r="I221" s="51">
        <v>588</v>
      </c>
      <c r="J221" s="51">
        <v>8</v>
      </c>
      <c r="K221">
        <v>12</v>
      </c>
      <c r="L221" t="s">
        <v>37</v>
      </c>
      <c r="P221" t="s">
        <v>19</v>
      </c>
      <c r="Q221" s="7">
        <f>(Table1_21718[[#This Row],[Likes]]+Table1_21718[[#This Row],[Shares]]+Table1_21718[[#This Row],[Comments]])/Table1_21718[[#This Row],[Impressions]]</f>
        <v>1.8129251700680271</v>
      </c>
      <c r="R221" s="7">
        <f>Table1_21718[[#This Row],[Likes]]+Table1_21718[[#This Row],[Shares]]+Table1_21718[[#This Row],[Comments]]</f>
        <v>1066</v>
      </c>
    </row>
    <row r="222" spans="1:18" x14ac:dyDescent="0.3">
      <c r="A222" t="s">
        <v>442</v>
      </c>
      <c r="B222" t="s">
        <v>43</v>
      </c>
      <c r="C222" s="6">
        <v>45739</v>
      </c>
      <c r="D222" t="s">
        <v>74</v>
      </c>
      <c r="E222" t="s">
        <v>75</v>
      </c>
      <c r="F222" s="51">
        <v>4453</v>
      </c>
      <c r="G222" s="51">
        <v>111</v>
      </c>
      <c r="H222" s="51">
        <v>420</v>
      </c>
      <c r="I222" s="51">
        <v>31171</v>
      </c>
      <c r="J222" s="51">
        <v>30565</v>
      </c>
      <c r="K222">
        <v>23</v>
      </c>
      <c r="L222" t="s">
        <v>30</v>
      </c>
      <c r="P222" t="s">
        <v>25</v>
      </c>
      <c r="Q222" s="7">
        <f>(Table1_21718[[#This Row],[Likes]]+Table1_21718[[#This Row],[Shares]]+Table1_21718[[#This Row],[Comments]])/Table1_21718[[#This Row],[Impressions]]</f>
        <v>0.15989220750056141</v>
      </c>
      <c r="R222" s="7">
        <f>Table1_21718[[#This Row],[Likes]]+Table1_21718[[#This Row],[Shares]]+Table1_21718[[#This Row],[Comments]]</f>
        <v>4984</v>
      </c>
    </row>
    <row r="223" spans="1:18" x14ac:dyDescent="0.3">
      <c r="A223" t="s">
        <v>443</v>
      </c>
      <c r="B223" t="s">
        <v>43</v>
      </c>
      <c r="C223" s="6">
        <v>45573</v>
      </c>
      <c r="D223" t="s">
        <v>16</v>
      </c>
      <c r="E223" t="s">
        <v>65</v>
      </c>
      <c r="F223" s="51">
        <v>1814</v>
      </c>
      <c r="G223" s="51">
        <v>653</v>
      </c>
      <c r="H223" s="51">
        <v>363</v>
      </c>
      <c r="I223" s="51">
        <v>25396</v>
      </c>
      <c r="J223" s="51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  <c r="Q223" s="7">
        <f>(Table1_21718[[#This Row],[Likes]]+Table1_21718[[#This Row],[Shares]]+Table1_21718[[#This Row],[Comments]])/Table1_21718[[#This Row],[Impressions]]</f>
        <v>0.11143487163332809</v>
      </c>
      <c r="R223" s="7">
        <f>Table1_21718[[#This Row],[Likes]]+Table1_21718[[#This Row],[Shares]]+Table1_21718[[#This Row],[Comments]]</f>
        <v>2830</v>
      </c>
    </row>
    <row r="224" spans="1:18" x14ac:dyDescent="0.3">
      <c r="A224" t="s">
        <v>446</v>
      </c>
      <c r="B224" t="s">
        <v>14</v>
      </c>
      <c r="C224" s="6">
        <v>45608</v>
      </c>
      <c r="D224" t="s">
        <v>52</v>
      </c>
      <c r="E224" t="s">
        <v>132</v>
      </c>
      <c r="F224" s="51">
        <v>3338</v>
      </c>
      <c r="G224" s="51">
        <v>277</v>
      </c>
      <c r="H224" s="51">
        <v>118</v>
      </c>
      <c r="I224" s="51">
        <v>60084</v>
      </c>
      <c r="J224" s="51">
        <v>59842</v>
      </c>
      <c r="K224">
        <v>252</v>
      </c>
      <c r="L224" t="s">
        <v>30</v>
      </c>
      <c r="P224" t="s">
        <v>25</v>
      </c>
      <c r="Q224" s="7">
        <f>(Table1_21718[[#This Row],[Likes]]+Table1_21718[[#This Row],[Shares]]+Table1_21718[[#This Row],[Comments]])/Table1_21718[[#This Row],[Impressions]]</f>
        <v>6.2129685107516146E-2</v>
      </c>
      <c r="R224" s="7">
        <f>Table1_21718[[#This Row],[Likes]]+Table1_21718[[#This Row],[Shares]]+Table1_21718[[#This Row],[Comments]]</f>
        <v>3733</v>
      </c>
    </row>
    <row r="225" spans="1:18" x14ac:dyDescent="0.3">
      <c r="A225" t="s">
        <v>447</v>
      </c>
      <c r="B225" t="s">
        <v>43</v>
      </c>
      <c r="C225" s="6">
        <v>45790</v>
      </c>
      <c r="D225" t="s">
        <v>52</v>
      </c>
      <c r="E225" t="s">
        <v>59</v>
      </c>
      <c r="F225" s="51">
        <v>602</v>
      </c>
      <c r="G225" s="51">
        <v>594</v>
      </c>
      <c r="H225" s="51">
        <v>156</v>
      </c>
      <c r="I225" s="51">
        <v>4214</v>
      </c>
      <c r="J225" s="51">
        <v>3363</v>
      </c>
      <c r="K225">
        <v>164</v>
      </c>
      <c r="L225" t="s">
        <v>30</v>
      </c>
      <c r="O225" t="s">
        <v>31</v>
      </c>
      <c r="P225" t="s">
        <v>31</v>
      </c>
      <c r="Q225" s="7">
        <f>(Table1_21718[[#This Row],[Likes]]+Table1_21718[[#This Row],[Shares]]+Table1_21718[[#This Row],[Comments]])/Table1_21718[[#This Row],[Impressions]]</f>
        <v>0.32083531086853345</v>
      </c>
      <c r="R225" s="7">
        <f>Table1_21718[[#This Row],[Likes]]+Table1_21718[[#This Row],[Shares]]+Table1_21718[[#This Row],[Comments]]</f>
        <v>1352</v>
      </c>
    </row>
    <row r="226" spans="1:18" x14ac:dyDescent="0.3">
      <c r="A226" t="s">
        <v>449</v>
      </c>
      <c r="B226" t="s">
        <v>14</v>
      </c>
      <c r="C226" s="6">
        <v>45463</v>
      </c>
      <c r="D226" t="s">
        <v>45</v>
      </c>
      <c r="E226" t="s">
        <v>49</v>
      </c>
      <c r="F226" s="51">
        <v>4672</v>
      </c>
      <c r="G226" s="51">
        <v>325</v>
      </c>
      <c r="H226" s="51">
        <v>32</v>
      </c>
      <c r="I226" s="51">
        <v>88768</v>
      </c>
      <c r="J226" s="51">
        <v>87833</v>
      </c>
      <c r="K226">
        <v>118</v>
      </c>
      <c r="L226" t="s">
        <v>37</v>
      </c>
      <c r="P226" t="s">
        <v>19</v>
      </c>
      <c r="Q226" s="7">
        <f>(Table1_21718[[#This Row],[Likes]]+Table1_21718[[#This Row],[Shares]]+Table1_21718[[#This Row],[Comments]])/Table1_21718[[#This Row],[Impressions]]</f>
        <v>5.6653298485940883E-2</v>
      </c>
      <c r="R226" s="7">
        <f>Table1_21718[[#This Row],[Likes]]+Table1_21718[[#This Row],[Shares]]+Table1_21718[[#This Row],[Comments]]</f>
        <v>5029</v>
      </c>
    </row>
    <row r="227" spans="1:18" x14ac:dyDescent="0.3">
      <c r="A227" t="s">
        <v>450</v>
      </c>
      <c r="B227" t="s">
        <v>33</v>
      </c>
      <c r="C227" s="6">
        <v>45511</v>
      </c>
      <c r="D227" t="s">
        <v>45</v>
      </c>
      <c r="E227" t="s">
        <v>88</v>
      </c>
      <c r="F227" s="51">
        <v>1741</v>
      </c>
      <c r="G227" s="51">
        <v>164</v>
      </c>
      <c r="H227" s="51">
        <v>318</v>
      </c>
      <c r="I227" s="51">
        <v>8705</v>
      </c>
      <c r="J227" s="51">
        <v>8272</v>
      </c>
      <c r="K227">
        <v>121</v>
      </c>
      <c r="L227" t="s">
        <v>30</v>
      </c>
      <c r="P227" t="s">
        <v>25</v>
      </c>
      <c r="Q227" s="7">
        <f>(Table1_21718[[#This Row],[Likes]]+Table1_21718[[#This Row],[Shares]]+Table1_21718[[#This Row],[Comments]])/Table1_21718[[#This Row],[Impressions]]</f>
        <v>0.25537047673750718</v>
      </c>
      <c r="R227" s="7">
        <f>Table1_21718[[#This Row],[Likes]]+Table1_21718[[#This Row],[Shares]]+Table1_21718[[#This Row],[Comments]]</f>
        <v>2223</v>
      </c>
    </row>
    <row r="228" spans="1:18" x14ac:dyDescent="0.3">
      <c r="A228" t="s">
        <v>452</v>
      </c>
      <c r="B228" t="s">
        <v>33</v>
      </c>
      <c r="C228" s="6">
        <v>45455</v>
      </c>
      <c r="D228" t="s">
        <v>22</v>
      </c>
      <c r="E228" t="s">
        <v>113</v>
      </c>
      <c r="F228" s="51">
        <v>246</v>
      </c>
      <c r="G228" s="51">
        <v>149</v>
      </c>
      <c r="H228" s="51">
        <v>130</v>
      </c>
      <c r="I228" s="51">
        <v>4674</v>
      </c>
      <c r="J228" s="51">
        <v>4390</v>
      </c>
      <c r="K228">
        <v>217</v>
      </c>
      <c r="L228" t="s">
        <v>62</v>
      </c>
      <c r="O228" t="s">
        <v>31</v>
      </c>
      <c r="P228" t="s">
        <v>31</v>
      </c>
      <c r="Q228" s="7">
        <f>(Table1_21718[[#This Row],[Likes]]+Table1_21718[[#This Row],[Shares]]+Table1_21718[[#This Row],[Comments]])/Table1_21718[[#This Row],[Impressions]]</f>
        <v>0.11232349165596919</v>
      </c>
      <c r="R228" s="7">
        <f>Table1_21718[[#This Row],[Likes]]+Table1_21718[[#This Row],[Shares]]+Table1_21718[[#This Row],[Comments]]</f>
        <v>525</v>
      </c>
    </row>
    <row r="229" spans="1:18" x14ac:dyDescent="0.3">
      <c r="A229" t="s">
        <v>454</v>
      </c>
      <c r="B229" t="s">
        <v>33</v>
      </c>
      <c r="C229" s="6">
        <v>45474</v>
      </c>
      <c r="D229" t="s">
        <v>35</v>
      </c>
      <c r="E229" t="s">
        <v>36</v>
      </c>
      <c r="F229" s="51">
        <v>4808</v>
      </c>
      <c r="G229" s="51">
        <v>772</v>
      </c>
      <c r="H229" s="51">
        <v>320</v>
      </c>
      <c r="I229" s="51">
        <v>72120</v>
      </c>
      <c r="J229" s="51">
        <v>71696</v>
      </c>
      <c r="K229">
        <v>195</v>
      </c>
      <c r="L229" t="s">
        <v>37</v>
      </c>
      <c r="O229" t="s">
        <v>19</v>
      </c>
      <c r="P229" t="s">
        <v>19</v>
      </c>
      <c r="Q229" s="7">
        <f>(Table1_21718[[#This Row],[Likes]]+Table1_21718[[#This Row],[Shares]]+Table1_21718[[#This Row],[Comments]])/Table1_21718[[#This Row],[Impressions]]</f>
        <v>8.1808097615085965E-2</v>
      </c>
      <c r="R229" s="7">
        <f>Table1_21718[[#This Row],[Likes]]+Table1_21718[[#This Row],[Shares]]+Table1_21718[[#This Row],[Comments]]</f>
        <v>5900</v>
      </c>
    </row>
    <row r="230" spans="1:18" x14ac:dyDescent="0.3">
      <c r="A230" t="s">
        <v>456</v>
      </c>
      <c r="B230" t="s">
        <v>33</v>
      </c>
      <c r="C230" s="6">
        <v>45476</v>
      </c>
      <c r="D230" t="s">
        <v>45</v>
      </c>
      <c r="E230" t="s">
        <v>88</v>
      </c>
      <c r="F230" s="51">
        <v>4799</v>
      </c>
      <c r="G230" s="51">
        <v>694</v>
      </c>
      <c r="H230" s="51">
        <v>289</v>
      </c>
      <c r="I230" s="51">
        <v>43191</v>
      </c>
      <c r="J230" s="51">
        <v>42228</v>
      </c>
      <c r="K230">
        <v>118</v>
      </c>
      <c r="L230" t="s">
        <v>30</v>
      </c>
      <c r="P230" t="s">
        <v>25</v>
      </c>
      <c r="Q230" s="7">
        <f>(Table1_21718[[#This Row],[Likes]]+Table1_21718[[#This Row],[Shares]]+Table1_21718[[#This Row],[Comments]])/Table1_21718[[#This Row],[Impressions]]</f>
        <v>0.13387048227640017</v>
      </c>
      <c r="R230" s="7">
        <f>Table1_21718[[#This Row],[Likes]]+Table1_21718[[#This Row],[Shares]]+Table1_21718[[#This Row],[Comments]]</f>
        <v>5782</v>
      </c>
    </row>
    <row r="231" spans="1:18" x14ac:dyDescent="0.3">
      <c r="A231" t="s">
        <v>457</v>
      </c>
      <c r="B231" t="s">
        <v>43</v>
      </c>
      <c r="C231" s="6">
        <v>45488</v>
      </c>
      <c r="D231" t="s">
        <v>16</v>
      </c>
      <c r="E231" t="s">
        <v>65</v>
      </c>
      <c r="F231" s="51">
        <v>3663</v>
      </c>
      <c r="G231" s="51">
        <v>17</v>
      </c>
      <c r="H231" s="51">
        <v>295</v>
      </c>
      <c r="I231" s="51">
        <v>51282</v>
      </c>
      <c r="J231" s="51">
        <v>50567</v>
      </c>
      <c r="K231">
        <v>84</v>
      </c>
      <c r="L231" t="s">
        <v>37</v>
      </c>
      <c r="O231" t="s">
        <v>31</v>
      </c>
      <c r="P231" t="s">
        <v>31</v>
      </c>
      <c r="Q231" s="7">
        <f>(Table1_21718[[#This Row],[Likes]]+Table1_21718[[#This Row],[Shares]]+Table1_21718[[#This Row],[Comments]])/Table1_21718[[#This Row],[Impressions]]</f>
        <v>7.7512577512577507E-2</v>
      </c>
      <c r="R231" s="7">
        <f>Table1_21718[[#This Row],[Likes]]+Table1_21718[[#This Row],[Shares]]+Table1_21718[[#This Row],[Comments]]</f>
        <v>3975</v>
      </c>
    </row>
    <row r="232" spans="1:18" x14ac:dyDescent="0.3">
      <c r="A232" t="s">
        <v>458</v>
      </c>
      <c r="B232" t="s">
        <v>33</v>
      </c>
      <c r="C232" s="6">
        <v>45778</v>
      </c>
      <c r="D232" t="s">
        <v>22</v>
      </c>
      <c r="E232" t="s">
        <v>113</v>
      </c>
      <c r="F232" s="51">
        <v>1430</v>
      </c>
      <c r="G232" s="51">
        <v>376</v>
      </c>
      <c r="H232" s="51">
        <v>33</v>
      </c>
      <c r="I232" s="51">
        <v>21450</v>
      </c>
      <c r="J232" s="51">
        <v>20509</v>
      </c>
      <c r="K232">
        <v>251</v>
      </c>
      <c r="L232" t="s">
        <v>62</v>
      </c>
      <c r="O232" t="s">
        <v>19</v>
      </c>
      <c r="P232" t="s">
        <v>19</v>
      </c>
      <c r="Q232" s="7">
        <f>(Table1_21718[[#This Row],[Likes]]+Table1_21718[[#This Row],[Shares]]+Table1_21718[[#This Row],[Comments]])/Table1_21718[[#This Row],[Impressions]]</f>
        <v>8.5734265734265735E-2</v>
      </c>
      <c r="R232" s="7">
        <f>Table1_21718[[#This Row],[Likes]]+Table1_21718[[#This Row],[Shares]]+Table1_21718[[#This Row],[Comments]]</f>
        <v>1839</v>
      </c>
    </row>
    <row r="233" spans="1:18" x14ac:dyDescent="0.3">
      <c r="A233" t="s">
        <v>459</v>
      </c>
      <c r="B233" t="s">
        <v>14</v>
      </c>
      <c r="C233" s="6">
        <v>45776</v>
      </c>
      <c r="D233" t="s">
        <v>35</v>
      </c>
      <c r="E233" t="s">
        <v>149</v>
      </c>
      <c r="F233" s="51">
        <v>249</v>
      </c>
      <c r="G233" s="51">
        <v>592</v>
      </c>
      <c r="H233" s="51">
        <v>230</v>
      </c>
      <c r="I233" s="51">
        <v>1494</v>
      </c>
      <c r="J233" s="51">
        <v>1044</v>
      </c>
      <c r="K233">
        <v>201</v>
      </c>
      <c r="L233" t="s">
        <v>37</v>
      </c>
      <c r="O233" t="s">
        <v>38</v>
      </c>
      <c r="P233" t="s">
        <v>38</v>
      </c>
      <c r="Q233" s="7">
        <f>(Table1_21718[[#This Row],[Likes]]+Table1_21718[[#This Row],[Shares]]+Table1_21718[[#This Row],[Comments]])/Table1_21718[[#This Row],[Impressions]]</f>
        <v>0.7168674698795181</v>
      </c>
      <c r="R233" s="7">
        <f>Table1_21718[[#This Row],[Likes]]+Table1_21718[[#This Row],[Shares]]+Table1_21718[[#This Row],[Comments]]</f>
        <v>1071</v>
      </c>
    </row>
    <row r="234" spans="1:18" x14ac:dyDescent="0.3">
      <c r="A234" t="s">
        <v>461</v>
      </c>
      <c r="B234" t="s">
        <v>43</v>
      </c>
      <c r="C234" s="6">
        <v>45724</v>
      </c>
      <c r="D234" t="s">
        <v>52</v>
      </c>
      <c r="E234" t="s">
        <v>59</v>
      </c>
      <c r="F234" s="51">
        <v>2382</v>
      </c>
      <c r="G234" s="51">
        <v>265</v>
      </c>
      <c r="H234" s="51">
        <v>134</v>
      </c>
      <c r="I234" s="51">
        <v>38112</v>
      </c>
      <c r="J234" s="51">
        <v>37437</v>
      </c>
      <c r="K234">
        <v>249</v>
      </c>
      <c r="L234" t="s">
        <v>62</v>
      </c>
      <c r="O234" t="s">
        <v>38</v>
      </c>
      <c r="P234" t="s">
        <v>38</v>
      </c>
      <c r="Q234" s="7">
        <f>(Table1_21718[[#This Row],[Likes]]+Table1_21718[[#This Row],[Shares]]+Table1_21718[[#This Row],[Comments]])/Table1_21718[[#This Row],[Impressions]]</f>
        <v>7.2969143576826198E-2</v>
      </c>
      <c r="R234" s="7">
        <f>Table1_21718[[#This Row],[Likes]]+Table1_21718[[#This Row],[Shares]]+Table1_21718[[#This Row],[Comments]]</f>
        <v>2781</v>
      </c>
    </row>
    <row r="235" spans="1:18" x14ac:dyDescent="0.3">
      <c r="A235" t="s">
        <v>462</v>
      </c>
      <c r="B235" t="s">
        <v>43</v>
      </c>
      <c r="C235" s="6">
        <v>45444</v>
      </c>
      <c r="D235" t="s">
        <v>22</v>
      </c>
      <c r="E235" t="s">
        <v>56</v>
      </c>
      <c r="F235" s="51">
        <v>1272</v>
      </c>
      <c r="G235" s="51">
        <v>465</v>
      </c>
      <c r="H235" s="51">
        <v>99</v>
      </c>
      <c r="I235" s="51">
        <v>24168</v>
      </c>
      <c r="J235" s="51">
        <v>23719</v>
      </c>
      <c r="K235">
        <v>42</v>
      </c>
      <c r="L235" t="s">
        <v>30</v>
      </c>
      <c r="P235" t="s">
        <v>25</v>
      </c>
      <c r="Q235" s="7">
        <f>(Table1_21718[[#This Row],[Likes]]+Table1_21718[[#This Row],[Shares]]+Table1_21718[[#This Row],[Comments]])/Table1_21718[[#This Row],[Impressions]]</f>
        <v>7.5968222442899705E-2</v>
      </c>
      <c r="R235" s="7">
        <f>Table1_21718[[#This Row],[Likes]]+Table1_21718[[#This Row],[Shares]]+Table1_21718[[#This Row],[Comments]]</f>
        <v>1836</v>
      </c>
    </row>
    <row r="236" spans="1:18" x14ac:dyDescent="0.3">
      <c r="A236" t="s">
        <v>464</v>
      </c>
      <c r="B236" t="s">
        <v>43</v>
      </c>
      <c r="C236" s="6">
        <v>45648</v>
      </c>
      <c r="D236" t="s">
        <v>52</v>
      </c>
      <c r="E236" t="s">
        <v>59</v>
      </c>
      <c r="F236" s="51">
        <v>3196</v>
      </c>
      <c r="G236" s="51">
        <v>941</v>
      </c>
      <c r="H236" s="51">
        <v>376</v>
      </c>
      <c r="I236" s="51">
        <v>35156</v>
      </c>
      <c r="J236" s="51">
        <v>34444</v>
      </c>
      <c r="K236">
        <v>241</v>
      </c>
      <c r="L236" t="s">
        <v>30</v>
      </c>
      <c r="O236" t="s">
        <v>31</v>
      </c>
      <c r="P236" t="s">
        <v>31</v>
      </c>
      <c r="Q236" s="7">
        <f>(Table1_21718[[#This Row],[Likes]]+Table1_21718[[#This Row],[Shares]]+Table1_21718[[#This Row],[Comments]])/Table1_21718[[#This Row],[Impressions]]</f>
        <v>0.1283706906360223</v>
      </c>
      <c r="R236" s="7">
        <f>Table1_21718[[#This Row],[Likes]]+Table1_21718[[#This Row],[Shares]]+Table1_21718[[#This Row],[Comments]]</f>
        <v>4513</v>
      </c>
    </row>
    <row r="237" spans="1:18" x14ac:dyDescent="0.3">
      <c r="A237" t="s">
        <v>465</v>
      </c>
      <c r="B237" t="s">
        <v>43</v>
      </c>
      <c r="C237" s="6">
        <v>45523</v>
      </c>
      <c r="D237" t="s">
        <v>22</v>
      </c>
      <c r="E237" t="s">
        <v>56</v>
      </c>
      <c r="F237" s="51">
        <v>1257</v>
      </c>
      <c r="G237" s="51">
        <v>19</v>
      </c>
      <c r="H237" s="51">
        <v>351</v>
      </c>
      <c r="I237" s="51">
        <v>12570</v>
      </c>
      <c r="J237" s="51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s="7">
        <f>(Table1_21718[[#This Row],[Likes]]+Table1_21718[[#This Row],[Shares]]+Table1_21718[[#This Row],[Comments]])/Table1_21718[[#This Row],[Impressions]]</f>
        <v>0.12943516308671441</v>
      </c>
      <c r="R237" s="7">
        <f>Table1_21718[[#This Row],[Likes]]+Table1_21718[[#This Row],[Shares]]+Table1_21718[[#This Row],[Comments]]</f>
        <v>1627</v>
      </c>
    </row>
    <row r="238" spans="1:18" x14ac:dyDescent="0.3">
      <c r="A238" t="s">
        <v>467</v>
      </c>
      <c r="B238" t="s">
        <v>33</v>
      </c>
      <c r="C238" s="6">
        <v>45587</v>
      </c>
      <c r="D238" t="s">
        <v>35</v>
      </c>
      <c r="E238" t="s">
        <v>36</v>
      </c>
      <c r="F238" s="51">
        <v>3770</v>
      </c>
      <c r="G238" s="51">
        <v>917</v>
      </c>
      <c r="H238" s="51">
        <v>129</v>
      </c>
      <c r="I238" s="51">
        <v>71630</v>
      </c>
      <c r="J238" s="51">
        <v>71322</v>
      </c>
      <c r="K238">
        <v>76</v>
      </c>
      <c r="L238" t="s">
        <v>62</v>
      </c>
      <c r="O238" t="s">
        <v>19</v>
      </c>
      <c r="P238" t="s">
        <v>19</v>
      </c>
      <c r="Q238" s="7">
        <f>(Table1_21718[[#This Row],[Likes]]+Table1_21718[[#This Row],[Shares]]+Table1_21718[[#This Row],[Comments]])/Table1_21718[[#This Row],[Impressions]]</f>
        <v>6.7234398994834563E-2</v>
      </c>
      <c r="R238" s="7">
        <f>Table1_21718[[#This Row],[Likes]]+Table1_21718[[#This Row],[Shares]]+Table1_21718[[#This Row],[Comments]]</f>
        <v>4816</v>
      </c>
    </row>
    <row r="239" spans="1:18" x14ac:dyDescent="0.3">
      <c r="A239" t="s">
        <v>468</v>
      </c>
      <c r="B239" t="s">
        <v>14</v>
      </c>
      <c r="C239" s="6">
        <v>45489</v>
      </c>
      <c r="D239" t="s">
        <v>22</v>
      </c>
      <c r="E239" t="s">
        <v>23</v>
      </c>
      <c r="F239" s="51">
        <v>4725</v>
      </c>
      <c r="G239" s="51">
        <v>400</v>
      </c>
      <c r="H239" s="51">
        <v>362</v>
      </c>
      <c r="I239" s="51">
        <v>75600</v>
      </c>
      <c r="J239" s="51">
        <v>74927</v>
      </c>
      <c r="K239">
        <v>43</v>
      </c>
      <c r="L239" t="s">
        <v>62</v>
      </c>
      <c r="O239" t="s">
        <v>38</v>
      </c>
      <c r="P239" t="s">
        <v>38</v>
      </c>
      <c r="Q239" s="7">
        <f>(Table1_21718[[#This Row],[Likes]]+Table1_21718[[#This Row],[Shares]]+Table1_21718[[#This Row],[Comments]])/Table1_21718[[#This Row],[Impressions]]</f>
        <v>7.2579365079365077E-2</v>
      </c>
      <c r="R239" s="7">
        <f>Table1_21718[[#This Row],[Likes]]+Table1_21718[[#This Row],[Shares]]+Table1_21718[[#This Row],[Comments]]</f>
        <v>5487</v>
      </c>
    </row>
    <row r="240" spans="1:18" x14ac:dyDescent="0.3">
      <c r="A240" t="s">
        <v>470</v>
      </c>
      <c r="B240" t="s">
        <v>27</v>
      </c>
      <c r="C240" s="6">
        <v>45712</v>
      </c>
      <c r="D240" t="s">
        <v>22</v>
      </c>
      <c r="E240" t="s">
        <v>104</v>
      </c>
      <c r="F240" s="51">
        <v>4188</v>
      </c>
      <c r="G240" s="51">
        <v>942</v>
      </c>
      <c r="H240" s="51">
        <v>118</v>
      </c>
      <c r="I240" s="51">
        <v>20940</v>
      </c>
      <c r="J240" s="51">
        <v>20471</v>
      </c>
      <c r="K240">
        <v>102</v>
      </c>
      <c r="L240" t="s">
        <v>62</v>
      </c>
      <c r="P240" t="s">
        <v>38</v>
      </c>
      <c r="Q240" s="7">
        <f>(Table1_21718[[#This Row],[Likes]]+Table1_21718[[#This Row],[Shares]]+Table1_21718[[#This Row],[Comments]])/Table1_21718[[#This Row],[Impressions]]</f>
        <v>0.25062082139446035</v>
      </c>
      <c r="R240" s="7">
        <f>Table1_21718[[#This Row],[Likes]]+Table1_21718[[#This Row],[Shares]]+Table1_21718[[#This Row],[Comments]]</f>
        <v>5248</v>
      </c>
    </row>
    <row r="241" spans="1:18" x14ac:dyDescent="0.3">
      <c r="A241" t="s">
        <v>471</v>
      </c>
      <c r="B241" t="s">
        <v>14</v>
      </c>
      <c r="C241" s="6">
        <v>45530</v>
      </c>
      <c r="D241" t="s">
        <v>45</v>
      </c>
      <c r="E241" t="s">
        <v>49</v>
      </c>
      <c r="F241" s="51">
        <v>929</v>
      </c>
      <c r="G241" s="51">
        <v>192</v>
      </c>
      <c r="H241" s="51">
        <v>322</v>
      </c>
      <c r="I241" s="51">
        <v>16722</v>
      </c>
      <c r="J241" s="5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s="7">
        <f>(Table1_21718[[#This Row],[Likes]]+Table1_21718[[#This Row],[Shares]]+Table1_21718[[#This Row],[Comments]])/Table1_21718[[#This Row],[Impressions]]</f>
        <v>8.6293505561535699E-2</v>
      </c>
      <c r="R241" s="7">
        <f>Table1_21718[[#This Row],[Likes]]+Table1_21718[[#This Row],[Shares]]+Table1_21718[[#This Row],[Comments]]</f>
        <v>1443</v>
      </c>
    </row>
    <row r="242" spans="1:18" x14ac:dyDescent="0.3">
      <c r="A242" t="s">
        <v>472</v>
      </c>
      <c r="B242" t="s">
        <v>43</v>
      </c>
      <c r="C242" s="6">
        <v>45675</v>
      </c>
      <c r="D242" t="s">
        <v>35</v>
      </c>
      <c r="E242" t="s">
        <v>71</v>
      </c>
      <c r="F242" s="51">
        <v>4321</v>
      </c>
      <c r="G242" s="51">
        <v>874</v>
      </c>
      <c r="H242" s="51">
        <v>172</v>
      </c>
      <c r="I242" s="51">
        <v>30247</v>
      </c>
      <c r="J242" s="51">
        <v>29254</v>
      </c>
      <c r="K242">
        <v>122</v>
      </c>
      <c r="L242" t="s">
        <v>30</v>
      </c>
      <c r="O242" t="s">
        <v>38</v>
      </c>
      <c r="P242" t="s">
        <v>38</v>
      </c>
      <c r="Q242" s="7">
        <f>(Table1_21718[[#This Row],[Likes]]+Table1_21718[[#This Row],[Shares]]+Table1_21718[[#This Row],[Comments]])/Table1_21718[[#This Row],[Impressions]]</f>
        <v>0.17743908486792079</v>
      </c>
      <c r="R242" s="7">
        <f>Table1_21718[[#This Row],[Likes]]+Table1_21718[[#This Row],[Shares]]+Table1_21718[[#This Row],[Comments]]</f>
        <v>5367</v>
      </c>
    </row>
    <row r="243" spans="1:18" x14ac:dyDescent="0.3">
      <c r="A243" t="s">
        <v>474</v>
      </c>
      <c r="B243" t="s">
        <v>43</v>
      </c>
      <c r="C243" s="6">
        <v>45480</v>
      </c>
      <c r="D243" t="s">
        <v>16</v>
      </c>
      <c r="E243" t="s">
        <v>65</v>
      </c>
      <c r="F243" s="51">
        <v>4767</v>
      </c>
      <c r="G243" s="51">
        <v>190</v>
      </c>
      <c r="H243" s="51">
        <v>340</v>
      </c>
      <c r="I243" s="51">
        <v>28602</v>
      </c>
      <c r="J243" s="51">
        <v>28044</v>
      </c>
      <c r="K243">
        <v>210</v>
      </c>
      <c r="L243" t="s">
        <v>37</v>
      </c>
      <c r="O243" t="s">
        <v>31</v>
      </c>
      <c r="P243" t="s">
        <v>31</v>
      </c>
      <c r="Q243" s="7">
        <f>(Table1_21718[[#This Row],[Likes]]+Table1_21718[[#This Row],[Shares]]+Table1_21718[[#This Row],[Comments]])/Table1_21718[[#This Row],[Impressions]]</f>
        <v>0.18519683938186141</v>
      </c>
      <c r="R243" s="7">
        <f>Table1_21718[[#This Row],[Likes]]+Table1_21718[[#This Row],[Shares]]+Table1_21718[[#This Row],[Comments]]</f>
        <v>5297</v>
      </c>
    </row>
    <row r="244" spans="1:18" x14ac:dyDescent="0.3">
      <c r="A244" t="s">
        <v>475</v>
      </c>
      <c r="B244" t="s">
        <v>14</v>
      </c>
      <c r="C244" s="6">
        <v>45722</v>
      </c>
      <c r="D244" t="s">
        <v>52</v>
      </c>
      <c r="E244" t="s">
        <v>132</v>
      </c>
      <c r="F244" s="51">
        <v>3592</v>
      </c>
      <c r="G244" s="51">
        <v>911</v>
      </c>
      <c r="H244" s="51">
        <v>375</v>
      </c>
      <c r="I244" s="51">
        <v>50288</v>
      </c>
      <c r="J244" s="51">
        <v>49490</v>
      </c>
      <c r="K244">
        <v>32</v>
      </c>
      <c r="L244" t="s">
        <v>62</v>
      </c>
      <c r="O244" t="s">
        <v>38</v>
      </c>
      <c r="P244" t="s">
        <v>38</v>
      </c>
      <c r="Q244" s="7">
        <f>(Table1_21718[[#This Row],[Likes]]+Table1_21718[[#This Row],[Shares]]+Table1_21718[[#This Row],[Comments]])/Table1_21718[[#This Row],[Impressions]]</f>
        <v>9.7001272669424113E-2</v>
      </c>
      <c r="R244" s="7">
        <f>Table1_21718[[#This Row],[Likes]]+Table1_21718[[#This Row],[Shares]]+Table1_21718[[#This Row],[Comments]]</f>
        <v>4878</v>
      </c>
    </row>
    <row r="245" spans="1:18" x14ac:dyDescent="0.3">
      <c r="A245" t="s">
        <v>477</v>
      </c>
      <c r="B245" t="s">
        <v>27</v>
      </c>
      <c r="C245" s="6">
        <v>45590</v>
      </c>
      <c r="D245" t="s">
        <v>74</v>
      </c>
      <c r="E245" t="s">
        <v>219</v>
      </c>
      <c r="F245" s="51">
        <v>4661</v>
      </c>
      <c r="G245" s="51">
        <v>935</v>
      </c>
      <c r="H245" s="51">
        <v>433</v>
      </c>
      <c r="I245" s="51">
        <v>23305</v>
      </c>
      <c r="J245" s="51">
        <v>22583</v>
      </c>
      <c r="K245">
        <v>63</v>
      </c>
      <c r="L245" t="s">
        <v>62</v>
      </c>
      <c r="O245" t="s">
        <v>31</v>
      </c>
      <c r="P245" t="s">
        <v>31</v>
      </c>
      <c r="Q245" s="7">
        <f>(Table1_21718[[#This Row],[Likes]]+Table1_21718[[#This Row],[Shares]]+Table1_21718[[#This Row],[Comments]])/Table1_21718[[#This Row],[Impressions]]</f>
        <v>0.25869984981763572</v>
      </c>
      <c r="R245" s="7">
        <f>Table1_21718[[#This Row],[Likes]]+Table1_21718[[#This Row],[Shares]]+Table1_21718[[#This Row],[Comments]]</f>
        <v>6029</v>
      </c>
    </row>
    <row r="246" spans="1:18" x14ac:dyDescent="0.3">
      <c r="A246" t="s">
        <v>479</v>
      </c>
      <c r="B246" t="s">
        <v>43</v>
      </c>
      <c r="C246" s="6">
        <v>45669</v>
      </c>
      <c r="D246" t="s">
        <v>16</v>
      </c>
      <c r="E246" t="s">
        <v>65</v>
      </c>
      <c r="F246" s="51">
        <v>4134</v>
      </c>
      <c r="G246" s="51">
        <v>824</v>
      </c>
      <c r="H246" s="51">
        <v>99</v>
      </c>
      <c r="I246" s="51">
        <v>41340</v>
      </c>
      <c r="J246" s="51">
        <v>41050</v>
      </c>
      <c r="K246">
        <v>177</v>
      </c>
      <c r="L246" t="s">
        <v>37</v>
      </c>
      <c r="O246" t="s">
        <v>19</v>
      </c>
      <c r="P246" t="s">
        <v>19</v>
      </c>
      <c r="Q246" s="7">
        <f>(Table1_21718[[#This Row],[Likes]]+Table1_21718[[#This Row],[Shares]]+Table1_21718[[#This Row],[Comments]])/Table1_21718[[#This Row],[Impressions]]</f>
        <v>0.12232704402515723</v>
      </c>
      <c r="R246" s="7">
        <f>Table1_21718[[#This Row],[Likes]]+Table1_21718[[#This Row],[Shares]]+Table1_21718[[#This Row],[Comments]]</f>
        <v>5057</v>
      </c>
    </row>
    <row r="247" spans="1:18" x14ac:dyDescent="0.3">
      <c r="A247" t="s">
        <v>481</v>
      </c>
      <c r="B247" t="s">
        <v>43</v>
      </c>
      <c r="C247" s="6">
        <v>45576</v>
      </c>
      <c r="D247" t="s">
        <v>52</v>
      </c>
      <c r="E247" t="s">
        <v>59</v>
      </c>
      <c r="F247" s="51">
        <v>400</v>
      </c>
      <c r="G247" s="51">
        <v>680</v>
      </c>
      <c r="H247" s="51">
        <v>434</v>
      </c>
      <c r="I247" s="51">
        <v>6400</v>
      </c>
      <c r="J247" s="51">
        <v>5472</v>
      </c>
      <c r="K247">
        <v>160</v>
      </c>
      <c r="L247" t="s">
        <v>62</v>
      </c>
      <c r="O247" t="s">
        <v>25</v>
      </c>
      <c r="P247" t="s">
        <v>25</v>
      </c>
      <c r="Q247" s="7">
        <f>(Table1_21718[[#This Row],[Likes]]+Table1_21718[[#This Row],[Shares]]+Table1_21718[[#This Row],[Comments]])/Table1_21718[[#This Row],[Impressions]]</f>
        <v>0.23656250000000001</v>
      </c>
      <c r="R247" s="7">
        <f>Table1_21718[[#This Row],[Likes]]+Table1_21718[[#This Row],[Shares]]+Table1_21718[[#This Row],[Comments]]</f>
        <v>1514</v>
      </c>
    </row>
    <row r="248" spans="1:18" x14ac:dyDescent="0.3">
      <c r="A248" t="s">
        <v>483</v>
      </c>
      <c r="B248" t="s">
        <v>43</v>
      </c>
      <c r="C248" s="6">
        <v>45531</v>
      </c>
      <c r="D248" t="s">
        <v>16</v>
      </c>
      <c r="E248" t="s">
        <v>65</v>
      </c>
      <c r="F248" s="51">
        <v>3960</v>
      </c>
      <c r="G248" s="51">
        <v>266</v>
      </c>
      <c r="H248" s="51">
        <v>8</v>
      </c>
      <c r="I248" s="51">
        <v>35640</v>
      </c>
      <c r="J248" s="51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s="7">
        <f>(Table1_21718[[#This Row],[Likes]]+Table1_21718[[#This Row],[Shares]]+Table1_21718[[#This Row],[Comments]])/Table1_21718[[#This Row],[Impressions]]</f>
        <v>0.11879910213243547</v>
      </c>
      <c r="R248" s="7">
        <f>Table1_21718[[#This Row],[Likes]]+Table1_21718[[#This Row],[Shares]]+Table1_21718[[#This Row],[Comments]]</f>
        <v>4234</v>
      </c>
    </row>
    <row r="249" spans="1:18" x14ac:dyDescent="0.3">
      <c r="A249" t="s">
        <v>486</v>
      </c>
      <c r="B249" t="s">
        <v>43</v>
      </c>
      <c r="C249" s="6">
        <v>45690</v>
      </c>
      <c r="D249" t="s">
        <v>35</v>
      </c>
      <c r="E249" t="s">
        <v>71</v>
      </c>
      <c r="F249" s="51">
        <v>886</v>
      </c>
      <c r="G249" s="51">
        <v>126</v>
      </c>
      <c r="H249" s="51">
        <v>153</v>
      </c>
      <c r="I249" s="51">
        <v>4430</v>
      </c>
      <c r="J249" s="51">
        <v>4037</v>
      </c>
      <c r="K249">
        <v>212</v>
      </c>
      <c r="L249" t="s">
        <v>37</v>
      </c>
      <c r="P249" t="s">
        <v>19</v>
      </c>
      <c r="Q249" s="7">
        <f>(Table1_21718[[#This Row],[Likes]]+Table1_21718[[#This Row],[Shares]]+Table1_21718[[#This Row],[Comments]])/Table1_21718[[#This Row],[Impressions]]</f>
        <v>0.26297968397291194</v>
      </c>
      <c r="R249" s="7">
        <f>Table1_21718[[#This Row],[Likes]]+Table1_21718[[#This Row],[Shares]]+Table1_21718[[#This Row],[Comments]]</f>
        <v>1165</v>
      </c>
    </row>
    <row r="250" spans="1:18" x14ac:dyDescent="0.3">
      <c r="A250" t="s">
        <v>487</v>
      </c>
      <c r="B250" t="s">
        <v>14</v>
      </c>
      <c r="C250" s="6">
        <v>45491</v>
      </c>
      <c r="D250" t="s">
        <v>52</v>
      </c>
      <c r="E250" t="s">
        <v>132</v>
      </c>
      <c r="F250" s="51">
        <v>827</v>
      </c>
      <c r="G250" s="51">
        <v>77</v>
      </c>
      <c r="H250" s="51">
        <v>402</v>
      </c>
      <c r="I250" s="51">
        <v>14886</v>
      </c>
      <c r="J250" s="51">
        <v>14129</v>
      </c>
      <c r="K250">
        <v>254</v>
      </c>
      <c r="L250" t="s">
        <v>37</v>
      </c>
      <c r="O250" t="s">
        <v>25</v>
      </c>
      <c r="P250" t="s">
        <v>25</v>
      </c>
      <c r="Q250" s="7">
        <f>(Table1_21718[[#This Row],[Likes]]+Table1_21718[[#This Row],[Shares]]+Table1_21718[[#This Row],[Comments]])/Table1_21718[[#This Row],[Impressions]]</f>
        <v>8.7733440816874911E-2</v>
      </c>
      <c r="R250" s="7">
        <f>Table1_21718[[#This Row],[Likes]]+Table1_21718[[#This Row],[Shares]]+Table1_21718[[#This Row],[Comments]]</f>
        <v>1306</v>
      </c>
    </row>
    <row r="251" spans="1:18" x14ac:dyDescent="0.3">
      <c r="A251" t="s">
        <v>488</v>
      </c>
      <c r="B251" t="s">
        <v>43</v>
      </c>
      <c r="C251" s="6">
        <v>45465</v>
      </c>
      <c r="D251" t="s">
        <v>16</v>
      </c>
      <c r="E251" t="s">
        <v>65</v>
      </c>
      <c r="F251" s="51">
        <v>3813</v>
      </c>
      <c r="G251" s="51">
        <v>935</v>
      </c>
      <c r="H251" s="51">
        <v>274</v>
      </c>
      <c r="I251" s="51">
        <v>68634</v>
      </c>
      <c r="J251" s="51">
        <v>68488</v>
      </c>
      <c r="K251">
        <v>251</v>
      </c>
      <c r="L251" t="s">
        <v>62</v>
      </c>
      <c r="P251" t="s">
        <v>38</v>
      </c>
      <c r="Q251" s="7">
        <f>(Table1_21718[[#This Row],[Likes]]+Table1_21718[[#This Row],[Shares]]+Table1_21718[[#This Row],[Comments]])/Table1_21718[[#This Row],[Impressions]]</f>
        <v>7.3170731707317069E-2</v>
      </c>
      <c r="R251" s="7">
        <f>Table1_21718[[#This Row],[Likes]]+Table1_21718[[#This Row],[Shares]]+Table1_21718[[#This Row],[Comments]]</f>
        <v>5022</v>
      </c>
    </row>
    <row r="252" spans="1:18" x14ac:dyDescent="0.3">
      <c r="A252" t="s">
        <v>489</v>
      </c>
      <c r="B252" t="s">
        <v>33</v>
      </c>
      <c r="C252" s="6">
        <v>45743</v>
      </c>
      <c r="D252" t="s">
        <v>45</v>
      </c>
      <c r="E252" t="s">
        <v>88</v>
      </c>
      <c r="F252" s="51">
        <v>1377</v>
      </c>
      <c r="G252" s="51">
        <v>796</v>
      </c>
      <c r="H252" s="51">
        <v>387</v>
      </c>
      <c r="I252" s="51">
        <v>22032</v>
      </c>
      <c r="J252" s="51">
        <v>21869</v>
      </c>
      <c r="K252">
        <v>189</v>
      </c>
      <c r="L252" t="s">
        <v>62</v>
      </c>
      <c r="P252" t="s">
        <v>38</v>
      </c>
      <c r="Q252" s="7">
        <f>(Table1_21718[[#This Row],[Likes]]+Table1_21718[[#This Row],[Shares]]+Table1_21718[[#This Row],[Comments]])/Table1_21718[[#This Row],[Impressions]]</f>
        <v>0.11619462599854757</v>
      </c>
      <c r="R252" s="7">
        <f>Table1_21718[[#This Row],[Likes]]+Table1_21718[[#This Row],[Shares]]+Table1_21718[[#This Row],[Comments]]</f>
        <v>2560</v>
      </c>
    </row>
    <row r="253" spans="1:18" x14ac:dyDescent="0.3">
      <c r="A253" t="s">
        <v>491</v>
      </c>
      <c r="B253" t="s">
        <v>43</v>
      </c>
      <c r="C253" s="6">
        <v>45775</v>
      </c>
      <c r="D253" t="s">
        <v>45</v>
      </c>
      <c r="E253" t="s">
        <v>46</v>
      </c>
      <c r="F253" s="51">
        <v>2089</v>
      </c>
      <c r="G253" s="51">
        <v>476</v>
      </c>
      <c r="H253" s="51">
        <v>69</v>
      </c>
      <c r="I253" s="51">
        <v>16712</v>
      </c>
      <c r="J253" s="51">
        <v>16309</v>
      </c>
      <c r="K253">
        <v>64</v>
      </c>
      <c r="L253" t="s">
        <v>62</v>
      </c>
      <c r="O253" t="s">
        <v>31</v>
      </c>
      <c r="P253" t="s">
        <v>31</v>
      </c>
      <c r="Q253" s="7">
        <f>(Table1_21718[[#This Row],[Likes]]+Table1_21718[[#This Row],[Shares]]+Table1_21718[[#This Row],[Comments]])/Table1_21718[[#This Row],[Impressions]]</f>
        <v>0.15761129727142173</v>
      </c>
      <c r="R253" s="7">
        <f>Table1_21718[[#This Row],[Likes]]+Table1_21718[[#This Row],[Shares]]+Table1_21718[[#This Row],[Comments]]</f>
        <v>2634</v>
      </c>
    </row>
    <row r="254" spans="1:18" x14ac:dyDescent="0.3">
      <c r="A254" t="s">
        <v>492</v>
      </c>
      <c r="B254" t="s">
        <v>14</v>
      </c>
      <c r="C254" s="6">
        <v>45507</v>
      </c>
      <c r="D254" t="s">
        <v>16</v>
      </c>
      <c r="E254" t="s">
        <v>17</v>
      </c>
      <c r="F254" s="51">
        <v>3791</v>
      </c>
      <c r="G254" s="51">
        <v>593</v>
      </c>
      <c r="H254" s="51">
        <v>228</v>
      </c>
      <c r="I254" s="51">
        <v>53074</v>
      </c>
      <c r="J254" s="51">
        <v>52613</v>
      </c>
      <c r="K254">
        <v>205</v>
      </c>
      <c r="L254" t="s">
        <v>37</v>
      </c>
      <c r="P254" t="s">
        <v>19</v>
      </c>
      <c r="Q254" s="7">
        <f>(Table1_21718[[#This Row],[Likes]]+Table1_21718[[#This Row],[Shares]]+Table1_21718[[#This Row],[Comments]])/Table1_21718[[#This Row],[Impressions]]</f>
        <v>8.6897539284772202E-2</v>
      </c>
      <c r="R254" s="7">
        <f>Table1_21718[[#This Row],[Likes]]+Table1_21718[[#This Row],[Shares]]+Table1_21718[[#This Row],[Comments]]</f>
        <v>4612</v>
      </c>
    </row>
    <row r="255" spans="1:18" x14ac:dyDescent="0.3">
      <c r="A255" t="s">
        <v>494</v>
      </c>
      <c r="B255" t="s">
        <v>14</v>
      </c>
      <c r="C255" s="6">
        <v>45671</v>
      </c>
      <c r="D255" t="s">
        <v>52</v>
      </c>
      <c r="E255" t="s">
        <v>132</v>
      </c>
      <c r="F255" s="51">
        <v>2692</v>
      </c>
      <c r="G255" s="51">
        <v>115</v>
      </c>
      <c r="H255" s="51">
        <v>64</v>
      </c>
      <c r="I255" s="51">
        <v>21536</v>
      </c>
      <c r="J255" s="51">
        <v>21120</v>
      </c>
      <c r="K255">
        <v>224</v>
      </c>
      <c r="L255" t="s">
        <v>62</v>
      </c>
      <c r="O255" t="s">
        <v>25</v>
      </c>
      <c r="P255" t="s">
        <v>25</v>
      </c>
      <c r="Q255" s="7">
        <f>(Table1_21718[[#This Row],[Likes]]+Table1_21718[[#This Row],[Shares]]+Table1_21718[[#This Row],[Comments]])/Table1_21718[[#This Row],[Impressions]]</f>
        <v>0.13331166419019316</v>
      </c>
      <c r="R255" s="7">
        <f>Table1_21718[[#This Row],[Likes]]+Table1_21718[[#This Row],[Shares]]+Table1_21718[[#This Row],[Comments]]</f>
        <v>2871</v>
      </c>
    </row>
    <row r="256" spans="1:18" x14ac:dyDescent="0.3">
      <c r="A256" t="s">
        <v>496</v>
      </c>
      <c r="B256" t="s">
        <v>43</v>
      </c>
      <c r="C256" s="6">
        <v>45750</v>
      </c>
      <c r="D256" t="s">
        <v>35</v>
      </c>
      <c r="E256" t="s">
        <v>71</v>
      </c>
      <c r="F256" s="51">
        <v>3767</v>
      </c>
      <c r="G256" s="51">
        <v>514</v>
      </c>
      <c r="H256" s="51">
        <v>238</v>
      </c>
      <c r="I256" s="51">
        <v>37670</v>
      </c>
      <c r="J256" s="51">
        <v>36807</v>
      </c>
      <c r="K256">
        <v>226</v>
      </c>
      <c r="L256" t="s">
        <v>62</v>
      </c>
      <c r="O256" t="s">
        <v>38</v>
      </c>
      <c r="P256" t="s">
        <v>38</v>
      </c>
      <c r="Q256" s="7">
        <f>(Table1_21718[[#This Row],[Likes]]+Table1_21718[[#This Row],[Shares]]+Table1_21718[[#This Row],[Comments]])/Table1_21718[[#This Row],[Impressions]]</f>
        <v>0.11996283514733209</v>
      </c>
      <c r="R256" s="7">
        <f>Table1_21718[[#This Row],[Likes]]+Table1_21718[[#This Row],[Shares]]+Table1_21718[[#This Row],[Comments]]</f>
        <v>4519</v>
      </c>
    </row>
    <row r="257" spans="1:18" x14ac:dyDescent="0.3">
      <c r="A257" t="s">
        <v>497</v>
      </c>
      <c r="B257" t="s">
        <v>27</v>
      </c>
      <c r="C257" s="6">
        <v>45553</v>
      </c>
      <c r="D257" t="s">
        <v>45</v>
      </c>
      <c r="E257" t="s">
        <v>68</v>
      </c>
      <c r="F257" s="51">
        <v>2143</v>
      </c>
      <c r="G257" s="51">
        <v>12</v>
      </c>
      <c r="H257" s="51">
        <v>204</v>
      </c>
      <c r="I257" s="51">
        <v>40717</v>
      </c>
      <c r="J257" s="51">
        <v>40125</v>
      </c>
      <c r="K257">
        <v>248</v>
      </c>
      <c r="L257" t="s">
        <v>37</v>
      </c>
      <c r="O257" t="s">
        <v>25</v>
      </c>
      <c r="P257" t="s">
        <v>25</v>
      </c>
      <c r="Q257" s="7">
        <f>(Table1_21718[[#This Row],[Likes]]+Table1_21718[[#This Row],[Shares]]+Table1_21718[[#This Row],[Comments]])/Table1_21718[[#This Row],[Impressions]]</f>
        <v>5.7936488444630008E-2</v>
      </c>
      <c r="R257" s="7">
        <f>Table1_21718[[#This Row],[Likes]]+Table1_21718[[#This Row],[Shares]]+Table1_21718[[#This Row],[Comments]]</f>
        <v>2359</v>
      </c>
    </row>
    <row r="258" spans="1:18" x14ac:dyDescent="0.3">
      <c r="A258" t="s">
        <v>498</v>
      </c>
      <c r="B258" t="s">
        <v>43</v>
      </c>
      <c r="C258" s="6">
        <v>45753</v>
      </c>
      <c r="D258" t="s">
        <v>52</v>
      </c>
      <c r="E258" t="s">
        <v>59</v>
      </c>
      <c r="F258" s="51">
        <v>3090</v>
      </c>
      <c r="G258" s="51">
        <v>697</v>
      </c>
      <c r="H258" s="51">
        <v>164</v>
      </c>
      <c r="I258" s="51">
        <v>49440</v>
      </c>
      <c r="J258" s="51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s="7">
        <f>(Table1_21718[[#This Row],[Likes]]+Table1_21718[[#This Row],[Shares]]+Table1_21718[[#This Row],[Comments]])/Table1_21718[[#This Row],[Impressions]]</f>
        <v>7.9915048543689318E-2</v>
      </c>
      <c r="R258" s="7">
        <f>Table1_21718[[#This Row],[Likes]]+Table1_21718[[#This Row],[Shares]]+Table1_21718[[#This Row],[Comments]]</f>
        <v>3951</v>
      </c>
    </row>
    <row r="259" spans="1:18" x14ac:dyDescent="0.3">
      <c r="A259" t="s">
        <v>500</v>
      </c>
      <c r="B259" t="s">
        <v>33</v>
      </c>
      <c r="C259" s="6">
        <v>45509</v>
      </c>
      <c r="D259" t="s">
        <v>35</v>
      </c>
      <c r="E259" t="s">
        <v>36</v>
      </c>
      <c r="F259" s="51">
        <v>3601</v>
      </c>
      <c r="G259" s="51">
        <v>695</v>
      </c>
      <c r="H259" s="51">
        <v>75</v>
      </c>
      <c r="I259" s="51">
        <v>21606</v>
      </c>
      <c r="J259" s="51">
        <v>21454</v>
      </c>
      <c r="K259">
        <v>172</v>
      </c>
      <c r="L259" t="s">
        <v>37</v>
      </c>
      <c r="O259" t="s">
        <v>25</v>
      </c>
      <c r="P259" t="s">
        <v>25</v>
      </c>
      <c r="Q259" s="7">
        <f>(Table1_21718[[#This Row],[Likes]]+Table1_21718[[#This Row],[Shares]]+Table1_21718[[#This Row],[Comments]])/Table1_21718[[#This Row],[Impressions]]</f>
        <v>0.2023049153013052</v>
      </c>
      <c r="R259" s="7">
        <f>Table1_21718[[#This Row],[Likes]]+Table1_21718[[#This Row],[Shares]]+Table1_21718[[#This Row],[Comments]]</f>
        <v>4371</v>
      </c>
    </row>
    <row r="260" spans="1:18" x14ac:dyDescent="0.3">
      <c r="A260" t="s">
        <v>502</v>
      </c>
      <c r="B260" t="s">
        <v>43</v>
      </c>
      <c r="C260" s="6">
        <v>45698</v>
      </c>
      <c r="D260" t="s">
        <v>22</v>
      </c>
      <c r="E260" t="s">
        <v>56</v>
      </c>
      <c r="F260" s="51">
        <v>562</v>
      </c>
      <c r="G260" s="51">
        <v>158</v>
      </c>
      <c r="H260" s="51">
        <v>149</v>
      </c>
      <c r="I260" s="51">
        <v>3372</v>
      </c>
      <c r="J260" s="51">
        <v>2940</v>
      </c>
      <c r="K260">
        <v>93</v>
      </c>
      <c r="L260" t="s">
        <v>30</v>
      </c>
      <c r="O260" t="s">
        <v>19</v>
      </c>
      <c r="P260" t="s">
        <v>19</v>
      </c>
      <c r="Q260" s="7">
        <f>(Table1_21718[[#This Row],[Likes]]+Table1_21718[[#This Row],[Shares]]+Table1_21718[[#This Row],[Comments]])/Table1_21718[[#This Row],[Impressions]]</f>
        <v>0.25771055753262156</v>
      </c>
      <c r="R260" s="7">
        <f>Table1_21718[[#This Row],[Likes]]+Table1_21718[[#This Row],[Shares]]+Table1_21718[[#This Row],[Comments]]</f>
        <v>869</v>
      </c>
    </row>
    <row r="261" spans="1:18" x14ac:dyDescent="0.3">
      <c r="A261" t="s">
        <v>503</v>
      </c>
      <c r="B261" t="s">
        <v>33</v>
      </c>
      <c r="C261" s="6">
        <v>45700</v>
      </c>
      <c r="D261" t="s">
        <v>35</v>
      </c>
      <c r="E261" t="s">
        <v>36</v>
      </c>
      <c r="F261" s="51">
        <v>4332</v>
      </c>
      <c r="G261" s="51">
        <v>771</v>
      </c>
      <c r="H261" s="51">
        <v>219</v>
      </c>
      <c r="I261" s="51">
        <v>60648</v>
      </c>
      <c r="J261" s="5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s="7">
        <f>(Table1_21718[[#This Row],[Likes]]+Table1_21718[[#This Row],[Shares]]+Table1_21718[[#This Row],[Comments]])/Table1_21718[[#This Row],[Impressions]]</f>
        <v>8.7752275425405618E-2</v>
      </c>
      <c r="R261" s="7">
        <f>Table1_21718[[#This Row],[Likes]]+Table1_21718[[#This Row],[Shares]]+Table1_21718[[#This Row],[Comments]]</f>
        <v>5322</v>
      </c>
    </row>
    <row r="262" spans="1:18" x14ac:dyDescent="0.3">
      <c r="A262" t="s">
        <v>506</v>
      </c>
      <c r="B262" t="s">
        <v>33</v>
      </c>
      <c r="C262" s="6">
        <v>45592</v>
      </c>
      <c r="D262" t="s">
        <v>52</v>
      </c>
      <c r="E262" t="s">
        <v>215</v>
      </c>
      <c r="F262" s="51">
        <v>4853</v>
      </c>
      <c r="G262" s="51">
        <v>837</v>
      </c>
      <c r="H262" s="51">
        <v>340</v>
      </c>
      <c r="I262" s="51">
        <v>72795</v>
      </c>
      <c r="J262" s="51">
        <v>72237</v>
      </c>
      <c r="K262">
        <v>170</v>
      </c>
      <c r="L262" t="s">
        <v>37</v>
      </c>
      <c r="O262" t="s">
        <v>19</v>
      </c>
      <c r="P262" t="s">
        <v>19</v>
      </c>
      <c r="Q262" s="7">
        <f>(Table1_21718[[#This Row],[Likes]]+Table1_21718[[#This Row],[Shares]]+Table1_21718[[#This Row],[Comments]])/Table1_21718[[#This Row],[Impressions]]</f>
        <v>8.2835359571399134E-2</v>
      </c>
      <c r="R262" s="7">
        <f>Table1_21718[[#This Row],[Likes]]+Table1_21718[[#This Row],[Shares]]+Table1_21718[[#This Row],[Comments]]</f>
        <v>6030</v>
      </c>
    </row>
    <row r="263" spans="1:18" x14ac:dyDescent="0.3">
      <c r="A263" t="s">
        <v>508</v>
      </c>
      <c r="B263" t="s">
        <v>27</v>
      </c>
      <c r="C263" s="6">
        <v>45675</v>
      </c>
      <c r="D263" t="s">
        <v>52</v>
      </c>
      <c r="E263" t="s">
        <v>53</v>
      </c>
      <c r="F263" s="51">
        <v>1206</v>
      </c>
      <c r="G263" s="51">
        <v>238</v>
      </c>
      <c r="H263" s="51">
        <v>36</v>
      </c>
      <c r="I263" s="51">
        <v>9648</v>
      </c>
      <c r="J263" s="51">
        <v>9417</v>
      </c>
      <c r="K263">
        <v>237</v>
      </c>
      <c r="L263" t="s">
        <v>30</v>
      </c>
      <c r="P263" t="s">
        <v>25</v>
      </c>
      <c r="Q263" s="7">
        <f>(Table1_21718[[#This Row],[Likes]]+Table1_21718[[#This Row],[Shares]]+Table1_21718[[#This Row],[Comments]])/Table1_21718[[#This Row],[Impressions]]</f>
        <v>0.15339966832504145</v>
      </c>
      <c r="R263" s="7">
        <f>Table1_21718[[#This Row],[Likes]]+Table1_21718[[#This Row],[Shares]]+Table1_21718[[#This Row],[Comments]]</f>
        <v>1480</v>
      </c>
    </row>
    <row r="264" spans="1:18" x14ac:dyDescent="0.3">
      <c r="A264" t="s">
        <v>509</v>
      </c>
      <c r="B264" t="s">
        <v>33</v>
      </c>
      <c r="C264" s="6">
        <v>45524</v>
      </c>
      <c r="D264" t="s">
        <v>16</v>
      </c>
      <c r="E264" t="s">
        <v>82</v>
      </c>
      <c r="F264" s="51">
        <v>2603</v>
      </c>
      <c r="G264" s="51">
        <v>690</v>
      </c>
      <c r="H264" s="51">
        <v>205</v>
      </c>
      <c r="I264" s="51">
        <v>13015</v>
      </c>
      <c r="J264" s="51">
        <v>12130</v>
      </c>
      <c r="K264">
        <v>20</v>
      </c>
      <c r="L264" t="s">
        <v>62</v>
      </c>
      <c r="O264" t="s">
        <v>25</v>
      </c>
      <c r="P264" t="s">
        <v>25</v>
      </c>
      <c r="Q264" s="7">
        <f>(Table1_21718[[#This Row],[Likes]]+Table1_21718[[#This Row],[Shares]]+Table1_21718[[#This Row],[Comments]])/Table1_21718[[#This Row],[Impressions]]</f>
        <v>0.26876680752977333</v>
      </c>
      <c r="R264" s="7">
        <f>Table1_21718[[#This Row],[Likes]]+Table1_21718[[#This Row],[Shares]]+Table1_21718[[#This Row],[Comments]]</f>
        <v>3498</v>
      </c>
    </row>
    <row r="265" spans="1:18" x14ac:dyDescent="0.3">
      <c r="A265" t="s">
        <v>511</v>
      </c>
      <c r="B265" t="s">
        <v>14</v>
      </c>
      <c r="C265" s="6">
        <v>45687</v>
      </c>
      <c r="D265" t="s">
        <v>52</v>
      </c>
      <c r="E265" t="s">
        <v>132</v>
      </c>
      <c r="F265" s="51">
        <v>59</v>
      </c>
      <c r="G265" s="51">
        <v>163</v>
      </c>
      <c r="H265" s="51">
        <v>93</v>
      </c>
      <c r="I265" s="51">
        <v>590</v>
      </c>
      <c r="J265" s="51">
        <v>475</v>
      </c>
      <c r="K265">
        <v>293</v>
      </c>
      <c r="L265" t="s">
        <v>30</v>
      </c>
      <c r="O265" t="s">
        <v>25</v>
      </c>
      <c r="P265" t="s">
        <v>25</v>
      </c>
      <c r="Q265" s="7">
        <f>(Table1_21718[[#This Row],[Likes]]+Table1_21718[[#This Row],[Shares]]+Table1_21718[[#This Row],[Comments]])/Table1_21718[[#This Row],[Impressions]]</f>
        <v>0.53389830508474578</v>
      </c>
      <c r="R265" s="7">
        <f>Table1_21718[[#This Row],[Likes]]+Table1_21718[[#This Row],[Shares]]+Table1_21718[[#This Row],[Comments]]</f>
        <v>315</v>
      </c>
    </row>
    <row r="266" spans="1:18" x14ac:dyDescent="0.3">
      <c r="A266" t="s">
        <v>513</v>
      </c>
      <c r="B266" t="s">
        <v>14</v>
      </c>
      <c r="C266" s="6">
        <v>45708</v>
      </c>
      <c r="D266" t="s">
        <v>45</v>
      </c>
      <c r="E266" t="s">
        <v>49</v>
      </c>
      <c r="F266" s="51">
        <v>1877</v>
      </c>
      <c r="G266" s="51">
        <v>745</v>
      </c>
      <c r="H266" s="51">
        <v>225</v>
      </c>
      <c r="I266" s="51">
        <v>11262</v>
      </c>
      <c r="J266" s="51">
        <v>10967</v>
      </c>
      <c r="K266">
        <v>41</v>
      </c>
      <c r="L266" t="s">
        <v>37</v>
      </c>
      <c r="O266" t="s">
        <v>38</v>
      </c>
      <c r="P266" t="s">
        <v>38</v>
      </c>
      <c r="Q266" s="7">
        <f>(Table1_21718[[#This Row],[Likes]]+Table1_21718[[#This Row],[Shares]]+Table1_21718[[#This Row],[Comments]])/Table1_21718[[#This Row],[Impressions]]</f>
        <v>0.25279701651571657</v>
      </c>
      <c r="R266" s="7">
        <f>Table1_21718[[#This Row],[Likes]]+Table1_21718[[#This Row],[Shares]]+Table1_21718[[#This Row],[Comments]]</f>
        <v>2847</v>
      </c>
    </row>
    <row r="267" spans="1:18" x14ac:dyDescent="0.3">
      <c r="A267" t="s">
        <v>515</v>
      </c>
      <c r="B267" t="s">
        <v>43</v>
      </c>
      <c r="C267" s="6">
        <v>45621</v>
      </c>
      <c r="D267" t="s">
        <v>35</v>
      </c>
      <c r="E267" t="s">
        <v>71</v>
      </c>
      <c r="F267" s="51">
        <v>4182</v>
      </c>
      <c r="G267" s="51">
        <v>640</v>
      </c>
      <c r="H267" s="51">
        <v>240</v>
      </c>
      <c r="I267" s="51">
        <v>50184</v>
      </c>
      <c r="J267" s="51">
        <v>49351</v>
      </c>
      <c r="K267">
        <v>10</v>
      </c>
      <c r="L267" t="s">
        <v>30</v>
      </c>
      <c r="O267" t="s">
        <v>31</v>
      </c>
      <c r="P267" t="s">
        <v>31</v>
      </c>
      <c r="Q267" s="7">
        <f>(Table1_21718[[#This Row],[Likes]]+Table1_21718[[#This Row],[Shares]]+Table1_21718[[#This Row],[Comments]])/Table1_21718[[#This Row],[Impressions]]</f>
        <v>0.10086880280567512</v>
      </c>
      <c r="R267" s="7">
        <f>Table1_21718[[#This Row],[Likes]]+Table1_21718[[#This Row],[Shares]]+Table1_21718[[#This Row],[Comments]]</f>
        <v>5062</v>
      </c>
    </row>
    <row r="268" spans="1:18" x14ac:dyDescent="0.3">
      <c r="A268" t="s">
        <v>516</v>
      </c>
      <c r="B268" t="s">
        <v>14</v>
      </c>
      <c r="C268" s="6">
        <v>45569</v>
      </c>
      <c r="D268" t="s">
        <v>16</v>
      </c>
      <c r="E268" t="s">
        <v>17</v>
      </c>
      <c r="F268" s="51">
        <v>4187</v>
      </c>
      <c r="G268" s="51">
        <v>66</v>
      </c>
      <c r="H268" s="51">
        <v>31</v>
      </c>
      <c r="I268" s="51">
        <v>66992</v>
      </c>
      <c r="J268" s="51">
        <v>66614</v>
      </c>
      <c r="K268">
        <v>62</v>
      </c>
      <c r="L268" t="s">
        <v>62</v>
      </c>
      <c r="P268" t="s">
        <v>38</v>
      </c>
      <c r="Q268" s="7">
        <f>(Table1_21718[[#This Row],[Likes]]+Table1_21718[[#This Row],[Shares]]+Table1_21718[[#This Row],[Comments]])/Table1_21718[[#This Row],[Impressions]]</f>
        <v>6.3947934081681396E-2</v>
      </c>
      <c r="R268" s="7">
        <f>Table1_21718[[#This Row],[Likes]]+Table1_21718[[#This Row],[Shares]]+Table1_21718[[#This Row],[Comments]]</f>
        <v>4284</v>
      </c>
    </row>
    <row r="269" spans="1:18" x14ac:dyDescent="0.3">
      <c r="A269" t="s">
        <v>517</v>
      </c>
      <c r="B269" t="s">
        <v>33</v>
      </c>
      <c r="C269" s="6">
        <v>45760</v>
      </c>
      <c r="D269" t="s">
        <v>16</v>
      </c>
      <c r="E269" t="s">
        <v>82</v>
      </c>
      <c r="F269" s="51">
        <v>4579</v>
      </c>
      <c r="G269" s="51">
        <v>125</v>
      </c>
      <c r="H269" s="51">
        <v>300</v>
      </c>
      <c r="I269" s="51">
        <v>59527</v>
      </c>
      <c r="J269" s="51">
        <v>59400</v>
      </c>
      <c r="K269">
        <v>269</v>
      </c>
      <c r="L269" t="s">
        <v>37</v>
      </c>
      <c r="O269" t="s">
        <v>19</v>
      </c>
      <c r="P269" t="s">
        <v>19</v>
      </c>
      <c r="Q269" s="7">
        <f>(Table1_21718[[#This Row],[Likes]]+Table1_21718[[#This Row],[Shares]]+Table1_21718[[#This Row],[Comments]])/Table1_21718[[#This Row],[Impressions]]</f>
        <v>8.4062694239588759E-2</v>
      </c>
      <c r="R269" s="7">
        <f>Table1_21718[[#This Row],[Likes]]+Table1_21718[[#This Row],[Shares]]+Table1_21718[[#This Row],[Comments]]</f>
        <v>5004</v>
      </c>
    </row>
    <row r="270" spans="1:18" x14ac:dyDescent="0.3">
      <c r="A270" t="s">
        <v>519</v>
      </c>
      <c r="B270" t="s">
        <v>33</v>
      </c>
      <c r="C270" s="6">
        <v>45601</v>
      </c>
      <c r="D270" t="s">
        <v>74</v>
      </c>
      <c r="E270" t="s">
        <v>85</v>
      </c>
      <c r="F270" s="51">
        <v>4561</v>
      </c>
      <c r="G270" s="51">
        <v>51</v>
      </c>
      <c r="H270" s="51">
        <v>441</v>
      </c>
      <c r="I270" s="51">
        <v>22805</v>
      </c>
      <c r="J270" s="51">
        <v>21890</v>
      </c>
      <c r="K270">
        <v>45</v>
      </c>
      <c r="L270" t="s">
        <v>30</v>
      </c>
      <c r="O270" t="s">
        <v>25</v>
      </c>
      <c r="P270" t="s">
        <v>25</v>
      </c>
      <c r="Q270" s="7">
        <f>(Table1_21718[[#This Row],[Likes]]+Table1_21718[[#This Row],[Shares]]+Table1_21718[[#This Row],[Comments]])/Table1_21718[[#This Row],[Impressions]]</f>
        <v>0.22157421618066214</v>
      </c>
      <c r="R270" s="7">
        <f>Table1_21718[[#This Row],[Likes]]+Table1_21718[[#This Row],[Shares]]+Table1_21718[[#This Row],[Comments]]</f>
        <v>5053</v>
      </c>
    </row>
    <row r="271" spans="1:18" x14ac:dyDescent="0.3">
      <c r="A271" t="s">
        <v>521</v>
      </c>
      <c r="B271" t="s">
        <v>27</v>
      </c>
      <c r="C271" s="6">
        <v>45672</v>
      </c>
      <c r="D271" t="s">
        <v>16</v>
      </c>
      <c r="E271" t="s">
        <v>29</v>
      </c>
      <c r="F271" s="51">
        <v>3774</v>
      </c>
      <c r="G271" s="51">
        <v>239</v>
      </c>
      <c r="H271" s="51">
        <v>39</v>
      </c>
      <c r="I271" s="51">
        <v>60384</v>
      </c>
      <c r="J271" s="51">
        <v>59490</v>
      </c>
      <c r="K271">
        <v>241</v>
      </c>
      <c r="L271" t="s">
        <v>30</v>
      </c>
      <c r="O271" t="s">
        <v>31</v>
      </c>
      <c r="P271" t="s">
        <v>31</v>
      </c>
      <c r="Q271" s="7">
        <f>(Table1_21718[[#This Row],[Likes]]+Table1_21718[[#This Row],[Shares]]+Table1_21718[[#This Row],[Comments]])/Table1_21718[[#This Row],[Impressions]]</f>
        <v>6.7103868574456813E-2</v>
      </c>
      <c r="R271" s="7">
        <f>Table1_21718[[#This Row],[Likes]]+Table1_21718[[#This Row],[Shares]]+Table1_21718[[#This Row],[Comments]]</f>
        <v>4052</v>
      </c>
    </row>
    <row r="272" spans="1:18" x14ac:dyDescent="0.3">
      <c r="A272" t="s">
        <v>522</v>
      </c>
      <c r="B272" t="s">
        <v>33</v>
      </c>
      <c r="C272" s="6">
        <v>45582</v>
      </c>
      <c r="D272" t="s">
        <v>74</v>
      </c>
      <c r="E272" t="s">
        <v>85</v>
      </c>
      <c r="F272" s="51">
        <v>3575</v>
      </c>
      <c r="G272" s="51">
        <v>749</v>
      </c>
      <c r="H272" s="51">
        <v>111</v>
      </c>
      <c r="I272" s="51">
        <v>21450</v>
      </c>
      <c r="J272" s="51">
        <v>20785</v>
      </c>
      <c r="K272">
        <v>195</v>
      </c>
      <c r="L272" t="s">
        <v>37</v>
      </c>
      <c r="O272" t="s">
        <v>25</v>
      </c>
      <c r="P272" t="s">
        <v>25</v>
      </c>
      <c r="Q272" s="7">
        <f>(Table1_21718[[#This Row],[Likes]]+Table1_21718[[#This Row],[Shares]]+Table1_21718[[#This Row],[Comments]])/Table1_21718[[#This Row],[Impressions]]</f>
        <v>0.20675990675990677</v>
      </c>
      <c r="R272" s="7">
        <f>Table1_21718[[#This Row],[Likes]]+Table1_21718[[#This Row],[Shares]]+Table1_21718[[#This Row],[Comments]]</f>
        <v>4435</v>
      </c>
    </row>
    <row r="273" spans="1:18" x14ac:dyDescent="0.3">
      <c r="A273" t="s">
        <v>524</v>
      </c>
      <c r="B273" t="s">
        <v>33</v>
      </c>
      <c r="C273" s="6">
        <v>45743</v>
      </c>
      <c r="D273" t="s">
        <v>22</v>
      </c>
      <c r="E273" t="s">
        <v>113</v>
      </c>
      <c r="F273" s="51">
        <v>4941</v>
      </c>
      <c r="G273" s="51">
        <v>414</v>
      </c>
      <c r="H273" s="51">
        <v>266</v>
      </c>
      <c r="I273" s="51">
        <v>39528</v>
      </c>
      <c r="J273" s="51">
        <v>39154</v>
      </c>
      <c r="K273">
        <v>217</v>
      </c>
      <c r="L273" t="s">
        <v>30</v>
      </c>
      <c r="O273" t="s">
        <v>31</v>
      </c>
      <c r="P273" t="s">
        <v>31</v>
      </c>
      <c r="Q273" s="7">
        <f>(Table1_21718[[#This Row],[Likes]]+Table1_21718[[#This Row],[Shares]]+Table1_21718[[#This Row],[Comments]])/Table1_21718[[#This Row],[Impressions]]</f>
        <v>0.14220299534507186</v>
      </c>
      <c r="R273" s="7">
        <f>Table1_21718[[#This Row],[Likes]]+Table1_21718[[#This Row],[Shares]]+Table1_21718[[#This Row],[Comments]]</f>
        <v>5621</v>
      </c>
    </row>
    <row r="274" spans="1:18" x14ac:dyDescent="0.3">
      <c r="A274" t="s">
        <v>525</v>
      </c>
      <c r="B274" t="s">
        <v>27</v>
      </c>
      <c r="C274" s="6">
        <v>45577</v>
      </c>
      <c r="D274" t="s">
        <v>35</v>
      </c>
      <c r="E274" t="s">
        <v>154</v>
      </c>
      <c r="F274" s="51">
        <v>3641</v>
      </c>
      <c r="G274" s="51">
        <v>226</v>
      </c>
      <c r="H274" s="51">
        <v>46</v>
      </c>
      <c r="I274" s="51">
        <v>40051</v>
      </c>
      <c r="J274" s="51">
        <v>39319</v>
      </c>
      <c r="K274">
        <v>296</v>
      </c>
      <c r="L274" t="s">
        <v>37</v>
      </c>
      <c r="O274" t="s">
        <v>38</v>
      </c>
      <c r="P274" t="s">
        <v>38</v>
      </c>
      <c r="Q274" s="7">
        <f>(Table1_21718[[#This Row],[Likes]]+Table1_21718[[#This Row],[Shares]]+Table1_21718[[#This Row],[Comments]])/Table1_21718[[#This Row],[Impressions]]</f>
        <v>9.7700431949264685E-2</v>
      </c>
      <c r="R274" s="7">
        <f>Table1_21718[[#This Row],[Likes]]+Table1_21718[[#This Row],[Shares]]+Table1_21718[[#This Row],[Comments]]</f>
        <v>3913</v>
      </c>
    </row>
    <row r="275" spans="1:18" x14ac:dyDescent="0.3">
      <c r="A275" t="s">
        <v>527</v>
      </c>
      <c r="B275" t="s">
        <v>14</v>
      </c>
      <c r="C275" s="6">
        <v>45658</v>
      </c>
      <c r="D275" t="s">
        <v>45</v>
      </c>
      <c r="E275" t="s">
        <v>49</v>
      </c>
      <c r="F275" s="51">
        <v>3535</v>
      </c>
      <c r="G275" s="51">
        <v>494</v>
      </c>
      <c r="H275" s="51">
        <v>152</v>
      </c>
      <c r="I275" s="51">
        <v>53025</v>
      </c>
      <c r="J275" s="51">
        <v>52791</v>
      </c>
      <c r="K275">
        <v>44</v>
      </c>
      <c r="L275" t="s">
        <v>30</v>
      </c>
      <c r="O275" t="s">
        <v>38</v>
      </c>
      <c r="P275" t="s">
        <v>38</v>
      </c>
      <c r="Q275" s="7">
        <f>(Table1_21718[[#This Row],[Likes]]+Table1_21718[[#This Row],[Shares]]+Table1_21718[[#This Row],[Comments]])/Table1_21718[[#This Row],[Impressions]]</f>
        <v>7.8849599245638849E-2</v>
      </c>
      <c r="R275" s="7">
        <f>Table1_21718[[#This Row],[Likes]]+Table1_21718[[#This Row],[Shares]]+Table1_21718[[#This Row],[Comments]]</f>
        <v>4181</v>
      </c>
    </row>
    <row r="276" spans="1:18" x14ac:dyDescent="0.3">
      <c r="A276" t="s">
        <v>528</v>
      </c>
      <c r="B276" t="s">
        <v>43</v>
      </c>
      <c r="C276" s="6">
        <v>45509</v>
      </c>
      <c r="D276" t="s">
        <v>16</v>
      </c>
      <c r="E276" t="s">
        <v>65</v>
      </c>
      <c r="F276" s="51">
        <v>1741</v>
      </c>
      <c r="G276" s="51">
        <v>831</v>
      </c>
      <c r="H276" s="51">
        <v>345</v>
      </c>
      <c r="I276" s="51">
        <v>17410</v>
      </c>
      <c r="J276" s="51">
        <v>16844</v>
      </c>
      <c r="K276">
        <v>58</v>
      </c>
      <c r="L276" t="s">
        <v>37</v>
      </c>
      <c r="O276" t="s">
        <v>31</v>
      </c>
      <c r="P276" t="s">
        <v>31</v>
      </c>
      <c r="Q276" s="7">
        <f>(Table1_21718[[#This Row],[Likes]]+Table1_21718[[#This Row],[Shares]]+Table1_21718[[#This Row],[Comments]])/Table1_21718[[#This Row],[Impressions]]</f>
        <v>0.16754738655944859</v>
      </c>
      <c r="R276" s="7">
        <f>Table1_21718[[#This Row],[Likes]]+Table1_21718[[#This Row],[Shares]]+Table1_21718[[#This Row],[Comments]]</f>
        <v>2917</v>
      </c>
    </row>
    <row r="277" spans="1:18" x14ac:dyDescent="0.3">
      <c r="A277" t="s">
        <v>529</v>
      </c>
      <c r="B277" t="s">
        <v>14</v>
      </c>
      <c r="C277" s="6">
        <v>45450</v>
      </c>
      <c r="D277" t="s">
        <v>45</v>
      </c>
      <c r="E277" t="s">
        <v>49</v>
      </c>
      <c r="F277" s="51">
        <v>1556</v>
      </c>
      <c r="G277" s="51">
        <v>195</v>
      </c>
      <c r="H277" s="51">
        <v>131</v>
      </c>
      <c r="I277" s="51">
        <v>9336</v>
      </c>
      <c r="J277" s="51">
        <v>8875</v>
      </c>
      <c r="K277">
        <v>137</v>
      </c>
      <c r="L277" t="s">
        <v>30</v>
      </c>
      <c r="O277" t="s">
        <v>25</v>
      </c>
      <c r="P277" t="s">
        <v>25</v>
      </c>
      <c r="Q277" s="7">
        <f>(Table1_21718[[#This Row],[Likes]]+Table1_21718[[#This Row],[Shares]]+Table1_21718[[#This Row],[Comments]])/Table1_21718[[#This Row],[Impressions]]</f>
        <v>0.2015852613538989</v>
      </c>
      <c r="R277" s="7">
        <f>Table1_21718[[#This Row],[Likes]]+Table1_21718[[#This Row],[Shares]]+Table1_21718[[#This Row],[Comments]]</f>
        <v>1882</v>
      </c>
    </row>
    <row r="278" spans="1:18" x14ac:dyDescent="0.3">
      <c r="A278" t="s">
        <v>531</v>
      </c>
      <c r="B278" t="s">
        <v>43</v>
      </c>
      <c r="C278" s="6">
        <v>45753</v>
      </c>
      <c r="D278" t="s">
        <v>52</v>
      </c>
      <c r="E278" t="s">
        <v>59</v>
      </c>
      <c r="F278" s="51">
        <v>4236</v>
      </c>
      <c r="G278" s="51">
        <v>711</v>
      </c>
      <c r="H278" s="51">
        <v>298</v>
      </c>
      <c r="I278" s="51">
        <v>21180</v>
      </c>
      <c r="J278" s="51">
        <v>20516</v>
      </c>
      <c r="K278">
        <v>238</v>
      </c>
      <c r="L278" t="s">
        <v>62</v>
      </c>
      <c r="O278" t="s">
        <v>19</v>
      </c>
      <c r="P278" t="s">
        <v>19</v>
      </c>
      <c r="Q278" s="7">
        <f>(Table1_21718[[#This Row],[Likes]]+Table1_21718[[#This Row],[Shares]]+Table1_21718[[#This Row],[Comments]])/Table1_21718[[#This Row],[Impressions]]</f>
        <v>0.24763928234183191</v>
      </c>
      <c r="R278" s="7">
        <f>Table1_21718[[#This Row],[Likes]]+Table1_21718[[#This Row],[Shares]]+Table1_21718[[#This Row],[Comments]]</f>
        <v>5245</v>
      </c>
    </row>
    <row r="279" spans="1:18" x14ac:dyDescent="0.3">
      <c r="A279" t="s">
        <v>532</v>
      </c>
      <c r="B279" t="s">
        <v>14</v>
      </c>
      <c r="C279" s="6">
        <v>45622</v>
      </c>
      <c r="D279" t="s">
        <v>22</v>
      </c>
      <c r="E279" t="s">
        <v>23</v>
      </c>
      <c r="F279" s="51">
        <v>4516</v>
      </c>
      <c r="G279" s="51">
        <v>836</v>
      </c>
      <c r="H279" s="51">
        <v>169</v>
      </c>
      <c r="I279" s="51">
        <v>49676</v>
      </c>
      <c r="J279" s="51">
        <v>49257</v>
      </c>
      <c r="K279">
        <v>282</v>
      </c>
      <c r="L279" t="s">
        <v>37</v>
      </c>
      <c r="O279" t="s">
        <v>38</v>
      </c>
      <c r="P279" t="s">
        <v>38</v>
      </c>
      <c r="Q279" s="7">
        <f>(Table1_21718[[#This Row],[Likes]]+Table1_21718[[#This Row],[Shares]]+Table1_21718[[#This Row],[Comments]])/Table1_21718[[#This Row],[Impressions]]</f>
        <v>0.11114018842096787</v>
      </c>
      <c r="R279" s="7">
        <f>Table1_21718[[#This Row],[Likes]]+Table1_21718[[#This Row],[Shares]]+Table1_21718[[#This Row],[Comments]]</f>
        <v>5521</v>
      </c>
    </row>
    <row r="280" spans="1:18" x14ac:dyDescent="0.3">
      <c r="A280" t="s">
        <v>534</v>
      </c>
      <c r="B280" t="s">
        <v>27</v>
      </c>
      <c r="C280" s="6">
        <v>45537</v>
      </c>
      <c r="D280" t="s">
        <v>52</v>
      </c>
      <c r="E280" t="s">
        <v>53</v>
      </c>
      <c r="F280" s="51">
        <v>4905</v>
      </c>
      <c r="G280" s="51">
        <v>845</v>
      </c>
      <c r="H280" s="51">
        <v>129</v>
      </c>
      <c r="I280" s="51">
        <v>98100</v>
      </c>
      <c r="J280" s="51">
        <v>97772</v>
      </c>
      <c r="K280">
        <v>279</v>
      </c>
      <c r="L280" t="s">
        <v>30</v>
      </c>
      <c r="O280" t="s">
        <v>25</v>
      </c>
      <c r="P280" t="s">
        <v>25</v>
      </c>
      <c r="Q280" s="7">
        <f>(Table1_21718[[#This Row],[Likes]]+Table1_21718[[#This Row],[Shares]]+Table1_21718[[#This Row],[Comments]])/Table1_21718[[#This Row],[Impressions]]</f>
        <v>5.9928644240570844E-2</v>
      </c>
      <c r="R280" s="7">
        <f>Table1_21718[[#This Row],[Likes]]+Table1_21718[[#This Row],[Shares]]+Table1_21718[[#This Row],[Comments]]</f>
        <v>5879</v>
      </c>
    </row>
    <row r="281" spans="1:18" x14ac:dyDescent="0.3">
      <c r="A281" t="s">
        <v>535</v>
      </c>
      <c r="B281" t="s">
        <v>27</v>
      </c>
      <c r="C281" s="6">
        <v>45586</v>
      </c>
      <c r="D281" t="s">
        <v>74</v>
      </c>
      <c r="E281" t="s">
        <v>219</v>
      </c>
      <c r="F281" s="51">
        <v>4275</v>
      </c>
      <c r="G281" s="51">
        <v>680</v>
      </c>
      <c r="H281" s="51">
        <v>385</v>
      </c>
      <c r="I281" s="51">
        <v>64125</v>
      </c>
      <c r="J281" s="5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s="7">
        <f>(Table1_21718[[#This Row],[Likes]]+Table1_21718[[#This Row],[Shares]]+Table1_21718[[#This Row],[Comments]])/Table1_21718[[#This Row],[Impressions]]</f>
        <v>8.3274853801169585E-2</v>
      </c>
      <c r="R281" s="7">
        <f>Table1_21718[[#This Row],[Likes]]+Table1_21718[[#This Row],[Shares]]+Table1_21718[[#This Row],[Comments]]</f>
        <v>5340</v>
      </c>
    </row>
    <row r="282" spans="1:18" x14ac:dyDescent="0.3">
      <c r="A282" t="s">
        <v>536</v>
      </c>
      <c r="B282" t="s">
        <v>27</v>
      </c>
      <c r="C282" s="6">
        <v>45738</v>
      </c>
      <c r="D282" t="s">
        <v>52</v>
      </c>
      <c r="E282" t="s">
        <v>53</v>
      </c>
      <c r="F282" s="51">
        <v>3166</v>
      </c>
      <c r="G282" s="51">
        <v>90</v>
      </c>
      <c r="H282" s="51">
        <v>341</v>
      </c>
      <c r="I282" s="51">
        <v>56988</v>
      </c>
      <c r="J282" s="51">
        <v>56125</v>
      </c>
      <c r="K282">
        <v>135</v>
      </c>
      <c r="L282" t="s">
        <v>37</v>
      </c>
      <c r="O282" t="s">
        <v>25</v>
      </c>
      <c r="P282" t="s">
        <v>25</v>
      </c>
      <c r="Q282" s="7">
        <f>(Table1_21718[[#This Row],[Likes]]+Table1_21718[[#This Row],[Shares]]+Table1_21718[[#This Row],[Comments]])/Table1_21718[[#This Row],[Impressions]]</f>
        <v>6.3118551273952411E-2</v>
      </c>
      <c r="R282" s="7">
        <f>Table1_21718[[#This Row],[Likes]]+Table1_21718[[#This Row],[Shares]]+Table1_21718[[#This Row],[Comments]]</f>
        <v>3597</v>
      </c>
    </row>
    <row r="283" spans="1:18" x14ac:dyDescent="0.3">
      <c r="A283" t="s">
        <v>538</v>
      </c>
      <c r="B283" t="s">
        <v>33</v>
      </c>
      <c r="C283" s="6">
        <v>45568</v>
      </c>
      <c r="D283" t="s">
        <v>74</v>
      </c>
      <c r="E283" t="s">
        <v>85</v>
      </c>
      <c r="F283" s="51">
        <v>1488</v>
      </c>
      <c r="G283" s="51">
        <v>417</v>
      </c>
      <c r="H283" s="51">
        <v>168</v>
      </c>
      <c r="I283" s="51">
        <v>19344</v>
      </c>
      <c r="J283" s="51">
        <v>18395</v>
      </c>
      <c r="K283">
        <v>30</v>
      </c>
      <c r="L283" t="s">
        <v>62</v>
      </c>
      <c r="O283" t="s">
        <v>31</v>
      </c>
      <c r="P283" t="s">
        <v>31</v>
      </c>
      <c r="Q283" s="7">
        <f>(Table1_21718[[#This Row],[Likes]]+Table1_21718[[#This Row],[Shares]]+Table1_21718[[#This Row],[Comments]])/Table1_21718[[#This Row],[Impressions]]</f>
        <v>0.1071650124069479</v>
      </c>
      <c r="R283" s="7">
        <f>Table1_21718[[#This Row],[Likes]]+Table1_21718[[#This Row],[Shares]]+Table1_21718[[#This Row],[Comments]]</f>
        <v>2073</v>
      </c>
    </row>
    <row r="284" spans="1:18" x14ac:dyDescent="0.3">
      <c r="A284" t="s">
        <v>540</v>
      </c>
      <c r="B284" t="s">
        <v>14</v>
      </c>
      <c r="C284" s="6">
        <v>45786</v>
      </c>
      <c r="D284" t="s">
        <v>16</v>
      </c>
      <c r="E284" t="s">
        <v>17</v>
      </c>
      <c r="F284" s="51">
        <v>3367</v>
      </c>
      <c r="G284" s="51">
        <v>302</v>
      </c>
      <c r="H284" s="51">
        <v>57</v>
      </c>
      <c r="I284" s="51">
        <v>63973</v>
      </c>
      <c r="J284" s="51">
        <v>63789</v>
      </c>
      <c r="K284">
        <v>157</v>
      </c>
      <c r="L284" t="s">
        <v>62</v>
      </c>
      <c r="O284" t="s">
        <v>25</v>
      </c>
      <c r="P284" t="s">
        <v>25</v>
      </c>
      <c r="Q284" s="7">
        <f>(Table1_21718[[#This Row],[Likes]]+Table1_21718[[#This Row],[Shares]]+Table1_21718[[#This Row],[Comments]])/Table1_21718[[#This Row],[Impressions]]</f>
        <v>5.8243321401216137E-2</v>
      </c>
      <c r="R284" s="7">
        <f>Table1_21718[[#This Row],[Likes]]+Table1_21718[[#This Row],[Shares]]+Table1_21718[[#This Row],[Comments]]</f>
        <v>3726</v>
      </c>
    </row>
    <row r="285" spans="1:18" x14ac:dyDescent="0.3">
      <c r="A285" t="s">
        <v>542</v>
      </c>
      <c r="B285" t="s">
        <v>14</v>
      </c>
      <c r="C285" s="6">
        <v>45552</v>
      </c>
      <c r="D285" t="s">
        <v>22</v>
      </c>
      <c r="E285" t="s">
        <v>23</v>
      </c>
      <c r="F285" s="51">
        <v>571</v>
      </c>
      <c r="G285" s="51">
        <v>190</v>
      </c>
      <c r="H285" s="51">
        <v>352</v>
      </c>
      <c r="I285" s="51">
        <v>9707</v>
      </c>
      <c r="J285" s="51">
        <v>9418</v>
      </c>
      <c r="K285">
        <v>231</v>
      </c>
      <c r="L285" t="s">
        <v>30</v>
      </c>
      <c r="O285" t="s">
        <v>38</v>
      </c>
      <c r="P285" t="s">
        <v>38</v>
      </c>
      <c r="Q285" s="7">
        <f>(Table1_21718[[#This Row],[Likes]]+Table1_21718[[#This Row],[Shares]]+Table1_21718[[#This Row],[Comments]])/Table1_21718[[#This Row],[Impressions]]</f>
        <v>0.11465952405480581</v>
      </c>
      <c r="R285" s="7">
        <f>Table1_21718[[#This Row],[Likes]]+Table1_21718[[#This Row],[Shares]]+Table1_21718[[#This Row],[Comments]]</f>
        <v>1113</v>
      </c>
    </row>
    <row r="286" spans="1:18" x14ac:dyDescent="0.3">
      <c r="A286" t="s">
        <v>543</v>
      </c>
      <c r="B286" t="s">
        <v>27</v>
      </c>
      <c r="C286" s="6">
        <v>45491</v>
      </c>
      <c r="D286" t="s">
        <v>22</v>
      </c>
      <c r="E286" t="s">
        <v>104</v>
      </c>
      <c r="F286" s="51">
        <v>4021</v>
      </c>
      <c r="G286" s="51">
        <v>794</v>
      </c>
      <c r="H286" s="51">
        <v>77</v>
      </c>
      <c r="I286" s="51">
        <v>36189</v>
      </c>
      <c r="J286" s="51">
        <v>35505</v>
      </c>
      <c r="K286">
        <v>174</v>
      </c>
      <c r="L286" t="s">
        <v>37</v>
      </c>
      <c r="P286" t="s">
        <v>19</v>
      </c>
      <c r="Q286" s="7">
        <f>(Table1_21718[[#This Row],[Likes]]+Table1_21718[[#This Row],[Shares]]+Table1_21718[[#This Row],[Comments]])/Table1_21718[[#This Row],[Impressions]]</f>
        <v>0.13517919809886983</v>
      </c>
      <c r="R286" s="7">
        <f>Table1_21718[[#This Row],[Likes]]+Table1_21718[[#This Row],[Shares]]+Table1_21718[[#This Row],[Comments]]</f>
        <v>4892</v>
      </c>
    </row>
    <row r="287" spans="1:18" x14ac:dyDescent="0.3">
      <c r="A287" t="s">
        <v>544</v>
      </c>
      <c r="B287" t="s">
        <v>27</v>
      </c>
      <c r="C287" s="6">
        <v>45560</v>
      </c>
      <c r="D287" t="s">
        <v>74</v>
      </c>
      <c r="E287" t="s">
        <v>219</v>
      </c>
      <c r="F287" s="51">
        <v>3389</v>
      </c>
      <c r="G287" s="51">
        <v>344</v>
      </c>
      <c r="H287" s="51">
        <v>229</v>
      </c>
      <c r="I287" s="51">
        <v>20334</v>
      </c>
      <c r="J287" s="51">
        <v>19443</v>
      </c>
      <c r="K287">
        <v>228</v>
      </c>
      <c r="L287" t="s">
        <v>62</v>
      </c>
      <c r="O287" t="s">
        <v>31</v>
      </c>
      <c r="P287" t="s">
        <v>31</v>
      </c>
      <c r="Q287" s="7">
        <f>(Table1_21718[[#This Row],[Likes]]+Table1_21718[[#This Row],[Shares]]+Table1_21718[[#This Row],[Comments]])/Table1_21718[[#This Row],[Impressions]]</f>
        <v>0.19484607062063539</v>
      </c>
      <c r="R287" s="7">
        <f>Table1_21718[[#This Row],[Likes]]+Table1_21718[[#This Row],[Shares]]+Table1_21718[[#This Row],[Comments]]</f>
        <v>3962</v>
      </c>
    </row>
    <row r="288" spans="1:18" x14ac:dyDescent="0.3">
      <c r="A288" t="s">
        <v>546</v>
      </c>
      <c r="B288" t="s">
        <v>33</v>
      </c>
      <c r="C288" s="6">
        <v>45519</v>
      </c>
      <c r="D288" t="s">
        <v>16</v>
      </c>
      <c r="E288" t="s">
        <v>82</v>
      </c>
      <c r="F288" s="51">
        <v>1164</v>
      </c>
      <c r="G288" s="51">
        <v>616</v>
      </c>
      <c r="H288" s="51">
        <v>324</v>
      </c>
      <c r="I288" s="51">
        <v>6984</v>
      </c>
      <c r="J288" s="51">
        <v>6636</v>
      </c>
      <c r="K288">
        <v>82</v>
      </c>
      <c r="L288" t="s">
        <v>37</v>
      </c>
      <c r="O288" t="s">
        <v>19</v>
      </c>
      <c r="P288" t="s">
        <v>19</v>
      </c>
      <c r="Q288" s="7">
        <f>(Table1_21718[[#This Row],[Likes]]+Table1_21718[[#This Row],[Shares]]+Table1_21718[[#This Row],[Comments]])/Table1_21718[[#This Row],[Impressions]]</f>
        <v>0.30126002290950743</v>
      </c>
      <c r="R288" s="7">
        <f>Table1_21718[[#This Row],[Likes]]+Table1_21718[[#This Row],[Shares]]+Table1_21718[[#This Row],[Comments]]</f>
        <v>2104</v>
      </c>
    </row>
    <row r="289" spans="1:18" x14ac:dyDescent="0.3">
      <c r="A289" t="s">
        <v>547</v>
      </c>
      <c r="B289" t="s">
        <v>27</v>
      </c>
      <c r="C289" s="6">
        <v>45764</v>
      </c>
      <c r="D289" t="s">
        <v>45</v>
      </c>
      <c r="E289" t="s">
        <v>68</v>
      </c>
      <c r="F289" s="51">
        <v>4780</v>
      </c>
      <c r="G289" s="51">
        <v>691</v>
      </c>
      <c r="H289" s="51">
        <v>380</v>
      </c>
      <c r="I289" s="51">
        <v>86040</v>
      </c>
      <c r="J289" s="51">
        <v>85743</v>
      </c>
      <c r="K289">
        <v>262</v>
      </c>
      <c r="L289" t="s">
        <v>62</v>
      </c>
      <c r="O289" t="s">
        <v>31</v>
      </c>
      <c r="P289" t="s">
        <v>31</v>
      </c>
      <c r="Q289" s="7">
        <f>(Table1_21718[[#This Row],[Likes]]+Table1_21718[[#This Row],[Shares]]+Table1_21718[[#This Row],[Comments]])/Table1_21718[[#This Row],[Impressions]]</f>
        <v>6.800325430032543E-2</v>
      </c>
      <c r="R289" s="7">
        <f>Table1_21718[[#This Row],[Likes]]+Table1_21718[[#This Row],[Shares]]+Table1_21718[[#This Row],[Comments]]</f>
        <v>5851</v>
      </c>
    </row>
    <row r="290" spans="1:18" x14ac:dyDescent="0.3">
      <c r="A290" t="s">
        <v>549</v>
      </c>
      <c r="B290" t="s">
        <v>43</v>
      </c>
      <c r="C290" s="6">
        <v>45624</v>
      </c>
      <c r="D290" t="s">
        <v>45</v>
      </c>
      <c r="E290" t="s">
        <v>46</v>
      </c>
      <c r="F290" s="51">
        <v>2751</v>
      </c>
      <c r="G290" s="51">
        <v>33</v>
      </c>
      <c r="H290" s="51">
        <v>430</v>
      </c>
      <c r="I290" s="51">
        <v>44016</v>
      </c>
      <c r="J290" s="51">
        <v>43415</v>
      </c>
      <c r="K290">
        <v>129</v>
      </c>
      <c r="L290" t="s">
        <v>62</v>
      </c>
      <c r="P290" t="s">
        <v>38</v>
      </c>
      <c r="Q290" s="7">
        <f>(Table1_21718[[#This Row],[Likes]]+Table1_21718[[#This Row],[Shares]]+Table1_21718[[#This Row],[Comments]])/Table1_21718[[#This Row],[Impressions]]</f>
        <v>7.3018902217375503E-2</v>
      </c>
      <c r="R290" s="7">
        <f>Table1_21718[[#This Row],[Likes]]+Table1_21718[[#This Row],[Shares]]+Table1_21718[[#This Row],[Comments]]</f>
        <v>3214</v>
      </c>
    </row>
    <row r="291" spans="1:18" x14ac:dyDescent="0.3">
      <c r="A291" t="s">
        <v>550</v>
      </c>
      <c r="B291" t="s">
        <v>33</v>
      </c>
      <c r="C291" s="6">
        <v>45646</v>
      </c>
      <c r="D291" t="s">
        <v>45</v>
      </c>
      <c r="E291" t="s">
        <v>88</v>
      </c>
      <c r="F291" s="51">
        <v>2107</v>
      </c>
      <c r="G291" s="51">
        <v>550</v>
      </c>
      <c r="H291" s="51">
        <v>349</v>
      </c>
      <c r="I291" s="51">
        <v>35819</v>
      </c>
      <c r="J291" s="51">
        <v>35340</v>
      </c>
      <c r="K291">
        <v>191</v>
      </c>
      <c r="L291" t="s">
        <v>37</v>
      </c>
      <c r="O291" t="s">
        <v>38</v>
      </c>
      <c r="P291" t="s">
        <v>38</v>
      </c>
      <c r="Q291" s="7">
        <f>(Table1_21718[[#This Row],[Likes]]+Table1_21718[[#This Row],[Shares]]+Table1_21718[[#This Row],[Comments]])/Table1_21718[[#This Row],[Impressions]]</f>
        <v>8.3921940869371006E-2</v>
      </c>
      <c r="R291" s="7">
        <f>Table1_21718[[#This Row],[Likes]]+Table1_21718[[#This Row],[Shares]]+Table1_21718[[#This Row],[Comments]]</f>
        <v>3006</v>
      </c>
    </row>
    <row r="292" spans="1:18" x14ac:dyDescent="0.3">
      <c r="A292" t="s">
        <v>552</v>
      </c>
      <c r="B292" t="s">
        <v>43</v>
      </c>
      <c r="C292" s="6">
        <v>45602</v>
      </c>
      <c r="D292" t="s">
        <v>74</v>
      </c>
      <c r="E292" t="s">
        <v>75</v>
      </c>
      <c r="F292" s="51">
        <v>4663</v>
      </c>
      <c r="G292" s="51">
        <v>145</v>
      </c>
      <c r="H292" s="51">
        <v>225</v>
      </c>
      <c r="I292" s="51">
        <v>69945</v>
      </c>
      <c r="J292" s="51">
        <v>69596</v>
      </c>
      <c r="K292">
        <v>35</v>
      </c>
      <c r="L292" t="s">
        <v>37</v>
      </c>
      <c r="O292" t="s">
        <v>38</v>
      </c>
      <c r="P292" t="s">
        <v>38</v>
      </c>
      <c r="Q292" s="7">
        <f>(Table1_21718[[#This Row],[Likes]]+Table1_21718[[#This Row],[Shares]]+Table1_21718[[#This Row],[Comments]])/Table1_21718[[#This Row],[Impressions]]</f>
        <v>7.1956537279290869E-2</v>
      </c>
      <c r="R292" s="7">
        <f>Table1_21718[[#This Row],[Likes]]+Table1_21718[[#This Row],[Shares]]+Table1_21718[[#This Row],[Comments]]</f>
        <v>5033</v>
      </c>
    </row>
    <row r="293" spans="1:18" x14ac:dyDescent="0.3">
      <c r="A293" t="s">
        <v>553</v>
      </c>
      <c r="B293" t="s">
        <v>43</v>
      </c>
      <c r="C293" s="6">
        <v>45613</v>
      </c>
      <c r="D293" t="s">
        <v>22</v>
      </c>
      <c r="E293" t="s">
        <v>56</v>
      </c>
      <c r="F293" s="51">
        <v>880</v>
      </c>
      <c r="G293" s="51">
        <v>297</v>
      </c>
      <c r="H293" s="51">
        <v>345</v>
      </c>
      <c r="I293" s="51">
        <v>12320</v>
      </c>
      <c r="J293" s="51">
        <v>11978</v>
      </c>
      <c r="K293">
        <v>238</v>
      </c>
      <c r="L293" t="s">
        <v>30</v>
      </c>
      <c r="M293" t="s">
        <v>615</v>
      </c>
      <c r="P293" t="s">
        <v>25</v>
      </c>
      <c r="Q293" s="7">
        <f>(Table1_21718[[#This Row],[Likes]]+Table1_21718[[#This Row],[Shares]]+Table1_21718[[#This Row],[Comments]])/Table1_21718[[#This Row],[Impressions]]</f>
        <v>0.12353896103896105</v>
      </c>
      <c r="R293" s="7">
        <f>Table1_21718[[#This Row],[Likes]]+Table1_21718[[#This Row],[Shares]]+Table1_21718[[#This Row],[Comments]]</f>
        <v>1522</v>
      </c>
    </row>
    <row r="294" spans="1:18" x14ac:dyDescent="0.3">
      <c r="A294" t="s">
        <v>555</v>
      </c>
      <c r="B294" t="s">
        <v>43</v>
      </c>
      <c r="C294" s="6">
        <v>45791</v>
      </c>
      <c r="D294" t="s">
        <v>22</v>
      </c>
      <c r="E294" t="s">
        <v>56</v>
      </c>
      <c r="F294" s="51">
        <v>2634</v>
      </c>
      <c r="G294" s="51">
        <v>726</v>
      </c>
      <c r="H294" s="51">
        <v>241</v>
      </c>
      <c r="I294" s="51">
        <v>28974</v>
      </c>
      <c r="J294" s="51">
        <v>28102</v>
      </c>
      <c r="K294">
        <v>277</v>
      </c>
      <c r="L294" t="s">
        <v>37</v>
      </c>
      <c r="O294" t="s">
        <v>19</v>
      </c>
      <c r="P294" t="s">
        <v>19</v>
      </c>
      <c r="Q294" s="7">
        <f>(Table1_21718[[#This Row],[Likes]]+Table1_21718[[#This Row],[Shares]]+Table1_21718[[#This Row],[Comments]])/Table1_21718[[#This Row],[Impressions]]</f>
        <v>0.12428384068475185</v>
      </c>
      <c r="R294" s="7">
        <f>Table1_21718[[#This Row],[Likes]]+Table1_21718[[#This Row],[Shares]]+Table1_21718[[#This Row],[Comments]]</f>
        <v>3601</v>
      </c>
    </row>
    <row r="295" spans="1:18" x14ac:dyDescent="0.3">
      <c r="A295" t="s">
        <v>557</v>
      </c>
      <c r="B295" t="s">
        <v>43</v>
      </c>
      <c r="C295" s="6">
        <v>45462</v>
      </c>
      <c r="D295" t="s">
        <v>45</v>
      </c>
      <c r="E295" t="s">
        <v>46</v>
      </c>
      <c r="F295" s="51">
        <v>4731</v>
      </c>
      <c r="G295" s="51">
        <v>173</v>
      </c>
      <c r="H295" s="51">
        <v>276</v>
      </c>
      <c r="I295" s="51">
        <v>28386</v>
      </c>
      <c r="J295" s="51">
        <v>28185</v>
      </c>
      <c r="K295">
        <v>89</v>
      </c>
      <c r="L295" t="s">
        <v>37</v>
      </c>
      <c r="O295" t="s">
        <v>31</v>
      </c>
      <c r="P295" t="s">
        <v>31</v>
      </c>
      <c r="Q295" s="7">
        <f>(Table1_21718[[#This Row],[Likes]]+Table1_21718[[#This Row],[Shares]]+Table1_21718[[#This Row],[Comments]])/Table1_21718[[#This Row],[Impressions]]</f>
        <v>0.18248432325794406</v>
      </c>
      <c r="R295" s="7">
        <f>Table1_21718[[#This Row],[Likes]]+Table1_21718[[#This Row],[Shares]]+Table1_21718[[#This Row],[Comments]]</f>
        <v>5180</v>
      </c>
    </row>
    <row r="296" spans="1:18" x14ac:dyDescent="0.3">
      <c r="A296" t="s">
        <v>559</v>
      </c>
      <c r="B296" t="s">
        <v>14</v>
      </c>
      <c r="C296" s="6">
        <v>45783</v>
      </c>
      <c r="D296" t="s">
        <v>52</v>
      </c>
      <c r="E296" t="s">
        <v>132</v>
      </c>
      <c r="F296" s="51">
        <v>1952</v>
      </c>
      <c r="G296" s="51">
        <v>344</v>
      </c>
      <c r="H296" s="51">
        <v>287</v>
      </c>
      <c r="I296" s="51">
        <v>15616</v>
      </c>
      <c r="J296" s="51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s="7">
        <f>(Table1_21718[[#This Row],[Likes]]+Table1_21718[[#This Row],[Shares]]+Table1_21718[[#This Row],[Comments]])/Table1_21718[[#This Row],[Impressions]]</f>
        <v>0.16540727459016394</v>
      </c>
      <c r="R296" s="7">
        <f>Table1_21718[[#This Row],[Likes]]+Table1_21718[[#This Row],[Shares]]+Table1_21718[[#This Row],[Comments]]</f>
        <v>2583</v>
      </c>
    </row>
    <row r="297" spans="1:18" x14ac:dyDescent="0.3">
      <c r="A297" t="s">
        <v>560</v>
      </c>
      <c r="B297" t="s">
        <v>14</v>
      </c>
      <c r="C297" s="6">
        <v>45699</v>
      </c>
      <c r="D297" t="s">
        <v>74</v>
      </c>
      <c r="E297" t="s">
        <v>145</v>
      </c>
      <c r="F297" s="51">
        <v>3440</v>
      </c>
      <c r="G297" s="51">
        <v>13</v>
      </c>
      <c r="H297" s="51">
        <v>20</v>
      </c>
      <c r="I297" s="51">
        <v>58480</v>
      </c>
      <c r="J297" s="51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  <c r="Q297" s="7">
        <f>(Table1_21718[[#This Row],[Likes]]+Table1_21718[[#This Row],[Shares]]+Table1_21718[[#This Row],[Comments]])/Table1_21718[[#This Row],[Impressions]]</f>
        <v>5.9387824897400819E-2</v>
      </c>
      <c r="R297" s="7">
        <f>Table1_21718[[#This Row],[Likes]]+Table1_21718[[#This Row],[Shares]]+Table1_21718[[#This Row],[Comments]]</f>
        <v>3473</v>
      </c>
    </row>
    <row r="298" spans="1:18" x14ac:dyDescent="0.3">
      <c r="A298" t="s">
        <v>562</v>
      </c>
      <c r="B298" t="s">
        <v>14</v>
      </c>
      <c r="C298" s="6">
        <v>45650</v>
      </c>
      <c r="D298" t="s">
        <v>22</v>
      </c>
      <c r="E298" t="s">
        <v>23</v>
      </c>
      <c r="F298" s="51">
        <v>2166</v>
      </c>
      <c r="G298" s="51">
        <v>354</v>
      </c>
      <c r="H298" s="51">
        <v>117</v>
      </c>
      <c r="I298" s="51">
        <v>10830</v>
      </c>
      <c r="J298" s="51">
        <v>10245</v>
      </c>
      <c r="K298">
        <v>24</v>
      </c>
      <c r="L298" t="s">
        <v>37</v>
      </c>
      <c r="O298" t="s">
        <v>38</v>
      </c>
      <c r="P298" t="s">
        <v>38</v>
      </c>
      <c r="Q298" s="7">
        <f>(Table1_21718[[#This Row],[Likes]]+Table1_21718[[#This Row],[Shares]]+Table1_21718[[#This Row],[Comments]])/Table1_21718[[#This Row],[Impressions]]</f>
        <v>0.24349030470914126</v>
      </c>
      <c r="R298" s="7">
        <f>Table1_21718[[#This Row],[Likes]]+Table1_21718[[#This Row],[Shares]]+Table1_21718[[#This Row],[Comments]]</f>
        <v>2637</v>
      </c>
    </row>
    <row r="299" spans="1:18" x14ac:dyDescent="0.3">
      <c r="A299" t="s">
        <v>564</v>
      </c>
      <c r="B299" t="s">
        <v>43</v>
      </c>
      <c r="C299" s="6">
        <v>45589</v>
      </c>
      <c r="D299" t="s">
        <v>52</v>
      </c>
      <c r="E299" t="s">
        <v>59</v>
      </c>
      <c r="F299" s="51">
        <v>4303</v>
      </c>
      <c r="G299" s="51">
        <v>451</v>
      </c>
      <c r="H299" s="51">
        <v>286</v>
      </c>
      <c r="I299" s="51">
        <v>86060</v>
      </c>
      <c r="J299" s="51">
        <v>85823</v>
      </c>
      <c r="K299">
        <v>14</v>
      </c>
      <c r="L299" t="s">
        <v>30</v>
      </c>
      <c r="O299" t="s">
        <v>31</v>
      </c>
      <c r="P299" t="s">
        <v>31</v>
      </c>
      <c r="Q299" s="7">
        <f>(Table1_21718[[#This Row],[Likes]]+Table1_21718[[#This Row],[Shares]]+Table1_21718[[#This Row],[Comments]])/Table1_21718[[#This Row],[Impressions]]</f>
        <v>5.8563792702765516E-2</v>
      </c>
      <c r="R299" s="7">
        <f>Table1_21718[[#This Row],[Likes]]+Table1_21718[[#This Row],[Shares]]+Table1_21718[[#This Row],[Comments]]</f>
        <v>5040</v>
      </c>
    </row>
    <row r="300" spans="1:18" x14ac:dyDescent="0.3">
      <c r="A300" t="s">
        <v>565</v>
      </c>
      <c r="B300" t="s">
        <v>43</v>
      </c>
      <c r="C300" s="6">
        <v>45530</v>
      </c>
      <c r="D300" t="s">
        <v>52</v>
      </c>
      <c r="E300" t="s">
        <v>59</v>
      </c>
      <c r="F300" s="51">
        <v>2581</v>
      </c>
      <c r="G300" s="51">
        <v>517</v>
      </c>
      <c r="H300" s="51">
        <v>117</v>
      </c>
      <c r="I300" s="51">
        <v>23229</v>
      </c>
      <c r="J300" s="51">
        <v>22331</v>
      </c>
      <c r="K300">
        <v>70</v>
      </c>
      <c r="L300" t="s">
        <v>62</v>
      </c>
      <c r="O300" t="s">
        <v>31</v>
      </c>
      <c r="P300" t="s">
        <v>31</v>
      </c>
      <c r="Q300" s="7">
        <f>(Table1_21718[[#This Row],[Likes]]+Table1_21718[[#This Row],[Shares]]+Table1_21718[[#This Row],[Comments]])/Table1_21718[[#This Row],[Impressions]]</f>
        <v>0.13840458048129492</v>
      </c>
      <c r="R300" s="7">
        <f>Table1_21718[[#This Row],[Likes]]+Table1_21718[[#This Row],[Shares]]+Table1_21718[[#This Row],[Comments]]</f>
        <v>3215</v>
      </c>
    </row>
    <row r="301" spans="1:18" x14ac:dyDescent="0.3">
      <c r="A301" t="s">
        <v>566</v>
      </c>
      <c r="B301" t="s">
        <v>14</v>
      </c>
      <c r="C301" s="6">
        <v>45535</v>
      </c>
      <c r="D301" t="s">
        <v>45</v>
      </c>
      <c r="E301" t="s">
        <v>49</v>
      </c>
      <c r="F301" s="51">
        <v>4494</v>
      </c>
      <c r="G301" s="51">
        <v>717</v>
      </c>
      <c r="H301" s="51">
        <v>45</v>
      </c>
      <c r="I301" s="51">
        <v>62916</v>
      </c>
      <c r="J301" s="5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s="7">
        <f>(Table1_21718[[#This Row],[Likes]]+Table1_21718[[#This Row],[Shares]]+Table1_21718[[#This Row],[Comments]])/Table1_21718[[#This Row],[Impressions]]</f>
        <v>8.3539958039290485E-2</v>
      </c>
      <c r="R301" s="7">
        <f>Table1_21718[[#This Row],[Likes]]+Table1_21718[[#This Row],[Shares]]+Table1_21718[[#This Row],[Comments]]</f>
        <v>5256</v>
      </c>
    </row>
  </sheetData>
  <conditionalFormatting sqref="AG3:AG6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1EBE4-C4FF-4CA3-B997-C3A6E703B501}">
  <dimension ref="A1:AG301"/>
  <sheetViews>
    <sheetView topLeftCell="AB1" workbookViewId="0">
      <selection activeCell="AD4" sqref="AD4:AD7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5.441406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18.109375" bestFit="1" customWidth="1"/>
    <col min="18" max="18" width="18.5546875" style="7" customWidth="1"/>
    <col min="20" max="20" width="16" bestFit="1" customWidth="1"/>
    <col min="21" max="21" width="17.6640625" bestFit="1" customWidth="1"/>
    <col min="22" max="22" width="12.109375" bestFit="1" customWidth="1"/>
    <col min="23" max="23" width="11.5546875" bestFit="1" customWidth="1"/>
    <col min="24" max="24" width="20.77734375" style="7" bestFit="1" customWidth="1"/>
    <col min="25" max="25" width="15.33203125" bestFit="1" customWidth="1"/>
    <col min="26" max="26" width="14.77734375" bestFit="1" customWidth="1"/>
    <col min="27" max="27" width="23" bestFit="1" customWidth="1"/>
    <col min="28" max="28" width="25.77734375" bestFit="1" customWidth="1"/>
    <col min="29" max="29" width="21.33203125" customWidth="1"/>
    <col min="30" max="30" width="17.44140625" customWidth="1"/>
    <col min="31" max="31" width="12.44140625" customWidth="1"/>
    <col min="32" max="32" width="12" bestFit="1" customWidth="1"/>
    <col min="33" max="33" width="24" customWidth="1"/>
  </cols>
  <sheetData>
    <row r="1" spans="1:3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t="s">
        <v>617</v>
      </c>
      <c r="R1" s="50" t="s">
        <v>650</v>
      </c>
    </row>
    <row r="2" spans="1:33" x14ac:dyDescent="0.3">
      <c r="A2" t="s">
        <v>13</v>
      </c>
      <c r="B2" t="s">
        <v>14</v>
      </c>
      <c r="C2" s="6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  <c r="Q2" s="8">
        <f>(Table1_217[[#This Row],[Likes]]+Table1_217[[#This Row],[Shares]]+Table1_217[[#This Row],[Comments]])/Table1_217[[#This Row],[Impressions]]</f>
        <v>9.0759753593429152E-2</v>
      </c>
      <c r="R2" s="7">
        <f>Table1_217[[#This Row],[Likes]]+Table1_217[[#This Row],[Shares]]+Table1_217[[#This Row],[Comments]]</f>
        <v>1989</v>
      </c>
      <c r="S2" s="8"/>
    </row>
    <row r="3" spans="1:33" x14ac:dyDescent="0.3">
      <c r="A3" t="s">
        <v>20</v>
      </c>
      <c r="B3" t="s">
        <v>14</v>
      </c>
      <c r="C3" s="6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  <c r="Q3" s="8">
        <f>(Table1_217[[#This Row],[Likes]]+Table1_217[[#This Row],[Shares]]+Table1_217[[#This Row],[Comments]])/Table1_217[[#This Row],[Impressions]]</f>
        <v>7.6097681302417369E-2</v>
      </c>
      <c r="R3" s="7">
        <f>Table1_217[[#This Row],[Likes]]+Table1_217[[#This Row],[Shares]]+Table1_217[[#This Row],[Comments]]</f>
        <v>4936</v>
      </c>
      <c r="S3" s="8"/>
      <c r="T3" s="44" t="s">
        <v>12</v>
      </c>
      <c r="U3" s="26" t="s">
        <v>641</v>
      </c>
      <c r="V3" s="26" t="s">
        <v>628</v>
      </c>
      <c r="W3" s="26" t="s">
        <v>642</v>
      </c>
      <c r="X3" s="26" t="s">
        <v>646</v>
      </c>
      <c r="Y3" s="26" t="s">
        <v>645</v>
      </c>
      <c r="Z3" s="26" t="s">
        <v>644</v>
      </c>
      <c r="AA3" t="s">
        <v>635</v>
      </c>
      <c r="AB3" s="45" t="s">
        <v>626</v>
      </c>
      <c r="AC3" s="7"/>
      <c r="AD3" s="47" t="s">
        <v>648</v>
      </c>
      <c r="AE3" s="49" t="s">
        <v>572</v>
      </c>
      <c r="AF3" s="49" t="s">
        <v>651</v>
      </c>
      <c r="AG3" s="41" t="s">
        <v>652</v>
      </c>
    </row>
    <row r="4" spans="1:33" x14ac:dyDescent="0.3">
      <c r="A4" t="s">
        <v>26</v>
      </c>
      <c r="B4" t="s">
        <v>27</v>
      </c>
      <c r="C4" s="6">
        <v>45789</v>
      </c>
      <c r="D4" t="s">
        <v>16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O4" t="s">
        <v>31</v>
      </c>
      <c r="P4" t="s">
        <v>31</v>
      </c>
      <c r="Q4" s="8">
        <f>(Table1_217[[#This Row],[Likes]]+Table1_217[[#This Row],[Shares]]+Table1_217[[#This Row],[Comments]])/Table1_217[[#This Row],[Impressions]]</f>
        <v>5.5531494209584788E-2</v>
      </c>
      <c r="R4" s="7">
        <f>Table1_217[[#This Row],[Likes]]+Table1_217[[#This Row],[Shares]]+Table1_217[[#This Row],[Comments]]</f>
        <v>2949</v>
      </c>
      <c r="S4" s="8"/>
      <c r="T4" s="10" t="s">
        <v>19</v>
      </c>
      <c r="U4" s="24">
        <v>2426285</v>
      </c>
      <c r="V4" s="24">
        <v>189114</v>
      </c>
      <c r="W4" s="24">
        <v>9604</v>
      </c>
      <c r="X4" s="24">
        <v>35680.661764705881</v>
      </c>
      <c r="Y4" s="24">
        <v>2781.0882352941176</v>
      </c>
      <c r="Z4" s="24">
        <v>141.23529411764707</v>
      </c>
      <c r="AA4" s="8">
        <v>10.804926652352083</v>
      </c>
      <c r="AB4" s="43">
        <v>0.1588959801816483</v>
      </c>
      <c r="AC4" s="7"/>
      <c r="AD4" s="48" t="s">
        <v>19</v>
      </c>
      <c r="AE4">
        <f>VLOOKUP(T4, 'Campaign Metadata'!A1:G5, 5,FALSE)</f>
        <v>150000</v>
      </c>
      <c r="AF4" s="7">
        <f>GETPIVOTDATA("Sum of Total Engagement",$T$10,"Campaign_Name_Filled","CybertruckLaunch")/AE4</f>
        <v>1.6349</v>
      </c>
      <c r="AG4">
        <f>GETPIVOTDATA("Sum of Total Engagement",$T$10,"Campaign_Name_Filled","CybertruckLaunch")</f>
        <v>245235</v>
      </c>
    </row>
    <row r="5" spans="1:33" x14ac:dyDescent="0.3">
      <c r="A5" t="s">
        <v>32</v>
      </c>
      <c r="B5" t="s">
        <v>33</v>
      </c>
      <c r="C5" s="6">
        <v>45516</v>
      </c>
      <c r="D5" t="s">
        <v>35</v>
      </c>
      <c r="E5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37</v>
      </c>
      <c r="O5" t="s">
        <v>38</v>
      </c>
      <c r="P5" t="s">
        <v>38</v>
      </c>
      <c r="Q5" s="8">
        <f>(Table1_217[[#This Row],[Likes]]+Table1_217[[#This Row],[Shares]]+Table1_217[[#This Row],[Comments]])/Table1_217[[#This Row],[Impressions]]</f>
        <v>0.15105033277870217</v>
      </c>
      <c r="R5" s="7">
        <f>Table1_217[[#This Row],[Likes]]+Table1_217[[#This Row],[Shares]]+Table1_217[[#This Row],[Comments]]</f>
        <v>2905</v>
      </c>
      <c r="S5" s="8"/>
      <c r="T5" s="10" t="s">
        <v>31</v>
      </c>
      <c r="U5" s="24">
        <v>2266053</v>
      </c>
      <c r="V5" s="24">
        <v>183346</v>
      </c>
      <c r="W5" s="24">
        <v>10032</v>
      </c>
      <c r="X5" s="24">
        <v>33821.686567164179</v>
      </c>
      <c r="Y5" s="24">
        <v>2736.5074626865671</v>
      </c>
      <c r="Z5" s="24">
        <v>149.73134328358208</v>
      </c>
      <c r="AA5" s="8">
        <v>9.6479456283502127</v>
      </c>
      <c r="AB5" s="43">
        <v>0.14399918848283899</v>
      </c>
      <c r="AC5" s="7"/>
      <c r="AD5" s="48" t="s">
        <v>31</v>
      </c>
      <c r="AE5">
        <f>VLOOKUP(T5, 'Campaign Metadata'!A2:G6, 5,FALSE)</f>
        <v>250000</v>
      </c>
      <c r="AF5" s="7">
        <f t="shared" ref="AF5:AF7" si="0">GETPIVOTDATA("Sum of Total Engagement",$T$10,"Campaign_Name_Filled","CybertruckLaunch")/AE5</f>
        <v>0.98094000000000003</v>
      </c>
      <c r="AG5">
        <f>GETPIVOTDATA("Sum of Total Engagement",$T$10,"Campaign_Name_Filled","FSDUpdate")</f>
        <v>242853</v>
      </c>
    </row>
    <row r="6" spans="1:33" x14ac:dyDescent="0.3">
      <c r="A6" t="s">
        <v>39</v>
      </c>
      <c r="B6" t="s">
        <v>27</v>
      </c>
      <c r="C6" s="6">
        <v>45469</v>
      </c>
      <c r="D6" t="s">
        <v>16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O6" t="s">
        <v>19</v>
      </c>
      <c r="P6" t="s">
        <v>19</v>
      </c>
      <c r="Q6" s="8">
        <f>(Table1_217[[#This Row],[Likes]]+Table1_217[[#This Row],[Shares]]+Table1_217[[#This Row],[Comments]])/Table1_217[[#This Row],[Impressions]]</f>
        <v>6.5617093055946027E-2</v>
      </c>
      <c r="R6" s="7">
        <f>Table1_217[[#This Row],[Likes]]+Table1_217[[#This Row],[Shares]]+Table1_217[[#This Row],[Comments]]</f>
        <v>4668</v>
      </c>
      <c r="S6" s="8"/>
      <c r="T6" s="10" t="s">
        <v>25</v>
      </c>
      <c r="U6" s="24">
        <v>2632016</v>
      </c>
      <c r="V6" s="24">
        <v>206959</v>
      </c>
      <c r="W6" s="24">
        <v>12287</v>
      </c>
      <c r="X6" s="24">
        <v>34631.789473684214</v>
      </c>
      <c r="Y6" s="24">
        <v>2723.1447368421054</v>
      </c>
      <c r="Z6" s="24">
        <v>161.67105263157896</v>
      </c>
      <c r="AA6" s="8">
        <v>10.620021410251523</v>
      </c>
      <c r="AB6" s="43">
        <v>0.13973712381909897</v>
      </c>
      <c r="AC6" s="7"/>
      <c r="AD6" s="48" t="s">
        <v>25</v>
      </c>
      <c r="AE6">
        <f>VLOOKUP(T6, 'Campaign Metadata'!A3:G7, 5,FALSE)</f>
        <v>200000</v>
      </c>
      <c r="AF6" s="7">
        <f t="shared" si="0"/>
        <v>1.226175</v>
      </c>
      <c r="AG6">
        <f>GETPIVOTDATA("Sum of Total Engagement",$T$10,"Campaign_Name_Filled","ModelYCampaign")</f>
        <v>274774</v>
      </c>
    </row>
    <row r="7" spans="1:33" x14ac:dyDescent="0.3">
      <c r="A7" t="s">
        <v>42</v>
      </c>
      <c r="B7" t="s">
        <v>43</v>
      </c>
      <c r="C7" s="6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  <c r="P7" t="s">
        <v>25</v>
      </c>
      <c r="Q7" s="8">
        <f>(Table1_217[[#This Row],[Likes]]+Table1_217[[#This Row],[Shares]]+Table1_217[[#This Row],[Comments]])/Table1_217[[#This Row],[Impressions]]</f>
        <v>0.17954159592529711</v>
      </c>
      <c r="R7" s="7">
        <f>Table1_217[[#This Row],[Likes]]+Table1_217[[#This Row],[Shares]]+Table1_217[[#This Row],[Comments]]</f>
        <v>4230</v>
      </c>
      <c r="S7" s="8"/>
      <c r="T7" s="10" t="s">
        <v>38</v>
      </c>
      <c r="U7" s="24">
        <v>3069799</v>
      </c>
      <c r="V7" s="24">
        <v>240572</v>
      </c>
      <c r="W7" s="24">
        <v>13443</v>
      </c>
      <c r="X7" s="24">
        <v>34492.123595505618</v>
      </c>
      <c r="Y7" s="24">
        <v>2703.0561797752807</v>
      </c>
      <c r="Z7" s="24">
        <v>151.04494382022472</v>
      </c>
      <c r="AA7" s="8">
        <v>13.411923748604725</v>
      </c>
      <c r="AB7" s="43">
        <v>0.15069577245623286</v>
      </c>
      <c r="AC7" s="7"/>
      <c r="AD7" s="48" t="s">
        <v>38</v>
      </c>
      <c r="AE7">
        <f>VLOOKUP(T7, 'Campaign Metadata'!A4:G8, 5,FALSE)</f>
        <v>180000</v>
      </c>
      <c r="AF7" s="7">
        <f t="shared" si="0"/>
        <v>1.3624166666666666</v>
      </c>
      <c r="AG7">
        <f>GETPIVOTDATA("Sum of Total Engagement",$T$10,"Campaign_Name_Filled","SustainabilityDrive")</f>
        <v>320271</v>
      </c>
    </row>
    <row r="8" spans="1:33" x14ac:dyDescent="0.3">
      <c r="A8" t="s">
        <v>47</v>
      </c>
      <c r="B8" t="s">
        <v>14</v>
      </c>
      <c r="C8" s="6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  <c r="P8" t="s">
        <v>25</v>
      </c>
      <c r="Q8" s="8">
        <f>(Table1_217[[#This Row],[Likes]]+Table1_217[[#This Row],[Shares]]+Table1_217[[#This Row],[Comments]])/Table1_217[[#This Row],[Impressions]]</f>
        <v>7.0272020725388601E-2</v>
      </c>
      <c r="R8" s="7">
        <f>Table1_217[[#This Row],[Likes]]+Table1_217[[#This Row],[Shares]]+Table1_217[[#This Row],[Comments]]</f>
        <v>4340</v>
      </c>
      <c r="S8" s="8"/>
      <c r="T8" s="10" t="s">
        <v>625</v>
      </c>
      <c r="U8">
        <v>10394153</v>
      </c>
      <c r="V8">
        <v>819991</v>
      </c>
      <c r="W8">
        <v>45366</v>
      </c>
      <c r="X8">
        <v>34647.176666666666</v>
      </c>
      <c r="Y8">
        <v>2733.3033333333333</v>
      </c>
      <c r="Z8">
        <v>151.22</v>
      </c>
      <c r="AA8" s="8">
        <v>44.484817439558562</v>
      </c>
      <c r="AB8" s="7">
        <v>0.14828272479852853</v>
      </c>
      <c r="AC8" s="7"/>
    </row>
    <row r="9" spans="1:33" x14ac:dyDescent="0.3">
      <c r="A9" t="s">
        <v>50</v>
      </c>
      <c r="B9" t="s">
        <v>27</v>
      </c>
      <c r="C9" s="6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  <c r="P9" t="s">
        <v>38</v>
      </c>
      <c r="Q9" s="8">
        <f>(Table1_217[[#This Row],[Likes]]+Table1_217[[#This Row],[Shares]]+Table1_217[[#This Row],[Comments]])/Table1_217[[#This Row],[Impressions]]</f>
        <v>0.10340359564080613</v>
      </c>
      <c r="R9" s="7">
        <f>Table1_217[[#This Row],[Likes]]+Table1_217[[#This Row],[Shares]]+Table1_217[[#This Row],[Comments]]</f>
        <v>4469</v>
      </c>
      <c r="S9" s="8"/>
    </row>
    <row r="10" spans="1:33" x14ac:dyDescent="0.3">
      <c r="A10" t="s">
        <v>54</v>
      </c>
      <c r="B10" t="s">
        <v>43</v>
      </c>
      <c r="C10" s="6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  <c r="Q10" s="8">
        <f>(Table1_217[[#This Row],[Likes]]+Table1_217[[#This Row],[Shares]]+Table1_217[[#This Row],[Comments]])/Table1_217[[#This Row],[Impressions]]</f>
        <v>8.8019732205778717E-2</v>
      </c>
      <c r="R10" s="7">
        <f>Table1_217[[#This Row],[Likes]]+Table1_217[[#This Row],[Shares]]+Table1_217[[#This Row],[Comments]]</f>
        <v>4996</v>
      </c>
      <c r="S10" s="8"/>
      <c r="T10" s="9" t="s">
        <v>624</v>
      </c>
      <c r="U10" t="s">
        <v>641</v>
      </c>
      <c r="V10" t="s">
        <v>642</v>
      </c>
      <c r="W10" t="s">
        <v>628</v>
      </c>
      <c r="X10" t="s">
        <v>646</v>
      </c>
      <c r="Y10" t="s">
        <v>634</v>
      </c>
      <c r="Z10" t="s">
        <v>653</v>
      </c>
      <c r="AA10" t="s">
        <v>652</v>
      </c>
      <c r="AB10" t="s">
        <v>626</v>
      </c>
    </row>
    <row r="11" spans="1:33" x14ac:dyDescent="0.3">
      <c r="A11" t="s">
        <v>57</v>
      </c>
      <c r="B11" t="s">
        <v>43</v>
      </c>
      <c r="C11" s="6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  <c r="Q11" s="8">
        <f>(Table1_217[[#This Row],[Likes]]+Table1_217[[#This Row],[Shares]]+Table1_217[[#This Row],[Comments]])/Table1_217[[#This Row],[Impressions]]</f>
        <v>7.198635172059864E-2</v>
      </c>
      <c r="R11" s="7">
        <f>Table1_217[[#This Row],[Likes]]+Table1_217[[#This Row],[Shares]]+Table1_217[[#This Row],[Comments]]</f>
        <v>5190</v>
      </c>
      <c r="S11" s="8"/>
      <c r="T11" s="10" t="s">
        <v>19</v>
      </c>
      <c r="U11">
        <v>2426285</v>
      </c>
      <c r="V11">
        <v>9604</v>
      </c>
      <c r="W11">
        <v>189114</v>
      </c>
      <c r="X11">
        <v>35680.661764705881</v>
      </c>
      <c r="Y11">
        <v>141.23529411764707</v>
      </c>
      <c r="Z11">
        <v>2781.0882352941176</v>
      </c>
      <c r="AA11">
        <v>245235</v>
      </c>
    </row>
    <row r="12" spans="1:33" x14ac:dyDescent="0.3">
      <c r="A12" t="s">
        <v>60</v>
      </c>
      <c r="B12" t="s">
        <v>33</v>
      </c>
      <c r="C12" s="6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  <c r="Q12" s="8">
        <f>(Table1_217[[#This Row],[Likes]]+Table1_217[[#This Row],[Shares]]+Table1_217[[#This Row],[Comments]])/Table1_217[[#This Row],[Impressions]]</f>
        <v>0.11571269132653061</v>
      </c>
      <c r="R12" s="7">
        <f>Table1_217[[#This Row],[Likes]]+Table1_217[[#This Row],[Shares]]+Table1_217[[#This Row],[Comments]]</f>
        <v>2903</v>
      </c>
      <c r="S12" s="8"/>
      <c r="T12" s="10" t="s">
        <v>31</v>
      </c>
      <c r="U12">
        <v>2266053</v>
      </c>
      <c r="V12">
        <v>10032</v>
      </c>
      <c r="W12">
        <v>183346</v>
      </c>
      <c r="X12">
        <v>33821.686567164179</v>
      </c>
      <c r="Y12">
        <v>149.73134328358208</v>
      </c>
      <c r="Z12">
        <v>2736.5074626865671</v>
      </c>
      <c r="AA12">
        <v>242853</v>
      </c>
    </row>
    <row r="13" spans="1:33" x14ac:dyDescent="0.3">
      <c r="A13" t="s">
        <v>63</v>
      </c>
      <c r="B13" t="s">
        <v>43</v>
      </c>
      <c r="C13" s="6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  <c r="Q13" s="8">
        <f>(Table1_217[[#This Row],[Likes]]+Table1_217[[#This Row],[Shares]]+Table1_217[[#This Row],[Comments]])/Table1_217[[#This Row],[Impressions]]</f>
        <v>0.12885405960945528</v>
      </c>
      <c r="R13" s="7">
        <f>Table1_217[[#This Row],[Likes]]+Table1_217[[#This Row],[Shares]]+Table1_217[[#This Row],[Comments]]</f>
        <v>3009</v>
      </c>
      <c r="S13" s="8"/>
      <c r="T13" s="10" t="s">
        <v>25</v>
      </c>
      <c r="U13">
        <v>2632016</v>
      </c>
      <c r="V13">
        <v>12287</v>
      </c>
      <c r="W13">
        <v>206959</v>
      </c>
      <c r="X13">
        <v>34631.789473684214</v>
      </c>
      <c r="Y13">
        <v>161.67105263157896</v>
      </c>
      <c r="Z13">
        <v>2723.1447368421054</v>
      </c>
      <c r="AA13">
        <v>274774</v>
      </c>
    </row>
    <row r="14" spans="1:33" x14ac:dyDescent="0.3">
      <c r="A14" t="s">
        <v>66</v>
      </c>
      <c r="B14" t="s">
        <v>27</v>
      </c>
      <c r="C14" s="6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  <c r="Q14" s="8">
        <f>(Table1_217[[#This Row],[Likes]]+Table1_217[[#This Row],[Shares]]+Table1_217[[#This Row],[Comments]])/Table1_217[[#This Row],[Impressions]]</f>
        <v>7.5868578363072495E-2</v>
      </c>
      <c r="R14" s="7">
        <f>Table1_217[[#This Row],[Likes]]+Table1_217[[#This Row],[Shares]]+Table1_217[[#This Row],[Comments]]</f>
        <v>1688</v>
      </c>
      <c r="S14" s="8"/>
      <c r="T14" s="10" t="s">
        <v>38</v>
      </c>
      <c r="U14">
        <v>3069799</v>
      </c>
      <c r="V14">
        <v>13443</v>
      </c>
      <c r="W14">
        <v>240572</v>
      </c>
      <c r="X14">
        <v>34492.123595505618</v>
      </c>
      <c r="Y14">
        <v>151.04494382022472</v>
      </c>
      <c r="Z14">
        <v>2703.0561797752807</v>
      </c>
      <c r="AA14">
        <v>320271</v>
      </c>
    </row>
    <row r="15" spans="1:33" x14ac:dyDescent="0.3">
      <c r="A15" t="s">
        <v>69</v>
      </c>
      <c r="B15" t="s">
        <v>43</v>
      </c>
      <c r="C15" s="6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  <c r="Q15" s="8">
        <f>(Table1_217[[#This Row],[Likes]]+Table1_217[[#This Row],[Shares]]+Table1_217[[#This Row],[Comments]])/Table1_217[[#This Row],[Impressions]]</f>
        <v>0.14521452145214522</v>
      </c>
      <c r="R15" s="7">
        <f>Table1_217[[#This Row],[Likes]]+Table1_217[[#This Row],[Shares]]+Table1_217[[#This Row],[Comments]]</f>
        <v>4928</v>
      </c>
      <c r="S15" s="8"/>
      <c r="T15" s="10" t="s">
        <v>625</v>
      </c>
      <c r="U15">
        <v>10394153</v>
      </c>
      <c r="V15">
        <v>45366</v>
      </c>
      <c r="W15">
        <v>819991</v>
      </c>
      <c r="X15">
        <v>34647.176666666666</v>
      </c>
      <c r="Y15">
        <v>151.22</v>
      </c>
      <c r="Z15">
        <v>2733.3033333333333</v>
      </c>
      <c r="AA15">
        <v>1083133</v>
      </c>
    </row>
    <row r="16" spans="1:33" x14ac:dyDescent="0.3">
      <c r="A16" t="s">
        <v>72</v>
      </c>
      <c r="B16" t="s">
        <v>43</v>
      </c>
      <c r="C16" s="6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  <c r="Q16" s="8">
        <f>(Table1_217[[#This Row],[Likes]]+Table1_217[[#This Row],[Shares]]+Table1_217[[#This Row],[Comments]])/Table1_217[[#This Row],[Impressions]]</f>
        <v>5.941358024691358E-2</v>
      </c>
      <c r="R16" s="7">
        <f>Table1_217[[#This Row],[Likes]]+Table1_217[[#This Row],[Shares]]+Table1_217[[#This Row],[Comments]]</f>
        <v>4620</v>
      </c>
      <c r="S16" s="8"/>
      <c r="X16"/>
    </row>
    <row r="17" spans="1:24" x14ac:dyDescent="0.3">
      <c r="A17" t="s">
        <v>76</v>
      </c>
      <c r="B17" t="s">
        <v>43</v>
      </c>
      <c r="C17" s="6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  <c r="Q17" s="8">
        <f>(Table1_217[[#This Row],[Likes]]+Table1_217[[#This Row],[Shares]]+Table1_217[[#This Row],[Comments]])/Table1_217[[#This Row],[Impressions]]</f>
        <v>7.5843713789107758E-2</v>
      </c>
      <c r="R17" s="7">
        <f>Table1_217[[#This Row],[Likes]]+Table1_217[[#This Row],[Shares]]+Table1_217[[#This Row],[Comments]]</f>
        <v>4189</v>
      </c>
      <c r="S17" s="8"/>
      <c r="X17"/>
    </row>
    <row r="18" spans="1:24" x14ac:dyDescent="0.3">
      <c r="A18" t="s">
        <v>78</v>
      </c>
      <c r="B18" t="s">
        <v>43</v>
      </c>
      <c r="C18" s="6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  <c r="Q18" s="8">
        <f>(Table1_217[[#This Row],[Likes]]+Table1_217[[#This Row],[Shares]]+Table1_217[[#This Row],[Comments]])/Table1_217[[#This Row],[Impressions]]</f>
        <v>9.4235532537716729E-2</v>
      </c>
      <c r="R18" s="7">
        <f>Table1_217[[#This Row],[Likes]]+Table1_217[[#This Row],[Shares]]+Table1_217[[#This Row],[Comments]]</f>
        <v>5022</v>
      </c>
      <c r="S18" s="8"/>
      <c r="X18"/>
    </row>
    <row r="19" spans="1:24" x14ac:dyDescent="0.3">
      <c r="A19" t="s">
        <v>80</v>
      </c>
      <c r="B19" t="s">
        <v>33</v>
      </c>
      <c r="C19" s="6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  <c r="Q19" s="8">
        <f>(Table1_217[[#This Row],[Likes]]+Table1_217[[#This Row],[Shares]]+Table1_217[[#This Row],[Comments]])/Table1_217[[#This Row],[Impressions]]</f>
        <v>0.10297222222222223</v>
      </c>
      <c r="R19" s="7">
        <f>Table1_217[[#This Row],[Likes]]+Table1_217[[#This Row],[Shares]]+Table1_217[[#This Row],[Comments]]</f>
        <v>3707</v>
      </c>
      <c r="S19" s="8"/>
      <c r="X19"/>
    </row>
    <row r="20" spans="1:24" x14ac:dyDescent="0.3">
      <c r="A20" t="s">
        <v>83</v>
      </c>
      <c r="B20" t="s">
        <v>33</v>
      </c>
      <c r="C20" s="6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  <c r="Q20" s="8">
        <f>(Table1_217[[#This Row],[Likes]]+Table1_217[[#This Row],[Shares]]+Table1_217[[#This Row],[Comments]])/Table1_217[[#This Row],[Impressions]]</f>
        <v>0.10034235916588857</v>
      </c>
      <c r="R20" s="7">
        <f>Table1_217[[#This Row],[Likes]]+Table1_217[[#This Row],[Shares]]+Table1_217[[#This Row],[Comments]]</f>
        <v>1612</v>
      </c>
      <c r="S20" s="8"/>
    </row>
    <row r="21" spans="1:24" x14ac:dyDescent="0.3">
      <c r="A21" t="s">
        <v>86</v>
      </c>
      <c r="B21" t="s">
        <v>33</v>
      </c>
      <c r="C21" s="6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  <c r="Q21" s="8">
        <f>(Table1_217[[#This Row],[Likes]]+Table1_217[[#This Row],[Shares]]+Table1_217[[#This Row],[Comments]])/Table1_217[[#This Row],[Impressions]]</f>
        <v>6.3809622724794221E-2</v>
      </c>
      <c r="R21" s="7">
        <f>Table1_217[[#This Row],[Likes]]+Table1_217[[#This Row],[Shares]]+Table1_217[[#This Row],[Comments]]</f>
        <v>4915</v>
      </c>
      <c r="S21" s="8"/>
    </row>
    <row r="22" spans="1:24" x14ac:dyDescent="0.3">
      <c r="A22" t="s">
        <v>89</v>
      </c>
      <c r="B22" t="s">
        <v>33</v>
      </c>
      <c r="C22" s="6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  <c r="Q22" s="8">
        <f>(Table1_217[[#This Row],[Likes]]+Table1_217[[#This Row],[Shares]]+Table1_217[[#This Row],[Comments]])/Table1_217[[#This Row],[Impressions]]</f>
        <v>7.7249552156538517E-2</v>
      </c>
      <c r="R22" s="7">
        <f>Table1_217[[#This Row],[Likes]]+Table1_217[[#This Row],[Shares]]+Table1_217[[#This Row],[Comments]]</f>
        <v>5606</v>
      </c>
      <c r="S22" s="8"/>
    </row>
    <row r="23" spans="1:24" x14ac:dyDescent="0.3">
      <c r="A23" t="s">
        <v>91</v>
      </c>
      <c r="B23" t="s">
        <v>43</v>
      </c>
      <c r="C23" s="6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  <c r="Q23" s="8">
        <f>(Table1_217[[#This Row],[Likes]]+Table1_217[[#This Row],[Shares]]+Table1_217[[#This Row],[Comments]])/Table1_217[[#This Row],[Impressions]]</f>
        <v>8.0294585987261149E-2</v>
      </c>
      <c r="R23" s="7">
        <f>Table1_217[[#This Row],[Likes]]+Table1_217[[#This Row],[Shares]]+Table1_217[[#This Row],[Comments]]</f>
        <v>2017</v>
      </c>
      <c r="S23" s="8"/>
    </row>
    <row r="24" spans="1:24" x14ac:dyDescent="0.3">
      <c r="A24" t="s">
        <v>93</v>
      </c>
      <c r="B24" t="s">
        <v>43</v>
      </c>
      <c r="C24" s="6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  <c r="Q24" s="8">
        <f>(Table1_217[[#This Row],[Likes]]+Table1_217[[#This Row],[Shares]]+Table1_217[[#This Row],[Comments]])/Table1_217[[#This Row],[Impressions]]</f>
        <v>7.6867995018679955E-2</v>
      </c>
      <c r="R24" s="7">
        <f>Table1_217[[#This Row],[Likes]]+Table1_217[[#This Row],[Shares]]+Table1_217[[#This Row],[Comments]]</f>
        <v>2469</v>
      </c>
      <c r="S24" s="8"/>
    </row>
    <row r="25" spans="1:24" x14ac:dyDescent="0.3">
      <c r="A25" t="s">
        <v>96</v>
      </c>
      <c r="B25" t="s">
        <v>43</v>
      </c>
      <c r="C25" s="6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  <c r="Q25" s="8">
        <f>(Table1_217[[#This Row],[Likes]]+Table1_217[[#This Row],[Shares]]+Table1_217[[#This Row],[Comments]])/Table1_217[[#This Row],[Impressions]]</f>
        <v>7.2070332803659209E-2</v>
      </c>
      <c r="R25" s="7">
        <f>Table1_217[[#This Row],[Likes]]+Table1_217[[#This Row],[Shares]]+Table1_217[[#This Row],[Comments]]</f>
        <v>4853</v>
      </c>
      <c r="S25" s="8"/>
    </row>
    <row r="26" spans="1:24" x14ac:dyDescent="0.3">
      <c r="A26" t="s">
        <v>98</v>
      </c>
      <c r="B26" t="s">
        <v>14</v>
      </c>
      <c r="C26" s="6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  <c r="Q26" s="8">
        <f>(Table1_217[[#This Row],[Likes]]+Table1_217[[#This Row],[Shares]]+Table1_217[[#This Row],[Comments]])/Table1_217[[#This Row],[Impressions]]</f>
        <v>5.9496567505720827E-2</v>
      </c>
      <c r="R26" s="7">
        <f>Table1_217[[#This Row],[Likes]]+Table1_217[[#This Row],[Shares]]+Table1_217[[#This Row],[Comments]]</f>
        <v>3536</v>
      </c>
      <c r="S26" s="8"/>
    </row>
    <row r="27" spans="1:24" x14ac:dyDescent="0.3">
      <c r="A27" t="s">
        <v>100</v>
      </c>
      <c r="B27" t="s">
        <v>27</v>
      </c>
      <c r="C27" s="6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  <c r="Q27" s="8">
        <f>(Table1_217[[#This Row],[Likes]]+Table1_217[[#This Row],[Shares]]+Table1_217[[#This Row],[Comments]])/Table1_217[[#This Row],[Impressions]]</f>
        <v>8.9730807577268201E-2</v>
      </c>
      <c r="R27" s="7">
        <f>Table1_217[[#This Row],[Likes]]+Table1_217[[#This Row],[Shares]]+Table1_217[[#This Row],[Comments]]</f>
        <v>3780</v>
      </c>
      <c r="S27" s="8"/>
    </row>
    <row r="28" spans="1:24" x14ac:dyDescent="0.3">
      <c r="A28" t="s">
        <v>102</v>
      </c>
      <c r="B28" t="s">
        <v>27</v>
      </c>
      <c r="C28" s="6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  <c r="Q28" s="8">
        <f>(Table1_217[[#This Row],[Likes]]+Table1_217[[#This Row],[Shares]]+Table1_217[[#This Row],[Comments]])/Table1_217[[#This Row],[Impressions]]</f>
        <v>7.1501685934489398E-2</v>
      </c>
      <c r="R28" s="7">
        <f>Table1_217[[#This Row],[Likes]]+Table1_217[[#This Row],[Shares]]+Table1_217[[#This Row],[Comments]]</f>
        <v>2375</v>
      </c>
      <c r="S28" s="8"/>
    </row>
    <row r="29" spans="1:24" x14ac:dyDescent="0.3">
      <c r="A29" t="s">
        <v>105</v>
      </c>
      <c r="B29" t="s">
        <v>33</v>
      </c>
      <c r="C29" s="6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  <c r="Q29" s="8">
        <f>(Table1_217[[#This Row],[Likes]]+Table1_217[[#This Row],[Shares]]+Table1_217[[#This Row],[Comments]])/Table1_217[[#This Row],[Impressions]]</f>
        <v>0.17057291666666666</v>
      </c>
      <c r="R29" s="7">
        <f>Table1_217[[#This Row],[Likes]]+Table1_217[[#This Row],[Shares]]+Table1_217[[#This Row],[Comments]]</f>
        <v>1179</v>
      </c>
      <c r="S29" s="8"/>
    </row>
    <row r="30" spans="1:24" x14ac:dyDescent="0.3">
      <c r="A30" t="s">
        <v>107</v>
      </c>
      <c r="B30" t="s">
        <v>33</v>
      </c>
      <c r="C30" s="6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  <c r="Q30" s="8">
        <f>(Table1_217[[#This Row],[Likes]]+Table1_217[[#This Row],[Shares]]+Table1_217[[#This Row],[Comments]])/Table1_217[[#This Row],[Impressions]]</f>
        <v>0.21208106001558846</v>
      </c>
      <c r="R30" s="7">
        <f>Table1_217[[#This Row],[Likes]]+Table1_217[[#This Row],[Shares]]+Table1_217[[#This Row],[Comments]]</f>
        <v>2721</v>
      </c>
      <c r="S30" s="8"/>
    </row>
    <row r="31" spans="1:24" x14ac:dyDescent="0.3">
      <c r="A31" t="s">
        <v>109</v>
      </c>
      <c r="B31" t="s">
        <v>33</v>
      </c>
      <c r="C31" s="6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  <c r="Q31" s="8">
        <f>(Table1_217[[#This Row],[Likes]]+Table1_217[[#This Row],[Shares]]+Table1_217[[#This Row],[Comments]])/Table1_217[[#This Row],[Impressions]]</f>
        <v>5.7655717106444085E-2</v>
      </c>
      <c r="R31" s="7">
        <f>Table1_217[[#This Row],[Likes]]+Table1_217[[#This Row],[Shares]]+Table1_217[[#This Row],[Comments]]</f>
        <v>3212</v>
      </c>
      <c r="S31" s="8"/>
    </row>
    <row r="32" spans="1:24" x14ac:dyDescent="0.3">
      <c r="A32" t="s">
        <v>111</v>
      </c>
      <c r="B32" t="s">
        <v>33</v>
      </c>
      <c r="C32" s="6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  <c r="Q32" s="8">
        <f>(Table1_217[[#This Row],[Likes]]+Table1_217[[#This Row],[Shares]]+Table1_217[[#This Row],[Comments]])/Table1_217[[#This Row],[Impressions]]</f>
        <v>0.28245270711024134</v>
      </c>
      <c r="R32" s="7">
        <f>Table1_217[[#This Row],[Likes]]+Table1_217[[#This Row],[Shares]]+Table1_217[[#This Row],[Comments]]</f>
        <v>866</v>
      </c>
      <c r="S32" s="8"/>
    </row>
    <row r="33" spans="1:19" x14ac:dyDescent="0.3">
      <c r="A33" t="s">
        <v>114</v>
      </c>
      <c r="B33" t="s">
        <v>14</v>
      </c>
      <c r="C33" s="6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  <c r="Q33" s="8">
        <f>(Table1_217[[#This Row],[Likes]]+Table1_217[[#This Row],[Shares]]+Table1_217[[#This Row],[Comments]])/Table1_217[[#This Row],[Impressions]]</f>
        <v>0.19088381621305239</v>
      </c>
      <c r="R33" s="7">
        <f>Table1_217[[#This Row],[Likes]]+Table1_217[[#This Row],[Shares]]+Table1_217[[#This Row],[Comments]]</f>
        <v>2609</v>
      </c>
      <c r="S33" s="8"/>
    </row>
    <row r="34" spans="1:19" x14ac:dyDescent="0.3">
      <c r="A34" t="s">
        <v>116</v>
      </c>
      <c r="B34" t="s">
        <v>43</v>
      </c>
      <c r="C34" s="6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  <c r="Q34" s="8">
        <f>(Table1_217[[#This Row],[Likes]]+Table1_217[[#This Row],[Shares]]+Table1_217[[#This Row],[Comments]])/Table1_217[[#This Row],[Impressions]]</f>
        <v>0.12781331438047855</v>
      </c>
      <c r="R34" s="7">
        <f>Table1_217[[#This Row],[Likes]]+Table1_217[[#This Row],[Shares]]+Table1_217[[#This Row],[Comments]]</f>
        <v>2158</v>
      </c>
      <c r="S34" s="8"/>
    </row>
    <row r="35" spans="1:19" x14ac:dyDescent="0.3">
      <c r="A35" t="s">
        <v>118</v>
      </c>
      <c r="B35" t="s">
        <v>43</v>
      </c>
      <c r="C35" s="6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  <c r="Q35" s="8">
        <f>(Table1_217[[#This Row],[Likes]]+Table1_217[[#This Row],[Shares]]+Table1_217[[#This Row],[Comments]])/Table1_217[[#This Row],[Impressions]]</f>
        <v>7.055421038471886E-2</v>
      </c>
      <c r="R35" s="7">
        <f>Table1_217[[#This Row],[Likes]]+Table1_217[[#This Row],[Shares]]+Table1_217[[#This Row],[Comments]]</f>
        <v>2098</v>
      </c>
      <c r="S35" s="8"/>
    </row>
    <row r="36" spans="1:19" x14ac:dyDescent="0.3">
      <c r="A36" t="s">
        <v>120</v>
      </c>
      <c r="B36" t="s">
        <v>33</v>
      </c>
      <c r="C36" s="6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  <c r="Q36" s="8">
        <f>(Table1_217[[#This Row],[Likes]]+Table1_217[[#This Row],[Shares]]+Table1_217[[#This Row],[Comments]])/Table1_217[[#This Row],[Impressions]]</f>
        <v>0.11861662987490802</v>
      </c>
      <c r="R36" s="7">
        <f>Table1_217[[#This Row],[Likes]]+Table1_217[[#This Row],[Shares]]+Table1_217[[#This Row],[Comments]]</f>
        <v>4030</v>
      </c>
      <c r="S36" s="8"/>
    </row>
    <row r="37" spans="1:19" x14ac:dyDescent="0.3">
      <c r="A37" t="s">
        <v>122</v>
      </c>
      <c r="B37" t="s">
        <v>33</v>
      </c>
      <c r="C37" s="6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  <c r="Q37" s="8">
        <f>(Table1_217[[#This Row],[Likes]]+Table1_217[[#This Row],[Shares]]+Table1_217[[#This Row],[Comments]])/Table1_217[[#This Row],[Impressions]]</f>
        <v>7.6523535487678915E-2</v>
      </c>
      <c r="R37" s="7">
        <f>Table1_217[[#This Row],[Likes]]+Table1_217[[#This Row],[Shares]]+Table1_217[[#This Row],[Comments]]</f>
        <v>5186</v>
      </c>
      <c r="S37" s="8"/>
    </row>
    <row r="38" spans="1:19" x14ac:dyDescent="0.3">
      <c r="A38" t="s">
        <v>124</v>
      </c>
      <c r="B38" t="s">
        <v>43</v>
      </c>
      <c r="C38" s="6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  <c r="Q38" s="8">
        <f>(Table1_217[[#This Row],[Likes]]+Table1_217[[#This Row],[Shares]]+Table1_217[[#This Row],[Comments]])/Table1_217[[#This Row],[Impressions]]</f>
        <v>0.17770337301587302</v>
      </c>
      <c r="R38" s="7">
        <f>Table1_217[[#This Row],[Likes]]+Table1_217[[#This Row],[Shares]]+Table1_217[[#This Row],[Comments]]</f>
        <v>4299</v>
      </c>
      <c r="S38" s="8"/>
    </row>
    <row r="39" spans="1:19" x14ac:dyDescent="0.3">
      <c r="A39" t="s">
        <v>126</v>
      </c>
      <c r="B39" t="s">
        <v>27</v>
      </c>
      <c r="C39" s="6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  <c r="Q39" s="8">
        <f>(Table1_217[[#This Row],[Likes]]+Table1_217[[#This Row],[Shares]]+Table1_217[[#This Row],[Comments]])/Table1_217[[#This Row],[Impressions]]</f>
        <v>0.12577012959422137</v>
      </c>
      <c r="R39" s="7">
        <f>Table1_217[[#This Row],[Likes]]+Table1_217[[#This Row],[Shares]]+Table1_217[[#This Row],[Comments]]</f>
        <v>3552</v>
      </c>
      <c r="S39" s="8"/>
    </row>
    <row r="40" spans="1:19" x14ac:dyDescent="0.3">
      <c r="A40" t="s">
        <v>128</v>
      </c>
      <c r="B40" t="s">
        <v>43</v>
      </c>
      <c r="C40" s="6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  <c r="Q40" s="8">
        <f>(Table1_217[[#This Row],[Likes]]+Table1_217[[#This Row],[Shares]]+Table1_217[[#This Row],[Comments]])/Table1_217[[#This Row],[Impressions]]</f>
        <v>7.2126493695121141E-2</v>
      </c>
      <c r="R40" s="7">
        <f>Table1_217[[#This Row],[Likes]]+Table1_217[[#This Row],[Shares]]+Table1_217[[#This Row],[Comments]]</f>
        <v>4370</v>
      </c>
      <c r="S40" s="8"/>
    </row>
    <row r="41" spans="1:19" x14ac:dyDescent="0.3">
      <c r="A41" t="s">
        <v>130</v>
      </c>
      <c r="B41" t="s">
        <v>14</v>
      </c>
      <c r="C41" s="6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  <c r="Q41" s="8">
        <f>(Table1_217[[#This Row],[Likes]]+Table1_217[[#This Row],[Shares]]+Table1_217[[#This Row],[Comments]])/Table1_217[[#This Row],[Impressions]]</f>
        <v>0.13989473684210527</v>
      </c>
      <c r="R41" s="7">
        <f>Table1_217[[#This Row],[Likes]]+Table1_217[[#This Row],[Shares]]+Table1_217[[#This Row],[Comments]]</f>
        <v>5316</v>
      </c>
      <c r="S41" s="8"/>
    </row>
    <row r="42" spans="1:19" x14ac:dyDescent="0.3">
      <c r="A42" t="s">
        <v>133</v>
      </c>
      <c r="B42" t="s">
        <v>33</v>
      </c>
      <c r="C42" s="6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  <c r="Q42" s="8">
        <f>(Table1_217[[#This Row],[Likes]]+Table1_217[[#This Row],[Shares]]+Table1_217[[#This Row],[Comments]])/Table1_217[[#This Row],[Impressions]]</f>
        <v>0.18433235867446393</v>
      </c>
      <c r="R42" s="7">
        <f>Table1_217[[#This Row],[Likes]]+Table1_217[[#This Row],[Shares]]+Table1_217[[#This Row],[Comments]]</f>
        <v>1513</v>
      </c>
      <c r="S42" s="8"/>
    </row>
    <row r="43" spans="1:19" x14ac:dyDescent="0.3">
      <c r="A43" t="s">
        <v>135</v>
      </c>
      <c r="B43" t="s">
        <v>27</v>
      </c>
      <c r="C43" s="6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  <c r="Q43" s="8">
        <f>(Table1_217[[#This Row],[Likes]]+Table1_217[[#This Row],[Shares]]+Table1_217[[#This Row],[Comments]])/Table1_217[[#This Row],[Impressions]]</f>
        <v>0.21840570317563188</v>
      </c>
      <c r="R43" s="7">
        <f>Table1_217[[#This Row],[Likes]]+Table1_217[[#This Row],[Shares]]+Table1_217[[#This Row],[Comments]]</f>
        <v>2696</v>
      </c>
      <c r="S43" s="8"/>
    </row>
    <row r="44" spans="1:19" x14ac:dyDescent="0.3">
      <c r="A44" t="s">
        <v>137</v>
      </c>
      <c r="B44" t="s">
        <v>33</v>
      </c>
      <c r="C44" s="6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  <c r="Q44" s="8">
        <f>(Table1_217[[#This Row],[Likes]]+Table1_217[[#This Row],[Shares]]+Table1_217[[#This Row],[Comments]])/Table1_217[[#This Row],[Impressions]]</f>
        <v>0.21826126954921804</v>
      </c>
      <c r="R44" s="7">
        <f>Table1_217[[#This Row],[Likes]]+Table1_217[[#This Row],[Shares]]+Table1_217[[#This Row],[Comments]]</f>
        <v>2847</v>
      </c>
      <c r="S44" s="8"/>
    </row>
    <row r="45" spans="1:19" x14ac:dyDescent="0.3">
      <c r="A45" t="s">
        <v>139</v>
      </c>
      <c r="B45" t="s">
        <v>14</v>
      </c>
      <c r="C45" s="6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  <c r="Q45" s="8">
        <f>(Table1_217[[#This Row],[Likes]]+Table1_217[[#This Row],[Shares]]+Table1_217[[#This Row],[Comments]])/Table1_217[[#This Row],[Impressions]]</f>
        <v>9.8558100084817649E-2</v>
      </c>
      <c r="R45" s="7">
        <f>Table1_217[[#This Row],[Likes]]+Table1_217[[#This Row],[Shares]]+Table1_217[[#This Row],[Comments]]</f>
        <v>3486</v>
      </c>
      <c r="S45" s="8"/>
    </row>
    <row r="46" spans="1:19" x14ac:dyDescent="0.3">
      <c r="A46" t="s">
        <v>141</v>
      </c>
      <c r="B46" t="s">
        <v>43</v>
      </c>
      <c r="C46" s="6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  <c r="Q46" s="8">
        <f>(Table1_217[[#This Row],[Likes]]+Table1_217[[#This Row],[Shares]]+Table1_217[[#This Row],[Comments]])/Table1_217[[#This Row],[Impressions]]</f>
        <v>7.5229902106199939E-2</v>
      </c>
      <c r="R46" s="7">
        <f>Table1_217[[#This Row],[Likes]]+Table1_217[[#This Row],[Shares]]+Table1_217[[#This Row],[Comments]]</f>
        <v>3804</v>
      </c>
      <c r="S46" s="8"/>
    </row>
    <row r="47" spans="1:19" x14ac:dyDescent="0.3">
      <c r="A47" t="s">
        <v>143</v>
      </c>
      <c r="B47" t="s">
        <v>14</v>
      </c>
      <c r="C47" s="6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  <c r="Q47" s="8">
        <f>(Table1_217[[#This Row],[Likes]]+Table1_217[[#This Row],[Shares]]+Table1_217[[#This Row],[Comments]])/Table1_217[[#This Row],[Impressions]]</f>
        <v>0.16888537906137185</v>
      </c>
      <c r="R47" s="7">
        <f>Table1_217[[#This Row],[Likes]]+Table1_217[[#This Row],[Shares]]+Table1_217[[#This Row],[Comments]]</f>
        <v>1497</v>
      </c>
      <c r="S47" s="8"/>
    </row>
    <row r="48" spans="1:19" x14ac:dyDescent="0.3">
      <c r="A48" t="s">
        <v>146</v>
      </c>
      <c r="B48" t="s">
        <v>14</v>
      </c>
      <c r="C48" s="6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  <c r="Q48" s="8">
        <f>(Table1_217[[#This Row],[Likes]]+Table1_217[[#This Row],[Shares]]+Table1_217[[#This Row],[Comments]])/Table1_217[[#This Row],[Impressions]]</f>
        <v>0.16683616863905326</v>
      </c>
      <c r="R48" s="7">
        <f>Table1_217[[#This Row],[Likes]]+Table1_217[[#This Row],[Shares]]+Table1_217[[#This Row],[Comments]]</f>
        <v>3609</v>
      </c>
      <c r="S48" s="8"/>
    </row>
    <row r="49" spans="1:19" x14ac:dyDescent="0.3">
      <c r="A49" t="s">
        <v>148</v>
      </c>
      <c r="B49" t="s">
        <v>14</v>
      </c>
      <c r="C49" s="6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  <c r="Q49" s="8">
        <f>(Table1_217[[#This Row],[Likes]]+Table1_217[[#This Row],[Shares]]+Table1_217[[#This Row],[Comments]])/Table1_217[[#This Row],[Impressions]]</f>
        <v>7.349527665317139E-2</v>
      </c>
      <c r="R49" s="7">
        <f>Table1_217[[#This Row],[Likes]]+Table1_217[[#This Row],[Shares]]+Table1_217[[#This Row],[Comments]]</f>
        <v>2723</v>
      </c>
      <c r="S49" s="8"/>
    </row>
    <row r="50" spans="1:19" x14ac:dyDescent="0.3">
      <c r="A50" t="s">
        <v>150</v>
      </c>
      <c r="B50" t="s">
        <v>14</v>
      </c>
      <c r="C50" s="6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  <c r="Q50" s="8">
        <f>(Table1_217[[#This Row],[Likes]]+Table1_217[[#This Row],[Shares]]+Table1_217[[#This Row],[Comments]])/Table1_217[[#This Row],[Impressions]]</f>
        <v>0.10617801791554102</v>
      </c>
      <c r="R50" s="7">
        <f>Table1_217[[#This Row],[Likes]]+Table1_217[[#This Row],[Shares]]+Table1_217[[#This Row],[Comments]]</f>
        <v>2987</v>
      </c>
      <c r="S50" s="8"/>
    </row>
    <row r="51" spans="1:19" x14ac:dyDescent="0.3">
      <c r="A51" t="s">
        <v>152</v>
      </c>
      <c r="B51" t="s">
        <v>27</v>
      </c>
      <c r="C51" s="6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  <c r="Q51" s="8">
        <f>(Table1_217[[#This Row],[Likes]]+Table1_217[[#This Row],[Shares]]+Table1_217[[#This Row],[Comments]])/Table1_217[[#This Row],[Impressions]]</f>
        <v>0.13498547567175018</v>
      </c>
      <c r="R51" s="7">
        <f>Table1_217[[#This Row],[Likes]]+Table1_217[[#This Row],[Shares]]+Table1_217[[#This Row],[Comments]]</f>
        <v>2974</v>
      </c>
      <c r="S51" s="8"/>
    </row>
    <row r="52" spans="1:19" x14ac:dyDescent="0.3">
      <c r="A52" t="s">
        <v>155</v>
      </c>
      <c r="B52" t="s">
        <v>43</v>
      </c>
      <c r="C52" s="6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  <c r="Q52" s="8">
        <f>(Table1_217[[#This Row],[Likes]]+Table1_217[[#This Row],[Shares]]+Table1_217[[#This Row],[Comments]])/Table1_217[[#This Row],[Impressions]]</f>
        <v>7.8689839572192513E-2</v>
      </c>
      <c r="R52" s="7">
        <f>Table1_217[[#This Row],[Likes]]+Table1_217[[#This Row],[Shares]]+Table1_217[[#This Row],[Comments]]</f>
        <v>2943</v>
      </c>
      <c r="S52" s="8"/>
    </row>
    <row r="53" spans="1:19" x14ac:dyDescent="0.3">
      <c r="A53" t="s">
        <v>157</v>
      </c>
      <c r="B53" t="s">
        <v>43</v>
      </c>
      <c r="C53" s="6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  <c r="Q53" s="8">
        <f>(Table1_217[[#This Row],[Likes]]+Table1_217[[#This Row],[Shares]]+Table1_217[[#This Row],[Comments]])/Table1_217[[#This Row],[Impressions]]</f>
        <v>0.1569549774407219</v>
      </c>
      <c r="R53" s="7">
        <f>Table1_217[[#This Row],[Likes]]+Table1_217[[#This Row],[Shares]]+Table1_217[[#This Row],[Comments]]</f>
        <v>1635</v>
      </c>
      <c r="S53" s="8"/>
    </row>
    <row r="54" spans="1:19" x14ac:dyDescent="0.3">
      <c r="A54" t="s">
        <v>159</v>
      </c>
      <c r="B54" t="s">
        <v>27</v>
      </c>
      <c r="C54" s="6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  <c r="Q54" s="8">
        <f>(Table1_217[[#This Row],[Likes]]+Table1_217[[#This Row],[Shares]]+Table1_217[[#This Row],[Comments]])/Table1_217[[#This Row],[Impressions]]</f>
        <v>0.36965174129353234</v>
      </c>
      <c r="R54" s="7">
        <f>Table1_217[[#This Row],[Likes]]+Table1_217[[#This Row],[Shares]]+Table1_217[[#This Row],[Comments]]</f>
        <v>1486</v>
      </c>
      <c r="S54" s="8"/>
    </row>
    <row r="55" spans="1:19" x14ac:dyDescent="0.3">
      <c r="A55" t="s">
        <v>161</v>
      </c>
      <c r="B55" t="s">
        <v>27</v>
      </c>
      <c r="C55" s="6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  <c r="Q55" s="8">
        <f>(Table1_217[[#This Row],[Likes]]+Table1_217[[#This Row],[Shares]]+Table1_217[[#This Row],[Comments]])/Table1_217[[#This Row],[Impressions]]</f>
        <v>0.16510298716704411</v>
      </c>
      <c r="R55" s="7">
        <f>Table1_217[[#This Row],[Likes]]+Table1_217[[#This Row],[Shares]]+Table1_217[[#This Row],[Comments]]</f>
        <v>3062</v>
      </c>
      <c r="S55" s="8"/>
    </row>
    <row r="56" spans="1:19" x14ac:dyDescent="0.3">
      <c r="A56" t="s">
        <v>163</v>
      </c>
      <c r="B56" t="s">
        <v>43</v>
      </c>
      <c r="C56" s="6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  <c r="Q56" s="8">
        <f>(Table1_217[[#This Row],[Likes]]+Table1_217[[#This Row],[Shares]]+Table1_217[[#This Row],[Comments]])/Table1_217[[#This Row],[Impressions]]</f>
        <v>9.1897770527460579E-2</v>
      </c>
      <c r="R56" s="7">
        <f>Table1_217[[#This Row],[Likes]]+Table1_217[[#This Row],[Shares]]+Table1_217[[#This Row],[Comments]]</f>
        <v>1352</v>
      </c>
      <c r="S56" s="8"/>
    </row>
    <row r="57" spans="1:19" x14ac:dyDescent="0.3">
      <c r="A57" t="s">
        <v>165</v>
      </c>
      <c r="B57" t="s">
        <v>43</v>
      </c>
      <c r="C57" s="6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  <c r="Q57" s="8">
        <f>(Table1_217[[#This Row],[Likes]]+Table1_217[[#This Row],[Shares]]+Table1_217[[#This Row],[Comments]])/Table1_217[[#This Row],[Impressions]]</f>
        <v>0.12936184657162253</v>
      </c>
      <c r="R57" s="7">
        <f>Table1_217[[#This Row],[Likes]]+Table1_217[[#This Row],[Shares]]+Table1_217[[#This Row],[Comments]]</f>
        <v>3811</v>
      </c>
      <c r="S57" s="8"/>
    </row>
    <row r="58" spans="1:19" x14ac:dyDescent="0.3">
      <c r="A58" t="s">
        <v>167</v>
      </c>
      <c r="B58" t="s">
        <v>14</v>
      </c>
      <c r="C58" s="6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  <c r="Q58" s="8">
        <f>(Table1_217[[#This Row],[Likes]]+Table1_217[[#This Row],[Shares]]+Table1_217[[#This Row],[Comments]])/Table1_217[[#This Row],[Impressions]]</f>
        <v>8.0862831858407078E-2</v>
      </c>
      <c r="R58" s="7">
        <f>Table1_217[[#This Row],[Likes]]+Table1_217[[#This Row],[Shares]]+Table1_217[[#This Row],[Comments]]</f>
        <v>3655</v>
      </c>
      <c r="S58" s="8"/>
    </row>
    <row r="59" spans="1:19" x14ac:dyDescent="0.3">
      <c r="A59" t="s">
        <v>169</v>
      </c>
      <c r="B59" t="s">
        <v>33</v>
      </c>
      <c r="C59" s="6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  <c r="Q59" s="8">
        <f>(Table1_217[[#This Row],[Likes]]+Table1_217[[#This Row],[Shares]]+Table1_217[[#This Row],[Comments]])/Table1_217[[#This Row],[Impressions]]</f>
        <v>0.86601941747572819</v>
      </c>
      <c r="R59" s="7">
        <f>Table1_217[[#This Row],[Likes]]+Table1_217[[#This Row],[Shares]]+Table1_217[[#This Row],[Comments]]</f>
        <v>892</v>
      </c>
      <c r="S59" s="8"/>
    </row>
    <row r="60" spans="1:19" x14ac:dyDescent="0.3">
      <c r="A60" t="s">
        <v>171</v>
      </c>
      <c r="B60" t="s">
        <v>33</v>
      </c>
      <c r="C60" s="6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  <c r="Q60" s="8">
        <f>(Table1_217[[#This Row],[Likes]]+Table1_217[[#This Row],[Shares]]+Table1_217[[#This Row],[Comments]])/Table1_217[[#This Row],[Impressions]]</f>
        <v>9.2726081258191345E-2</v>
      </c>
      <c r="R60" s="7">
        <f>Table1_217[[#This Row],[Likes]]+Table1_217[[#This Row],[Shares]]+Table1_217[[#This Row],[Comments]]</f>
        <v>2830</v>
      </c>
      <c r="S60" s="8"/>
    </row>
    <row r="61" spans="1:19" x14ac:dyDescent="0.3">
      <c r="A61" t="s">
        <v>173</v>
      </c>
      <c r="B61" t="s">
        <v>33</v>
      </c>
      <c r="C61" s="6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s="8">
        <f>(Table1_217[[#This Row],[Likes]]+Table1_217[[#This Row],[Shares]]+Table1_217[[#This Row],[Comments]])/Table1_217[[#This Row],[Impressions]]</f>
        <v>0.1650782845473111</v>
      </c>
      <c r="R61" s="7">
        <f>Table1_217[[#This Row],[Likes]]+Table1_217[[#This Row],[Shares]]+Table1_217[[#This Row],[Comments]]</f>
        <v>1940</v>
      </c>
      <c r="S61" s="8"/>
    </row>
    <row r="62" spans="1:19" x14ac:dyDescent="0.3">
      <c r="A62" t="s">
        <v>176</v>
      </c>
      <c r="B62" t="s">
        <v>14</v>
      </c>
      <c r="C62" s="6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  <c r="Q62" s="8">
        <f>(Table1_217[[#This Row],[Likes]]+Table1_217[[#This Row],[Shares]]+Table1_217[[#This Row],[Comments]])/Table1_217[[#This Row],[Impressions]]</f>
        <v>0.14276618001546368</v>
      </c>
      <c r="R62" s="7">
        <f>Table1_217[[#This Row],[Likes]]+Table1_217[[#This Row],[Shares]]+Table1_217[[#This Row],[Comments]]</f>
        <v>6278</v>
      </c>
      <c r="S62" s="8"/>
    </row>
    <row r="63" spans="1:19" x14ac:dyDescent="0.3">
      <c r="A63" t="s">
        <v>178</v>
      </c>
      <c r="B63" t="s">
        <v>14</v>
      </c>
      <c r="C63" s="6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  <c r="Q63" s="8">
        <f>(Table1_217[[#This Row],[Likes]]+Table1_217[[#This Row],[Shares]]+Table1_217[[#This Row],[Comments]])/Table1_217[[#This Row],[Impressions]]</f>
        <v>0.53773584905660377</v>
      </c>
      <c r="R63" s="7">
        <f>Table1_217[[#This Row],[Likes]]+Table1_217[[#This Row],[Shares]]+Table1_217[[#This Row],[Comments]]</f>
        <v>513</v>
      </c>
      <c r="S63" s="8"/>
    </row>
    <row r="64" spans="1:19" x14ac:dyDescent="0.3">
      <c r="A64" t="s">
        <v>180</v>
      </c>
      <c r="B64" t="s">
        <v>14</v>
      </c>
      <c r="C64" s="6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  <c r="Q64" s="8">
        <f>(Table1_217[[#This Row],[Likes]]+Table1_217[[#This Row],[Shares]]+Table1_217[[#This Row],[Comments]])/Table1_217[[#This Row],[Impressions]]</f>
        <v>5.2551586421122697E-2</v>
      </c>
      <c r="R64" s="7">
        <f>Table1_217[[#This Row],[Likes]]+Table1_217[[#This Row],[Shares]]+Table1_217[[#This Row],[Comments]]</f>
        <v>4737</v>
      </c>
      <c r="S64" s="8"/>
    </row>
    <row r="65" spans="1:19" x14ac:dyDescent="0.3">
      <c r="A65" t="s">
        <v>181</v>
      </c>
      <c r="B65" t="s">
        <v>43</v>
      </c>
      <c r="C65" s="6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  <c r="Q65" s="8">
        <f>(Table1_217[[#This Row],[Likes]]+Table1_217[[#This Row],[Shares]]+Table1_217[[#This Row],[Comments]])/Table1_217[[#This Row],[Impressions]]</f>
        <v>8.2047718322909427E-2</v>
      </c>
      <c r="R65" s="7">
        <f>Table1_217[[#This Row],[Likes]]+Table1_217[[#This Row],[Shares]]+Table1_217[[#This Row],[Comments]]</f>
        <v>3542</v>
      </c>
      <c r="S65" s="8"/>
    </row>
    <row r="66" spans="1:19" x14ac:dyDescent="0.3">
      <c r="A66" t="s">
        <v>183</v>
      </c>
      <c r="B66" t="s">
        <v>33</v>
      </c>
      <c r="C66" s="6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  <c r="Q66" s="8">
        <f>(Table1_217[[#This Row],[Likes]]+Table1_217[[#This Row],[Shares]]+Table1_217[[#This Row],[Comments]])/Table1_217[[#This Row],[Impressions]]</f>
        <v>0.11990720603160794</v>
      </c>
      <c r="R66" s="7">
        <f>Table1_217[[#This Row],[Likes]]+Table1_217[[#This Row],[Shares]]+Table1_217[[#This Row],[Comments]]</f>
        <v>2481</v>
      </c>
      <c r="S66" s="8"/>
    </row>
    <row r="67" spans="1:19" x14ac:dyDescent="0.3">
      <c r="A67" t="s">
        <v>185</v>
      </c>
      <c r="B67" t="s">
        <v>14</v>
      </c>
      <c r="C67" s="6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  <c r="Q67" s="8">
        <f>(Table1_217[[#This Row],[Likes]]+Table1_217[[#This Row],[Shares]]+Table1_217[[#This Row],[Comments]])/Table1_217[[#This Row],[Impressions]]</f>
        <v>0.29199735449735448</v>
      </c>
      <c r="R67" s="7">
        <f>Table1_217[[#This Row],[Likes]]+Table1_217[[#This Row],[Shares]]+Table1_217[[#This Row],[Comments]]</f>
        <v>883</v>
      </c>
      <c r="S67" s="8"/>
    </row>
    <row r="68" spans="1:19" x14ac:dyDescent="0.3">
      <c r="A68" t="s">
        <v>187</v>
      </c>
      <c r="B68" t="s">
        <v>43</v>
      </c>
      <c r="C68" s="6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  <c r="Q68" s="8">
        <f>(Table1_217[[#This Row],[Likes]]+Table1_217[[#This Row],[Shares]]+Table1_217[[#This Row],[Comments]])/Table1_217[[#This Row],[Impressions]]</f>
        <v>6.3749764195434822E-2</v>
      </c>
      <c r="R68" s="7">
        <f>Table1_217[[#This Row],[Likes]]+Table1_217[[#This Row],[Shares]]+Table1_217[[#This Row],[Comments]]</f>
        <v>5407</v>
      </c>
      <c r="S68" s="8"/>
    </row>
    <row r="69" spans="1:19" x14ac:dyDescent="0.3">
      <c r="A69" t="s">
        <v>189</v>
      </c>
      <c r="B69" t="s">
        <v>33</v>
      </c>
      <c r="C69" s="6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  <c r="Q69" s="8">
        <f>(Table1_217[[#This Row],[Likes]]+Table1_217[[#This Row],[Shares]]+Table1_217[[#This Row],[Comments]])/Table1_217[[#This Row],[Impressions]]</f>
        <v>0.19310344827586207</v>
      </c>
      <c r="R69" s="7">
        <f>Table1_217[[#This Row],[Likes]]+Table1_217[[#This Row],[Shares]]+Table1_217[[#This Row],[Comments]]</f>
        <v>3024</v>
      </c>
      <c r="S69" s="8"/>
    </row>
    <row r="70" spans="1:19" x14ac:dyDescent="0.3">
      <c r="A70" t="s">
        <v>191</v>
      </c>
      <c r="B70" t="s">
        <v>14</v>
      </c>
      <c r="C70" s="6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  <c r="Q70" s="8">
        <f>(Table1_217[[#This Row],[Likes]]+Table1_217[[#This Row],[Shares]]+Table1_217[[#This Row],[Comments]])/Table1_217[[#This Row],[Impressions]]</f>
        <v>9.3421052631578946E-2</v>
      </c>
      <c r="R70" s="7">
        <f>Table1_217[[#This Row],[Likes]]+Table1_217[[#This Row],[Shares]]+Table1_217[[#This Row],[Comments]]</f>
        <v>2414</v>
      </c>
      <c r="S70" s="8"/>
    </row>
    <row r="71" spans="1:19" x14ac:dyDescent="0.3">
      <c r="A71" t="s">
        <v>192</v>
      </c>
      <c r="B71" t="s">
        <v>43</v>
      </c>
      <c r="C71" s="6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  <c r="Q71" s="8">
        <f>(Table1_217[[#This Row],[Likes]]+Table1_217[[#This Row],[Shares]]+Table1_217[[#This Row],[Comments]])/Table1_217[[#This Row],[Impressions]]</f>
        <v>0.38274706867671693</v>
      </c>
      <c r="R71" s="7">
        <f>Table1_217[[#This Row],[Likes]]+Table1_217[[#This Row],[Shares]]+Table1_217[[#This Row],[Comments]]</f>
        <v>1371</v>
      </c>
      <c r="S71" s="8"/>
    </row>
    <row r="72" spans="1:19" x14ac:dyDescent="0.3">
      <c r="A72" t="s">
        <v>194</v>
      </c>
      <c r="B72" t="s">
        <v>27</v>
      </c>
      <c r="C72" s="6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  <c r="Q72" s="8">
        <f>(Table1_217[[#This Row],[Likes]]+Table1_217[[#This Row],[Shares]]+Table1_217[[#This Row],[Comments]])/Table1_217[[#This Row],[Impressions]]</f>
        <v>0.1199202926956749</v>
      </c>
      <c r="R72" s="7">
        <f>Table1_217[[#This Row],[Likes]]+Table1_217[[#This Row],[Shares]]+Table1_217[[#This Row],[Comments]]</f>
        <v>3671</v>
      </c>
      <c r="S72" s="8"/>
    </row>
    <row r="73" spans="1:19" x14ac:dyDescent="0.3">
      <c r="A73" t="s">
        <v>196</v>
      </c>
      <c r="B73" t="s">
        <v>27</v>
      </c>
      <c r="C73" s="6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  <c r="Q73" s="8">
        <f>(Table1_217[[#This Row],[Likes]]+Table1_217[[#This Row],[Shares]]+Table1_217[[#This Row],[Comments]])/Table1_217[[#This Row],[Impressions]]</f>
        <v>8.837126600284495E-2</v>
      </c>
      <c r="R73" s="7">
        <f>Table1_217[[#This Row],[Likes]]+Table1_217[[#This Row],[Shares]]+Table1_217[[#This Row],[Comments]]</f>
        <v>497</v>
      </c>
      <c r="S73" s="8"/>
    </row>
    <row r="74" spans="1:19" x14ac:dyDescent="0.3">
      <c r="A74" t="s">
        <v>198</v>
      </c>
      <c r="B74" t="s">
        <v>43</v>
      </c>
      <c r="C74" s="6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  <c r="Q74" s="8">
        <f>(Table1_217[[#This Row],[Likes]]+Table1_217[[#This Row],[Shares]]+Table1_217[[#This Row],[Comments]])/Table1_217[[#This Row],[Impressions]]</f>
        <v>6.4265122330790625E-2</v>
      </c>
      <c r="R74" s="7">
        <f>Table1_217[[#This Row],[Likes]]+Table1_217[[#This Row],[Shares]]+Table1_217[[#This Row],[Comments]]</f>
        <v>5038</v>
      </c>
      <c r="S74" s="8"/>
    </row>
    <row r="75" spans="1:19" x14ac:dyDescent="0.3">
      <c r="A75" t="s">
        <v>200</v>
      </c>
      <c r="B75" t="s">
        <v>27</v>
      </c>
      <c r="C75" s="6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  <c r="Q75" s="8">
        <f>(Table1_217[[#This Row],[Likes]]+Table1_217[[#This Row],[Shares]]+Table1_217[[#This Row],[Comments]])/Table1_217[[#This Row],[Impressions]]</f>
        <v>0.13351302785265048</v>
      </c>
      <c r="R75" s="7">
        <f>Table1_217[[#This Row],[Likes]]+Table1_217[[#This Row],[Shares]]+Table1_217[[#This Row],[Comments]]</f>
        <v>2229</v>
      </c>
      <c r="S75" s="8"/>
    </row>
    <row r="76" spans="1:19" x14ac:dyDescent="0.3">
      <c r="A76" t="s">
        <v>202</v>
      </c>
      <c r="B76" t="s">
        <v>33</v>
      </c>
      <c r="C76" s="6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  <c r="Q76" s="8">
        <f>(Table1_217[[#This Row],[Likes]]+Table1_217[[#This Row],[Shares]]+Table1_217[[#This Row],[Comments]])/Table1_217[[#This Row],[Impressions]]</f>
        <v>0.12131237937689551</v>
      </c>
      <c r="R76" s="7">
        <f>Table1_217[[#This Row],[Likes]]+Table1_217[[#This Row],[Shares]]+Table1_217[[#This Row],[Comments]]</f>
        <v>2640</v>
      </c>
      <c r="S76" s="8"/>
    </row>
    <row r="77" spans="1:19" x14ac:dyDescent="0.3">
      <c r="A77" t="s">
        <v>204</v>
      </c>
      <c r="B77" t="s">
        <v>14</v>
      </c>
      <c r="C77" s="6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  <c r="Q77" s="8">
        <f>(Table1_217[[#This Row],[Likes]]+Table1_217[[#This Row],[Shares]]+Table1_217[[#This Row],[Comments]])/Table1_217[[#This Row],[Impressions]]</f>
        <v>8.1177520071364848E-2</v>
      </c>
      <c r="R77" s="7">
        <f>Table1_217[[#This Row],[Likes]]+Table1_217[[#This Row],[Shares]]+Table1_217[[#This Row],[Comments]]</f>
        <v>1274</v>
      </c>
      <c r="S77" s="8"/>
    </row>
    <row r="78" spans="1:19" x14ac:dyDescent="0.3">
      <c r="A78" t="s">
        <v>206</v>
      </c>
      <c r="B78" t="s">
        <v>43</v>
      </c>
      <c r="C78" s="6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  <c r="Q78" s="8">
        <f>(Table1_217[[#This Row],[Likes]]+Table1_217[[#This Row],[Shares]]+Table1_217[[#This Row],[Comments]])/Table1_217[[#This Row],[Impressions]]</f>
        <v>0.20416333066453163</v>
      </c>
      <c r="R78" s="7">
        <f>Table1_217[[#This Row],[Likes]]+Table1_217[[#This Row],[Shares]]+Table1_217[[#This Row],[Comments]]</f>
        <v>1785</v>
      </c>
      <c r="S78" s="8"/>
    </row>
    <row r="79" spans="1:19" x14ac:dyDescent="0.3">
      <c r="A79" t="s">
        <v>207</v>
      </c>
      <c r="B79" t="s">
        <v>14</v>
      </c>
      <c r="C79" s="6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  <c r="Q79" s="8">
        <f>(Table1_217[[#This Row],[Likes]]+Table1_217[[#This Row],[Shares]]+Table1_217[[#This Row],[Comments]])/Table1_217[[#This Row],[Impressions]]</f>
        <v>8.2075471698113203E-2</v>
      </c>
      <c r="R79" s="7">
        <f>Table1_217[[#This Row],[Likes]]+Table1_217[[#This Row],[Shares]]+Table1_217[[#This Row],[Comments]]</f>
        <v>1566</v>
      </c>
      <c r="S79" s="8"/>
    </row>
    <row r="80" spans="1:19" x14ac:dyDescent="0.3">
      <c r="A80" t="s">
        <v>208</v>
      </c>
      <c r="B80" t="s">
        <v>33</v>
      </c>
      <c r="C80" s="6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  <c r="Q80" s="8">
        <f>(Table1_217[[#This Row],[Likes]]+Table1_217[[#This Row],[Shares]]+Table1_217[[#This Row],[Comments]])/Table1_217[[#This Row],[Impressions]]</f>
        <v>8.860696018453515E-2</v>
      </c>
      <c r="R80" s="7">
        <f>Table1_217[[#This Row],[Likes]]+Table1_217[[#This Row],[Shares]]+Table1_217[[#This Row],[Comments]]</f>
        <v>3534</v>
      </c>
      <c r="S80" s="8"/>
    </row>
    <row r="81" spans="1:19" x14ac:dyDescent="0.3">
      <c r="A81" t="s">
        <v>210</v>
      </c>
      <c r="B81" t="s">
        <v>33</v>
      </c>
      <c r="C81" s="6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  <c r="Q81" s="8">
        <f>(Table1_217[[#This Row],[Likes]]+Table1_217[[#This Row],[Shares]]+Table1_217[[#This Row],[Comments]])/Table1_217[[#This Row],[Impressions]]</f>
        <v>7.7533348349475686E-2</v>
      </c>
      <c r="R81" s="7">
        <f>Table1_217[[#This Row],[Likes]]+Table1_217[[#This Row],[Shares]]+Table1_217[[#This Row],[Comments]]</f>
        <v>3098</v>
      </c>
      <c r="S81" s="8"/>
    </row>
    <row r="82" spans="1:19" x14ac:dyDescent="0.3">
      <c r="A82" t="s">
        <v>211</v>
      </c>
      <c r="B82" t="s">
        <v>33</v>
      </c>
      <c r="C82" s="6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  <c r="Q82" s="8">
        <f>(Table1_217[[#This Row],[Likes]]+Table1_217[[#This Row],[Shares]]+Table1_217[[#This Row],[Comments]])/Table1_217[[#This Row],[Impressions]]</f>
        <v>9.4413295955146179E-2</v>
      </c>
      <c r="R82" s="7">
        <f>Table1_217[[#This Row],[Likes]]+Table1_217[[#This Row],[Shares]]+Table1_217[[#This Row],[Comments]]</f>
        <v>1886</v>
      </c>
      <c r="S82" s="8"/>
    </row>
    <row r="83" spans="1:19" x14ac:dyDescent="0.3">
      <c r="A83" t="s">
        <v>213</v>
      </c>
      <c r="B83" t="s">
        <v>33</v>
      </c>
      <c r="C83" s="6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s="8">
        <f>(Table1_217[[#This Row],[Likes]]+Table1_217[[#This Row],[Shares]]+Table1_217[[#This Row],[Comments]])/Table1_217[[#This Row],[Impressions]]</f>
        <v>8.558620689655172E-2</v>
      </c>
      <c r="R83" s="7">
        <f>Table1_217[[#This Row],[Likes]]+Table1_217[[#This Row],[Shares]]+Table1_217[[#This Row],[Comments]]</f>
        <v>1241</v>
      </c>
      <c r="S83" s="8"/>
    </row>
    <row r="84" spans="1:19" x14ac:dyDescent="0.3">
      <c r="A84" t="s">
        <v>217</v>
      </c>
      <c r="B84" t="s">
        <v>27</v>
      </c>
      <c r="C84" s="6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  <c r="Q84" s="8">
        <f>(Table1_217[[#This Row],[Likes]]+Table1_217[[#This Row],[Shares]]+Table1_217[[#This Row],[Comments]])/Table1_217[[#This Row],[Impressions]]</f>
        <v>0.16118220597196831</v>
      </c>
      <c r="R84" s="7">
        <f>Table1_217[[#This Row],[Likes]]+Table1_217[[#This Row],[Shares]]+Table1_217[[#This Row],[Comments]]</f>
        <v>1587</v>
      </c>
      <c r="S84" s="8"/>
    </row>
    <row r="85" spans="1:19" x14ac:dyDescent="0.3">
      <c r="A85" t="s">
        <v>220</v>
      </c>
      <c r="B85" t="s">
        <v>43</v>
      </c>
      <c r="C85" s="6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  <c r="Q85" s="8">
        <f>(Table1_217[[#This Row],[Likes]]+Table1_217[[#This Row],[Shares]]+Table1_217[[#This Row],[Comments]])/Table1_217[[#This Row],[Impressions]]</f>
        <v>8.6737756939878216E-2</v>
      </c>
      <c r="R85" s="7">
        <f>Table1_217[[#This Row],[Likes]]+Table1_217[[#This Row],[Shares]]+Table1_217[[#This Row],[Comments]]</f>
        <v>3034</v>
      </c>
      <c r="S85" s="8"/>
    </row>
    <row r="86" spans="1:19" x14ac:dyDescent="0.3">
      <c r="A86" t="s">
        <v>222</v>
      </c>
      <c r="B86" t="s">
        <v>33</v>
      </c>
      <c r="C86" s="6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  <c r="Q86" s="8">
        <f>(Table1_217[[#This Row],[Likes]]+Table1_217[[#This Row],[Shares]]+Table1_217[[#This Row],[Comments]])/Table1_217[[#This Row],[Impressions]]</f>
        <v>0.19156491900087783</v>
      </c>
      <c r="R86" s="7">
        <f>Table1_217[[#This Row],[Likes]]+Table1_217[[#This Row],[Shares]]+Table1_217[[#This Row],[Comments]]</f>
        <v>4801</v>
      </c>
      <c r="S86" s="8"/>
    </row>
    <row r="87" spans="1:19" x14ac:dyDescent="0.3">
      <c r="A87" t="s">
        <v>223</v>
      </c>
      <c r="B87" t="s">
        <v>27</v>
      </c>
      <c r="C87" s="6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  <c r="Q87" s="8">
        <f>(Table1_217[[#This Row],[Likes]]+Table1_217[[#This Row],[Shares]]+Table1_217[[#This Row],[Comments]])/Table1_217[[#This Row],[Impressions]]</f>
        <v>6.5515821264328367E-2</v>
      </c>
      <c r="R87" s="7">
        <f>Table1_217[[#This Row],[Likes]]+Table1_217[[#This Row],[Shares]]+Table1_217[[#This Row],[Comments]]</f>
        <v>3818</v>
      </c>
      <c r="S87" s="8"/>
    </row>
    <row r="88" spans="1:19" x14ac:dyDescent="0.3">
      <c r="A88" t="s">
        <v>225</v>
      </c>
      <c r="B88" t="s">
        <v>14</v>
      </c>
      <c r="C88" s="6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  <c r="Q88" s="8">
        <f>(Table1_217[[#This Row],[Likes]]+Table1_217[[#This Row],[Shares]]+Table1_217[[#This Row],[Comments]])/Table1_217[[#This Row],[Impressions]]</f>
        <v>0.20868152274837512</v>
      </c>
      <c r="R88" s="7">
        <f>Table1_217[[#This Row],[Likes]]+Table1_217[[#This Row],[Shares]]+Table1_217[[#This Row],[Comments]]</f>
        <v>2697</v>
      </c>
      <c r="S88" s="8"/>
    </row>
    <row r="89" spans="1:19" x14ac:dyDescent="0.3">
      <c r="A89" t="s">
        <v>227</v>
      </c>
      <c r="B89" t="s">
        <v>43</v>
      </c>
      <c r="C89" s="6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  <c r="Q89" s="8">
        <f>(Table1_217[[#This Row],[Likes]]+Table1_217[[#This Row],[Shares]]+Table1_217[[#This Row],[Comments]])/Table1_217[[#This Row],[Impressions]]</f>
        <v>0.13576158940397351</v>
      </c>
      <c r="R89" s="7">
        <f>Table1_217[[#This Row],[Likes]]+Table1_217[[#This Row],[Shares]]+Table1_217[[#This Row],[Comments]]</f>
        <v>779</v>
      </c>
      <c r="S89" s="8"/>
    </row>
    <row r="90" spans="1:19" x14ac:dyDescent="0.3">
      <c r="A90" t="s">
        <v>229</v>
      </c>
      <c r="B90" t="s">
        <v>14</v>
      </c>
      <c r="C90" s="6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  <c r="Q90" s="8">
        <f>(Table1_217[[#This Row],[Likes]]+Table1_217[[#This Row],[Shares]]+Table1_217[[#This Row],[Comments]])/Table1_217[[#This Row],[Impressions]]</f>
        <v>0.16873144921925409</v>
      </c>
      <c r="R90" s="7">
        <f>Table1_217[[#This Row],[Likes]]+Table1_217[[#This Row],[Shares]]+Table1_217[[#This Row],[Comments]]</f>
        <v>2615</v>
      </c>
      <c r="S90" s="8"/>
    </row>
    <row r="91" spans="1:19" x14ac:dyDescent="0.3">
      <c r="A91" t="s">
        <v>231</v>
      </c>
      <c r="B91" t="s">
        <v>33</v>
      </c>
      <c r="C91" s="6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  <c r="Q91" s="8">
        <f>(Table1_217[[#This Row],[Likes]]+Table1_217[[#This Row],[Shares]]+Table1_217[[#This Row],[Comments]])/Table1_217[[#This Row],[Impressions]]</f>
        <v>7.0822181933293038E-2</v>
      </c>
      <c r="R91" s="7">
        <f>Table1_217[[#This Row],[Likes]]+Table1_217[[#This Row],[Shares]]+Table1_217[[#This Row],[Comments]]</f>
        <v>4922</v>
      </c>
      <c r="S91" s="8"/>
    </row>
    <row r="92" spans="1:19" x14ac:dyDescent="0.3">
      <c r="A92" t="s">
        <v>233</v>
      </c>
      <c r="B92" t="s">
        <v>43</v>
      </c>
      <c r="C92" s="6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  <c r="Q92" s="8">
        <f>(Table1_217[[#This Row],[Likes]]+Table1_217[[#This Row],[Shares]]+Table1_217[[#This Row],[Comments]])/Table1_217[[#This Row],[Impressions]]</f>
        <v>7.984956452889945E-2</v>
      </c>
      <c r="R92" s="7">
        <f>Table1_217[[#This Row],[Likes]]+Table1_217[[#This Row],[Shares]]+Table1_217[[#This Row],[Comments]]</f>
        <v>2017</v>
      </c>
      <c r="S92" s="8"/>
    </row>
    <row r="93" spans="1:19" x14ac:dyDescent="0.3">
      <c r="A93" t="s">
        <v>235</v>
      </c>
      <c r="B93" t="s">
        <v>14</v>
      </c>
      <c r="C93" s="6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  <c r="Q93" s="8">
        <f>(Table1_217[[#This Row],[Likes]]+Table1_217[[#This Row],[Shares]]+Table1_217[[#This Row],[Comments]])/Table1_217[[#This Row],[Impressions]]</f>
        <v>0.13599052880820836</v>
      </c>
      <c r="R93" s="7">
        <f>Table1_217[[#This Row],[Likes]]+Table1_217[[#This Row],[Shares]]+Table1_217[[#This Row],[Comments]]</f>
        <v>5169</v>
      </c>
      <c r="S93" s="8"/>
    </row>
    <row r="94" spans="1:19" x14ac:dyDescent="0.3">
      <c r="A94" t="s">
        <v>236</v>
      </c>
      <c r="B94" t="s">
        <v>33</v>
      </c>
      <c r="C94" s="6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  <c r="Q94" s="8">
        <f>(Table1_217[[#This Row],[Likes]]+Table1_217[[#This Row],[Shares]]+Table1_217[[#This Row],[Comments]])/Table1_217[[#This Row],[Impressions]]</f>
        <v>0.28045655718611695</v>
      </c>
      <c r="R94" s="7">
        <f>Table1_217[[#This Row],[Likes]]+Table1_217[[#This Row],[Shares]]+Table1_217[[#This Row],[Comments]]</f>
        <v>2408</v>
      </c>
      <c r="S94" s="8"/>
    </row>
    <row r="95" spans="1:19" x14ac:dyDescent="0.3">
      <c r="A95" t="s">
        <v>238</v>
      </c>
      <c r="B95" t="s">
        <v>33</v>
      </c>
      <c r="C95" s="6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  <c r="Q95" s="8">
        <f>(Table1_217[[#This Row],[Likes]]+Table1_217[[#This Row],[Shares]]+Table1_217[[#This Row],[Comments]])/Table1_217[[#This Row],[Impressions]]</f>
        <v>0.16843866371633656</v>
      </c>
      <c r="R95" s="7">
        <f>Table1_217[[#This Row],[Likes]]+Table1_217[[#This Row],[Shares]]+Table1_217[[#This Row],[Comments]]</f>
        <v>3121</v>
      </c>
      <c r="S95" s="8"/>
    </row>
    <row r="96" spans="1:19" x14ac:dyDescent="0.3">
      <c r="A96" t="s">
        <v>239</v>
      </c>
      <c r="B96" t="s">
        <v>33</v>
      </c>
      <c r="C96" s="6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  <c r="Q96" s="8">
        <f>(Table1_217[[#This Row],[Likes]]+Table1_217[[#This Row],[Shares]]+Table1_217[[#This Row],[Comments]])/Table1_217[[#This Row],[Impressions]]</f>
        <v>6.8108806480899509E-2</v>
      </c>
      <c r="R96" s="7">
        <f>Table1_217[[#This Row],[Likes]]+Table1_217[[#This Row],[Shares]]+Table1_217[[#This Row],[Comments]]</f>
        <v>3901</v>
      </c>
      <c r="S96" s="8"/>
    </row>
    <row r="97" spans="1:19" x14ac:dyDescent="0.3">
      <c r="A97" t="s">
        <v>241</v>
      </c>
      <c r="B97" t="s">
        <v>14</v>
      </c>
      <c r="C97" s="6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  <c r="Q97" s="8">
        <f>(Table1_217[[#This Row],[Likes]]+Table1_217[[#This Row],[Shares]]+Table1_217[[#This Row],[Comments]])/Table1_217[[#This Row],[Impressions]]</f>
        <v>0.10339256865912763</v>
      </c>
      <c r="R97" s="7">
        <f>Table1_217[[#This Row],[Likes]]+Table1_217[[#This Row],[Shares]]+Table1_217[[#This Row],[Comments]]</f>
        <v>2048</v>
      </c>
      <c r="S97" s="8"/>
    </row>
    <row r="98" spans="1:19" x14ac:dyDescent="0.3">
      <c r="A98" t="s">
        <v>243</v>
      </c>
      <c r="B98" t="s">
        <v>33</v>
      </c>
      <c r="C98" s="6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  <c r="Q98" s="8">
        <f>(Table1_217[[#This Row],[Likes]]+Table1_217[[#This Row],[Shares]]+Table1_217[[#This Row],[Comments]])/Table1_217[[#This Row],[Impressions]]</f>
        <v>8.7668609086629767E-2</v>
      </c>
      <c r="R98" s="7">
        <f>Table1_217[[#This Row],[Likes]]+Table1_217[[#This Row],[Shares]]+Table1_217[[#This Row],[Comments]]</f>
        <v>5401</v>
      </c>
      <c r="S98" s="8"/>
    </row>
    <row r="99" spans="1:19" x14ac:dyDescent="0.3">
      <c r="A99" t="s">
        <v>245</v>
      </c>
      <c r="B99" t="s">
        <v>14</v>
      </c>
      <c r="C99" s="6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  <c r="Q99" s="8">
        <f>(Table1_217[[#This Row],[Likes]]+Table1_217[[#This Row],[Shares]]+Table1_217[[#This Row],[Comments]])/Table1_217[[#This Row],[Impressions]]</f>
        <v>0.11238095238095239</v>
      </c>
      <c r="R99" s="7">
        <f>Table1_217[[#This Row],[Likes]]+Table1_217[[#This Row],[Shares]]+Table1_217[[#This Row],[Comments]]</f>
        <v>2832</v>
      </c>
      <c r="S99" s="8"/>
    </row>
    <row r="100" spans="1:19" x14ac:dyDescent="0.3">
      <c r="A100" t="s">
        <v>246</v>
      </c>
      <c r="B100" t="s">
        <v>27</v>
      </c>
      <c r="C100" s="6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  <c r="Q100" s="8">
        <f>(Table1_217[[#This Row],[Likes]]+Table1_217[[#This Row],[Shares]]+Table1_217[[#This Row],[Comments]])/Table1_217[[#This Row],[Impressions]]</f>
        <v>7.2000119875329657E-2</v>
      </c>
      <c r="R100" s="7">
        <f>Table1_217[[#This Row],[Likes]]+Table1_217[[#This Row],[Shares]]+Table1_217[[#This Row],[Comments]]</f>
        <v>4805</v>
      </c>
      <c r="S100" s="8"/>
    </row>
    <row r="101" spans="1:19" x14ac:dyDescent="0.3">
      <c r="A101" t="s">
        <v>248</v>
      </c>
      <c r="B101" t="s">
        <v>27</v>
      </c>
      <c r="C101" s="6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  <c r="Q101" s="8">
        <f>(Table1_217[[#This Row],[Likes]]+Table1_217[[#This Row],[Shares]]+Table1_217[[#This Row],[Comments]])/Table1_217[[#This Row],[Impressions]]</f>
        <v>9.2298980747451867E-2</v>
      </c>
      <c r="R101" s="7">
        <f>Table1_217[[#This Row],[Likes]]+Table1_217[[#This Row],[Shares]]+Table1_217[[#This Row],[Comments]]</f>
        <v>2282</v>
      </c>
      <c r="S101" s="8"/>
    </row>
    <row r="102" spans="1:19" x14ac:dyDescent="0.3">
      <c r="A102" t="s">
        <v>250</v>
      </c>
      <c r="B102" t="s">
        <v>27</v>
      </c>
      <c r="C102" s="6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  <c r="Q102" s="8">
        <f>(Table1_217[[#This Row],[Likes]]+Table1_217[[#This Row],[Shares]]+Table1_217[[#This Row],[Comments]])/Table1_217[[#This Row],[Impressions]]</f>
        <v>7.3707865168539333E-2</v>
      </c>
      <c r="R102" s="7">
        <f>Table1_217[[#This Row],[Likes]]+Table1_217[[#This Row],[Shares]]+Table1_217[[#This Row],[Comments]]</f>
        <v>5576</v>
      </c>
      <c r="S102" s="8"/>
    </row>
    <row r="103" spans="1:19" x14ac:dyDescent="0.3">
      <c r="A103" t="s">
        <v>251</v>
      </c>
      <c r="B103" t="s">
        <v>14</v>
      </c>
      <c r="C103" s="6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  <c r="Q103" s="8">
        <f>(Table1_217[[#This Row],[Likes]]+Table1_217[[#This Row],[Shares]]+Table1_217[[#This Row],[Comments]])/Table1_217[[#This Row],[Impressions]]</f>
        <v>0.35666666666666669</v>
      </c>
      <c r="R103" s="7">
        <f>Table1_217[[#This Row],[Likes]]+Table1_217[[#This Row],[Shares]]+Table1_217[[#This Row],[Comments]]</f>
        <v>2140</v>
      </c>
      <c r="S103" s="8"/>
    </row>
    <row r="104" spans="1:19" x14ac:dyDescent="0.3">
      <c r="A104" t="s">
        <v>253</v>
      </c>
      <c r="B104" t="s">
        <v>43</v>
      </c>
      <c r="C104" s="6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  <c r="Q104" s="8">
        <f>(Table1_217[[#This Row],[Likes]]+Table1_217[[#This Row],[Shares]]+Table1_217[[#This Row],[Comments]])/Table1_217[[#This Row],[Impressions]]</f>
        <v>9.9632815002833983E-2</v>
      </c>
      <c r="R104" s="7">
        <f>Table1_217[[#This Row],[Likes]]+Table1_217[[#This Row],[Shares]]+Table1_217[[#This Row],[Comments]]</f>
        <v>4043</v>
      </c>
      <c r="S104" s="8"/>
    </row>
    <row r="105" spans="1:19" x14ac:dyDescent="0.3">
      <c r="A105" t="s">
        <v>255</v>
      </c>
      <c r="B105" t="s">
        <v>27</v>
      </c>
      <c r="C105" s="6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  <c r="Q105" s="8">
        <f>(Table1_217[[#This Row],[Likes]]+Table1_217[[#This Row],[Shares]]+Table1_217[[#This Row],[Comments]])/Table1_217[[#This Row],[Impressions]]</f>
        <v>0.13707250341997265</v>
      </c>
      <c r="R105" s="7">
        <f>Table1_217[[#This Row],[Likes]]+Table1_217[[#This Row],[Shares]]+Table1_217[[#This Row],[Comments]]</f>
        <v>4509</v>
      </c>
      <c r="S105" s="8"/>
    </row>
    <row r="106" spans="1:19" x14ac:dyDescent="0.3">
      <c r="A106" t="s">
        <v>257</v>
      </c>
      <c r="B106" t="s">
        <v>33</v>
      </c>
      <c r="C106" s="6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  <c r="Q106" s="8">
        <f>(Table1_217[[#This Row],[Likes]]+Table1_217[[#This Row],[Shares]]+Table1_217[[#This Row],[Comments]])/Table1_217[[#This Row],[Impressions]]</f>
        <v>0.12896028558679162</v>
      </c>
      <c r="R106" s="7">
        <f>Table1_217[[#This Row],[Likes]]+Table1_217[[#This Row],[Shares]]+Table1_217[[#This Row],[Comments]]</f>
        <v>578</v>
      </c>
      <c r="S106" s="8"/>
    </row>
    <row r="107" spans="1:19" x14ac:dyDescent="0.3">
      <c r="A107" t="s">
        <v>259</v>
      </c>
      <c r="B107" t="s">
        <v>33</v>
      </c>
      <c r="C107" s="6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  <c r="Q107" s="8">
        <f>(Table1_217[[#This Row],[Likes]]+Table1_217[[#This Row],[Shares]]+Table1_217[[#This Row],[Comments]])/Table1_217[[#This Row],[Impressions]]</f>
        <v>8.5718409468138843E-2</v>
      </c>
      <c r="R107" s="7">
        <f>Table1_217[[#This Row],[Likes]]+Table1_217[[#This Row],[Shares]]+Table1_217[[#This Row],[Comments]]</f>
        <v>5939</v>
      </c>
      <c r="S107" s="8"/>
    </row>
    <row r="108" spans="1:19" x14ac:dyDescent="0.3">
      <c r="A108" t="s">
        <v>261</v>
      </c>
      <c r="B108" t="s">
        <v>27</v>
      </c>
      <c r="C108" s="6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  <c r="Q108" s="8">
        <f>(Table1_217[[#This Row],[Likes]]+Table1_217[[#This Row],[Shares]]+Table1_217[[#This Row],[Comments]])/Table1_217[[#This Row],[Impressions]]</f>
        <v>6.2467323109097243E-2</v>
      </c>
      <c r="R108" s="7">
        <f>Table1_217[[#This Row],[Likes]]+Table1_217[[#This Row],[Shares]]+Table1_217[[#This Row],[Comments]]</f>
        <v>5735</v>
      </c>
      <c r="S108" s="8"/>
    </row>
    <row r="109" spans="1:19" x14ac:dyDescent="0.3">
      <c r="A109" t="s">
        <v>263</v>
      </c>
      <c r="B109" t="s">
        <v>14</v>
      </c>
      <c r="C109" s="6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  <c r="Q109" s="8">
        <f>(Table1_217[[#This Row],[Likes]]+Table1_217[[#This Row],[Shares]]+Table1_217[[#This Row],[Comments]])/Table1_217[[#This Row],[Impressions]]</f>
        <v>0.10005698005698006</v>
      </c>
      <c r="R109" s="7">
        <f>Table1_217[[#This Row],[Likes]]+Table1_217[[#This Row],[Shares]]+Table1_217[[#This Row],[Comments]]</f>
        <v>5268</v>
      </c>
      <c r="S109" s="8"/>
    </row>
    <row r="110" spans="1:19" x14ac:dyDescent="0.3">
      <c r="A110" t="s">
        <v>265</v>
      </c>
      <c r="B110" t="s">
        <v>14</v>
      </c>
      <c r="C110" s="6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  <c r="Q110" s="8">
        <f>(Table1_217[[#This Row],[Likes]]+Table1_217[[#This Row],[Shares]]+Table1_217[[#This Row],[Comments]])/Table1_217[[#This Row],[Impressions]]</f>
        <v>0.16744313510550835</v>
      </c>
      <c r="R110" s="7">
        <f>Table1_217[[#This Row],[Likes]]+Table1_217[[#This Row],[Shares]]+Table1_217[[#This Row],[Comments]]</f>
        <v>4277</v>
      </c>
      <c r="S110" s="8"/>
    </row>
    <row r="111" spans="1:19" x14ac:dyDescent="0.3">
      <c r="A111" t="s">
        <v>267</v>
      </c>
      <c r="B111" t="s">
        <v>33</v>
      </c>
      <c r="C111" s="6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  <c r="Q111" s="8">
        <f>(Table1_217[[#This Row],[Likes]]+Table1_217[[#This Row],[Shares]]+Table1_217[[#This Row],[Comments]])/Table1_217[[#This Row],[Impressions]]</f>
        <v>0.12277759141227776</v>
      </c>
      <c r="R111" s="7">
        <f>Table1_217[[#This Row],[Likes]]+Table1_217[[#This Row],[Shares]]+Table1_217[[#This Row],[Comments]]</f>
        <v>4758</v>
      </c>
      <c r="S111" s="8"/>
    </row>
    <row r="112" spans="1:19" x14ac:dyDescent="0.3">
      <c r="A112" t="s">
        <v>269</v>
      </c>
      <c r="B112" t="s">
        <v>27</v>
      </c>
      <c r="C112" s="6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  <c r="Q112" s="8">
        <f>(Table1_217[[#This Row],[Likes]]+Table1_217[[#This Row],[Shares]]+Table1_217[[#This Row],[Comments]])/Table1_217[[#This Row],[Impressions]]</f>
        <v>7.4071349760941527E-2</v>
      </c>
      <c r="R112" s="7">
        <f>Table1_217[[#This Row],[Likes]]+Table1_217[[#This Row],[Shares]]+Table1_217[[#This Row],[Comments]]</f>
        <v>3021</v>
      </c>
      <c r="S112" s="8"/>
    </row>
    <row r="113" spans="1:19" x14ac:dyDescent="0.3">
      <c r="A113" t="s">
        <v>271</v>
      </c>
      <c r="B113" t="s">
        <v>14</v>
      </c>
      <c r="C113" s="6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  <c r="Q113" s="8">
        <f>(Table1_217[[#This Row],[Likes]]+Table1_217[[#This Row],[Shares]]+Table1_217[[#This Row],[Comments]])/Table1_217[[#This Row],[Impressions]]</f>
        <v>0.17441662408448305</v>
      </c>
      <c r="R113" s="7">
        <f>Table1_217[[#This Row],[Likes]]+Table1_217[[#This Row],[Shares]]+Table1_217[[#This Row],[Comments]]</f>
        <v>3072</v>
      </c>
      <c r="S113" s="8"/>
    </row>
    <row r="114" spans="1:19" x14ac:dyDescent="0.3">
      <c r="A114" t="s">
        <v>273</v>
      </c>
      <c r="B114" t="s">
        <v>14</v>
      </c>
      <c r="C114" s="6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  <c r="Q114" s="8">
        <f>(Table1_217[[#This Row],[Likes]]+Table1_217[[#This Row],[Shares]]+Table1_217[[#This Row],[Comments]])/Table1_217[[#This Row],[Impressions]]</f>
        <v>0.11369088028965829</v>
      </c>
      <c r="R114" s="7">
        <f>Table1_217[[#This Row],[Likes]]+Table1_217[[#This Row],[Shares]]+Table1_217[[#This Row],[Comments]]</f>
        <v>5024</v>
      </c>
      <c r="S114" s="8"/>
    </row>
    <row r="115" spans="1:19" x14ac:dyDescent="0.3">
      <c r="A115" t="s">
        <v>275</v>
      </c>
      <c r="B115" t="s">
        <v>14</v>
      </c>
      <c r="C115" s="6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  <c r="Q115" s="8">
        <f>(Table1_217[[#This Row],[Likes]]+Table1_217[[#This Row],[Shares]]+Table1_217[[#This Row],[Comments]])/Table1_217[[#This Row],[Impressions]]</f>
        <v>0.12942500000000001</v>
      </c>
      <c r="R115" s="7">
        <f>Table1_217[[#This Row],[Likes]]+Table1_217[[#This Row],[Shares]]+Table1_217[[#This Row],[Comments]]</f>
        <v>5177</v>
      </c>
      <c r="S115" s="8"/>
    </row>
    <row r="116" spans="1:19" x14ac:dyDescent="0.3">
      <c r="A116" t="s">
        <v>277</v>
      </c>
      <c r="B116" t="s">
        <v>14</v>
      </c>
      <c r="C116" s="6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  <c r="Q116" s="8">
        <f>(Table1_217[[#This Row],[Likes]]+Table1_217[[#This Row],[Shares]]+Table1_217[[#This Row],[Comments]])/Table1_217[[#This Row],[Impressions]]</f>
        <v>6.2150491965739366E-2</v>
      </c>
      <c r="R116" s="7">
        <f>Table1_217[[#This Row],[Likes]]+Table1_217[[#This Row],[Shares]]+Table1_217[[#This Row],[Comments]]</f>
        <v>2634</v>
      </c>
      <c r="S116" s="8"/>
    </row>
    <row r="117" spans="1:19" x14ac:dyDescent="0.3">
      <c r="A117" t="s">
        <v>279</v>
      </c>
      <c r="B117" t="s">
        <v>27</v>
      </c>
      <c r="C117" s="6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  <c r="Q117" s="8">
        <f>(Table1_217[[#This Row],[Likes]]+Table1_217[[#This Row],[Shares]]+Table1_217[[#This Row],[Comments]])/Table1_217[[#This Row],[Impressions]]</f>
        <v>0.16769515581610614</v>
      </c>
      <c r="R117" s="7">
        <f>Table1_217[[#This Row],[Likes]]+Table1_217[[#This Row],[Shares]]+Table1_217[[#This Row],[Comments]]</f>
        <v>4348</v>
      </c>
      <c r="S117" s="8"/>
    </row>
    <row r="118" spans="1:19" x14ac:dyDescent="0.3">
      <c r="A118" t="s">
        <v>281</v>
      </c>
      <c r="B118" t="s">
        <v>14</v>
      </c>
      <c r="C118" s="6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  <c r="Q118" s="8">
        <f>(Table1_217[[#This Row],[Likes]]+Table1_217[[#This Row],[Shares]]+Table1_217[[#This Row],[Comments]])/Table1_217[[#This Row],[Impressions]]</f>
        <v>0.11792317271769326</v>
      </c>
      <c r="R118" s="7">
        <f>Table1_217[[#This Row],[Likes]]+Table1_217[[#This Row],[Shares]]+Table1_217[[#This Row],[Comments]]</f>
        <v>2462</v>
      </c>
      <c r="S118" s="8"/>
    </row>
    <row r="119" spans="1:19" x14ac:dyDescent="0.3">
      <c r="A119" t="s">
        <v>283</v>
      </c>
      <c r="B119" t="s">
        <v>43</v>
      </c>
      <c r="C119" s="6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  <c r="Q119" s="8">
        <f>(Table1_217[[#This Row],[Likes]]+Table1_217[[#This Row],[Shares]]+Table1_217[[#This Row],[Comments]])/Table1_217[[#This Row],[Impressions]]</f>
        <v>8.0158206987475278E-2</v>
      </c>
      <c r="R119" s="7">
        <f>Table1_217[[#This Row],[Likes]]+Table1_217[[#This Row],[Shares]]+Table1_217[[#This Row],[Comments]]</f>
        <v>5472</v>
      </c>
      <c r="S119" s="8"/>
    </row>
    <row r="120" spans="1:19" x14ac:dyDescent="0.3">
      <c r="A120" t="s">
        <v>284</v>
      </c>
      <c r="B120" t="s">
        <v>33</v>
      </c>
      <c r="C120" s="6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  <c r="Q120" s="8">
        <f>(Table1_217[[#This Row],[Likes]]+Table1_217[[#This Row],[Shares]]+Table1_217[[#This Row],[Comments]])/Table1_217[[#This Row],[Impressions]]</f>
        <v>0.31705583756345179</v>
      </c>
      <c r="R120" s="7">
        <f>Table1_217[[#This Row],[Likes]]+Table1_217[[#This Row],[Shares]]+Table1_217[[#This Row],[Comments]]</f>
        <v>3123</v>
      </c>
      <c r="S120" s="8"/>
    </row>
    <row r="121" spans="1:19" x14ac:dyDescent="0.3">
      <c r="A121" t="s">
        <v>286</v>
      </c>
      <c r="B121" t="s">
        <v>43</v>
      </c>
      <c r="C121" s="6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  <c r="Q121" s="8">
        <f>(Table1_217[[#This Row],[Likes]]+Table1_217[[#This Row],[Shares]]+Table1_217[[#This Row],[Comments]])/Table1_217[[#This Row],[Impressions]]</f>
        <v>0.23414918414918415</v>
      </c>
      <c r="R121" s="7">
        <f>Table1_217[[#This Row],[Likes]]+Table1_217[[#This Row],[Shares]]+Table1_217[[#This Row],[Comments]]</f>
        <v>2009</v>
      </c>
      <c r="S121" s="8"/>
    </row>
    <row r="122" spans="1:19" x14ac:dyDescent="0.3">
      <c r="A122" t="s">
        <v>287</v>
      </c>
      <c r="B122" t="s">
        <v>33</v>
      </c>
      <c r="C122" s="6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  <c r="Q122" s="8">
        <f>(Table1_217[[#This Row],[Likes]]+Table1_217[[#This Row],[Shares]]+Table1_217[[#This Row],[Comments]])/Table1_217[[#This Row],[Impressions]]</f>
        <v>0.32349397590361445</v>
      </c>
      <c r="R122" s="7">
        <f>Table1_217[[#This Row],[Likes]]+Table1_217[[#This Row],[Shares]]+Table1_217[[#This Row],[Comments]]</f>
        <v>1611</v>
      </c>
      <c r="S122" s="8"/>
    </row>
    <row r="123" spans="1:19" x14ac:dyDescent="0.3">
      <c r="A123" t="s">
        <v>288</v>
      </c>
      <c r="B123" t="s">
        <v>33</v>
      </c>
      <c r="C123" s="6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  <c r="Q123" s="8">
        <f>(Table1_217[[#This Row],[Likes]]+Table1_217[[#This Row],[Shares]]+Table1_217[[#This Row],[Comments]])/Table1_217[[#This Row],[Impressions]]</f>
        <v>8.0565268065268064E-2</v>
      </c>
      <c r="R123" s="7">
        <f>Table1_217[[#This Row],[Likes]]+Table1_217[[#This Row],[Shares]]+Table1_217[[#This Row],[Comments]]</f>
        <v>4424</v>
      </c>
      <c r="S123" s="8"/>
    </row>
    <row r="124" spans="1:19" x14ac:dyDescent="0.3">
      <c r="A124" t="s">
        <v>289</v>
      </c>
      <c r="B124" t="s">
        <v>33</v>
      </c>
      <c r="C124" s="6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  <c r="Q124" s="8">
        <f>(Table1_217[[#This Row],[Likes]]+Table1_217[[#This Row],[Shares]]+Table1_217[[#This Row],[Comments]])/Table1_217[[#This Row],[Impressions]]</f>
        <v>0.23616777446710979</v>
      </c>
      <c r="R124" s="7">
        <f>Table1_217[[#This Row],[Likes]]+Table1_217[[#This Row],[Shares]]+Table1_217[[#This Row],[Comments]]</f>
        <v>5152</v>
      </c>
      <c r="S124" s="8"/>
    </row>
    <row r="125" spans="1:19" x14ac:dyDescent="0.3">
      <c r="A125" t="s">
        <v>290</v>
      </c>
      <c r="B125" t="s">
        <v>27</v>
      </c>
      <c r="C125" s="6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  <c r="Q125" s="8">
        <f>(Table1_217[[#This Row],[Likes]]+Table1_217[[#This Row],[Shares]]+Table1_217[[#This Row],[Comments]])/Table1_217[[#This Row],[Impressions]]</f>
        <v>0.33618012422360249</v>
      </c>
      <c r="R125" s="7">
        <f>Table1_217[[#This Row],[Likes]]+Table1_217[[#This Row],[Shares]]+Table1_217[[#This Row],[Comments]]</f>
        <v>1732</v>
      </c>
      <c r="S125" s="8"/>
    </row>
    <row r="126" spans="1:19" x14ac:dyDescent="0.3">
      <c r="A126" t="s">
        <v>292</v>
      </c>
      <c r="B126" t="s">
        <v>14</v>
      </c>
      <c r="C126" s="6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  <c r="Q126" s="8">
        <f>(Table1_217[[#This Row],[Likes]]+Table1_217[[#This Row],[Shares]]+Table1_217[[#This Row],[Comments]])/Table1_217[[#This Row],[Impressions]]</f>
        <v>0.14265722032712325</v>
      </c>
      <c r="R126" s="7">
        <f>Table1_217[[#This Row],[Likes]]+Table1_217[[#This Row],[Shares]]+Table1_217[[#This Row],[Comments]]</f>
        <v>4893</v>
      </c>
      <c r="S126" s="8"/>
    </row>
    <row r="127" spans="1:19" x14ac:dyDescent="0.3">
      <c r="A127" t="s">
        <v>294</v>
      </c>
      <c r="B127" t="s">
        <v>33</v>
      </c>
      <c r="C127" s="6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  <c r="Q127" s="8">
        <f>(Table1_217[[#This Row],[Likes]]+Table1_217[[#This Row],[Shares]]+Table1_217[[#This Row],[Comments]])/Table1_217[[#This Row],[Impressions]]</f>
        <v>9.9829463465827106E-2</v>
      </c>
      <c r="R127" s="7">
        <f>Table1_217[[#This Row],[Likes]]+Table1_217[[#This Row],[Shares]]+Table1_217[[#This Row],[Comments]]</f>
        <v>4566</v>
      </c>
      <c r="S127" s="8"/>
    </row>
    <row r="128" spans="1:19" x14ac:dyDescent="0.3">
      <c r="A128" t="s">
        <v>295</v>
      </c>
      <c r="B128" t="s">
        <v>43</v>
      </c>
      <c r="C128" s="6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  <c r="Q128" s="8">
        <f>(Table1_217[[#This Row],[Likes]]+Table1_217[[#This Row],[Shares]]+Table1_217[[#This Row],[Comments]])/Table1_217[[#This Row],[Impressions]]</f>
        <v>6.9311459413307311E-2</v>
      </c>
      <c r="R128" s="7">
        <f>Table1_217[[#This Row],[Likes]]+Table1_217[[#This Row],[Shares]]+Table1_217[[#This Row],[Comments]]</f>
        <v>4546</v>
      </c>
      <c r="S128" s="8"/>
    </row>
    <row r="129" spans="1:19" x14ac:dyDescent="0.3">
      <c r="A129" t="s">
        <v>296</v>
      </c>
      <c r="B129" t="s">
        <v>14</v>
      </c>
      <c r="C129" s="6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  <c r="Q129" s="8">
        <f>(Table1_217[[#This Row],[Likes]]+Table1_217[[#This Row],[Shares]]+Table1_217[[#This Row],[Comments]])/Table1_217[[#This Row],[Impressions]]</f>
        <v>0.12537731780940059</v>
      </c>
      <c r="R129" s="7">
        <f>Table1_217[[#This Row],[Likes]]+Table1_217[[#This Row],[Shares]]+Table1_217[[#This Row],[Comments]]</f>
        <v>3489</v>
      </c>
      <c r="S129" s="8"/>
    </row>
    <row r="130" spans="1:19" x14ac:dyDescent="0.3">
      <c r="A130" t="s">
        <v>297</v>
      </c>
      <c r="B130" t="s">
        <v>14</v>
      </c>
      <c r="C130" s="6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  <c r="Q130" s="8">
        <f>(Table1_217[[#This Row],[Likes]]+Table1_217[[#This Row],[Shares]]+Table1_217[[#This Row],[Comments]])/Table1_217[[#This Row],[Impressions]]</f>
        <v>0.17291569632044715</v>
      </c>
      <c r="R130" s="7">
        <f>Table1_217[[#This Row],[Likes]]+Table1_217[[#This Row],[Shares]]+Table1_217[[#This Row],[Comments]]</f>
        <v>2970</v>
      </c>
      <c r="S130" s="8"/>
    </row>
    <row r="131" spans="1:19" x14ac:dyDescent="0.3">
      <c r="A131" t="s">
        <v>298</v>
      </c>
      <c r="B131" t="s">
        <v>27</v>
      </c>
      <c r="C131" s="6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  <c r="Q131" s="8">
        <f>(Table1_217[[#This Row],[Likes]]+Table1_217[[#This Row],[Shares]]+Table1_217[[#This Row],[Comments]])/Table1_217[[#This Row],[Impressions]]</f>
        <v>8.9577656675749323E-2</v>
      </c>
      <c r="R131" s="7">
        <f>Table1_217[[#This Row],[Likes]]+Table1_217[[#This Row],[Shares]]+Table1_217[[#This Row],[Comments]]</f>
        <v>3419</v>
      </c>
      <c r="S131" s="8"/>
    </row>
    <row r="132" spans="1:19" x14ac:dyDescent="0.3">
      <c r="A132" t="s">
        <v>300</v>
      </c>
      <c r="B132" t="s">
        <v>33</v>
      </c>
      <c r="C132" s="6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  <c r="Q132" s="8">
        <f>(Table1_217[[#This Row],[Likes]]+Table1_217[[#This Row],[Shares]]+Table1_217[[#This Row],[Comments]])/Table1_217[[#This Row],[Impressions]]</f>
        <v>0.13106060606060607</v>
      </c>
      <c r="R132" s="7">
        <f>Table1_217[[#This Row],[Likes]]+Table1_217[[#This Row],[Shares]]+Table1_217[[#This Row],[Comments]]</f>
        <v>5709</v>
      </c>
      <c r="S132" s="8"/>
    </row>
    <row r="133" spans="1:19" x14ac:dyDescent="0.3">
      <c r="A133" t="s">
        <v>301</v>
      </c>
      <c r="B133" t="s">
        <v>33</v>
      </c>
      <c r="C133" s="6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  <c r="Q133" s="8">
        <f>(Table1_217[[#This Row],[Likes]]+Table1_217[[#This Row],[Shares]]+Table1_217[[#This Row],[Comments]])/Table1_217[[#This Row],[Impressions]]</f>
        <v>0.13493953401503478</v>
      </c>
      <c r="R133" s="7">
        <f>Table1_217[[#This Row],[Likes]]+Table1_217[[#This Row],[Shares]]+Table1_217[[#This Row],[Comments]]</f>
        <v>2890</v>
      </c>
      <c r="S133" s="8"/>
    </row>
    <row r="134" spans="1:19" x14ac:dyDescent="0.3">
      <c r="A134" t="s">
        <v>302</v>
      </c>
      <c r="B134" t="s">
        <v>43</v>
      </c>
      <c r="C134" s="6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  <c r="Q134" s="8">
        <f>(Table1_217[[#This Row],[Likes]]+Table1_217[[#This Row],[Shares]]+Table1_217[[#This Row],[Comments]])/Table1_217[[#This Row],[Impressions]]</f>
        <v>7.172350922350923E-2</v>
      </c>
      <c r="R134" s="7">
        <f>Table1_217[[#This Row],[Likes]]+Table1_217[[#This Row],[Shares]]+Table1_217[[#This Row],[Comments]]</f>
        <v>2675</v>
      </c>
      <c r="S134" s="8"/>
    </row>
    <row r="135" spans="1:19" x14ac:dyDescent="0.3">
      <c r="A135" t="s">
        <v>304</v>
      </c>
      <c r="B135" t="s">
        <v>14</v>
      </c>
      <c r="C135" s="6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  <c r="Q135" s="8">
        <f>(Table1_217[[#This Row],[Likes]]+Table1_217[[#This Row],[Shares]]+Table1_217[[#This Row],[Comments]])/Table1_217[[#This Row],[Impressions]]</f>
        <v>7.1133744304476013E-2</v>
      </c>
      <c r="R135" s="7">
        <f>Table1_217[[#This Row],[Likes]]+Table1_217[[#This Row],[Shares]]+Table1_217[[#This Row],[Comments]]</f>
        <v>3981</v>
      </c>
      <c r="S135" s="8"/>
    </row>
    <row r="136" spans="1:19" x14ac:dyDescent="0.3">
      <c r="A136" t="s">
        <v>306</v>
      </c>
      <c r="B136" t="s">
        <v>43</v>
      </c>
      <c r="C136" s="6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  <c r="Q136" s="8">
        <f>(Table1_217[[#This Row],[Likes]]+Table1_217[[#This Row],[Shares]]+Table1_217[[#This Row],[Comments]])/Table1_217[[#This Row],[Impressions]]</f>
        <v>6.461481657304112E-2</v>
      </c>
      <c r="R136" s="7">
        <f>Table1_217[[#This Row],[Likes]]+Table1_217[[#This Row],[Shares]]+Table1_217[[#This Row],[Comments]]</f>
        <v>4900</v>
      </c>
      <c r="S136" s="8"/>
    </row>
    <row r="137" spans="1:19" x14ac:dyDescent="0.3">
      <c r="A137" t="s">
        <v>308</v>
      </c>
      <c r="B137" t="s">
        <v>33</v>
      </c>
      <c r="C137" s="6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  <c r="Q137" s="8">
        <f>(Table1_217[[#This Row],[Likes]]+Table1_217[[#This Row],[Shares]]+Table1_217[[#This Row],[Comments]])/Table1_217[[#This Row],[Impressions]]</f>
        <v>0.20357370772176134</v>
      </c>
      <c r="R137" s="7">
        <f>Table1_217[[#This Row],[Likes]]+Table1_217[[#This Row],[Shares]]+Table1_217[[#This Row],[Comments]]</f>
        <v>4466</v>
      </c>
      <c r="S137" s="8"/>
    </row>
    <row r="138" spans="1:19" x14ac:dyDescent="0.3">
      <c r="A138" t="s">
        <v>310</v>
      </c>
      <c r="B138" t="s">
        <v>43</v>
      </c>
      <c r="C138" s="6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  <c r="Q138" s="8">
        <f>(Table1_217[[#This Row],[Likes]]+Table1_217[[#This Row],[Shares]]+Table1_217[[#This Row],[Comments]])/Table1_217[[#This Row],[Impressions]]</f>
        <v>0.20871010638297871</v>
      </c>
      <c r="R138" s="7">
        <f>Table1_217[[#This Row],[Likes]]+Table1_217[[#This Row],[Shares]]+Table1_217[[#This Row],[Comments]]</f>
        <v>3139</v>
      </c>
      <c r="S138" s="8"/>
    </row>
    <row r="139" spans="1:19" x14ac:dyDescent="0.3">
      <c r="A139" t="s">
        <v>311</v>
      </c>
      <c r="B139" t="s">
        <v>14</v>
      </c>
      <c r="C139" s="6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  <c r="Q139" s="8">
        <f>(Table1_217[[#This Row],[Likes]]+Table1_217[[#This Row],[Shares]]+Table1_217[[#This Row],[Comments]])/Table1_217[[#This Row],[Impressions]]</f>
        <v>0.16065573770491803</v>
      </c>
      <c r="R139" s="7">
        <f>Table1_217[[#This Row],[Likes]]+Table1_217[[#This Row],[Shares]]+Table1_217[[#This Row],[Comments]]</f>
        <v>735</v>
      </c>
      <c r="S139" s="8"/>
    </row>
    <row r="140" spans="1:19" x14ac:dyDescent="0.3">
      <c r="A140" t="s">
        <v>312</v>
      </c>
      <c r="B140" t="s">
        <v>27</v>
      </c>
      <c r="C140" s="6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  <c r="Q140" s="8">
        <f>(Table1_217[[#This Row],[Likes]]+Table1_217[[#This Row],[Shares]]+Table1_217[[#This Row],[Comments]])/Table1_217[[#This Row],[Impressions]]</f>
        <v>9.422796795338674E-2</v>
      </c>
      <c r="R140" s="7">
        <f>Table1_217[[#This Row],[Likes]]+Table1_217[[#This Row],[Shares]]+Table1_217[[#This Row],[Comments]]</f>
        <v>3105</v>
      </c>
      <c r="S140" s="8"/>
    </row>
    <row r="141" spans="1:19" x14ac:dyDescent="0.3">
      <c r="A141" t="s">
        <v>314</v>
      </c>
      <c r="B141" t="s">
        <v>43</v>
      </c>
      <c r="C141" s="6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  <c r="Q141" s="8">
        <f>(Table1_217[[#This Row],[Likes]]+Table1_217[[#This Row],[Shares]]+Table1_217[[#This Row],[Comments]])/Table1_217[[#This Row],[Impressions]]</f>
        <v>0.15571802706241816</v>
      </c>
      <c r="R141" s="7">
        <f>Table1_217[[#This Row],[Likes]]+Table1_217[[#This Row],[Shares]]+Table1_217[[#This Row],[Comments]]</f>
        <v>2854</v>
      </c>
      <c r="S141" s="8"/>
    </row>
    <row r="142" spans="1:19" x14ac:dyDescent="0.3">
      <c r="A142" t="s">
        <v>317</v>
      </c>
      <c r="B142" t="s">
        <v>14</v>
      </c>
      <c r="C142" s="6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  <c r="Q142" s="8">
        <f>(Table1_217[[#This Row],[Likes]]+Table1_217[[#This Row],[Shares]]+Table1_217[[#This Row],[Comments]])/Table1_217[[#This Row],[Impressions]]</f>
        <v>0.2316508937960042</v>
      </c>
      <c r="R142" s="7">
        <f>Table1_217[[#This Row],[Likes]]+Table1_217[[#This Row],[Shares]]+Table1_217[[#This Row],[Comments]]</f>
        <v>4406</v>
      </c>
      <c r="S142" s="8"/>
    </row>
    <row r="143" spans="1:19" x14ac:dyDescent="0.3">
      <c r="A143" t="s">
        <v>319</v>
      </c>
      <c r="B143" t="s">
        <v>27</v>
      </c>
      <c r="C143" s="6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  <c r="Q143" s="8">
        <f>(Table1_217[[#This Row],[Likes]]+Table1_217[[#This Row],[Shares]]+Table1_217[[#This Row],[Comments]])/Table1_217[[#This Row],[Impressions]]</f>
        <v>6.9438087973557078E-2</v>
      </c>
      <c r="R143" s="7">
        <f>Table1_217[[#This Row],[Likes]]+Table1_217[[#This Row],[Shares]]+Table1_217[[#This Row],[Comments]]</f>
        <v>2731</v>
      </c>
      <c r="S143" s="8"/>
    </row>
    <row r="144" spans="1:19" x14ac:dyDescent="0.3">
      <c r="A144" t="s">
        <v>320</v>
      </c>
      <c r="B144" t="s">
        <v>27</v>
      </c>
      <c r="C144" s="6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  <c r="Q144" s="8">
        <f>(Table1_217[[#This Row],[Likes]]+Table1_217[[#This Row],[Shares]]+Table1_217[[#This Row],[Comments]])/Table1_217[[#This Row],[Impressions]]</f>
        <v>0.50192307692307692</v>
      </c>
      <c r="R144" s="7">
        <f>Table1_217[[#This Row],[Likes]]+Table1_217[[#This Row],[Shares]]+Table1_217[[#This Row],[Comments]]</f>
        <v>522</v>
      </c>
      <c r="S144" s="8"/>
    </row>
    <row r="145" spans="1:19" x14ac:dyDescent="0.3">
      <c r="A145" t="s">
        <v>321</v>
      </c>
      <c r="B145" t="s">
        <v>27</v>
      </c>
      <c r="C145" s="6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  <c r="Q145" s="8">
        <f>(Table1_217[[#This Row],[Likes]]+Table1_217[[#This Row],[Shares]]+Table1_217[[#This Row],[Comments]])/Table1_217[[#This Row],[Impressions]]</f>
        <v>6.5455787978772245E-2</v>
      </c>
      <c r="R145" s="7">
        <f>Table1_217[[#This Row],[Likes]]+Table1_217[[#This Row],[Shares]]+Table1_217[[#This Row],[Comments]]</f>
        <v>6130</v>
      </c>
      <c r="S145" s="8"/>
    </row>
    <row r="146" spans="1:19" x14ac:dyDescent="0.3">
      <c r="A146" t="s">
        <v>322</v>
      </c>
      <c r="B146" t="s">
        <v>33</v>
      </c>
      <c r="C146" s="6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  <c r="Q146" s="8">
        <f>(Table1_217[[#This Row],[Likes]]+Table1_217[[#This Row],[Shares]]+Table1_217[[#This Row],[Comments]])/Table1_217[[#This Row],[Impressions]]</f>
        <v>5.6416400425985093E-2</v>
      </c>
      <c r="R146" s="7">
        <f>Table1_217[[#This Row],[Likes]]+Table1_217[[#This Row],[Shares]]+Table1_217[[#This Row],[Comments]]</f>
        <v>2119</v>
      </c>
      <c r="S146" s="8"/>
    </row>
    <row r="147" spans="1:19" x14ac:dyDescent="0.3">
      <c r="A147" t="s">
        <v>323</v>
      </c>
      <c r="B147" t="s">
        <v>27</v>
      </c>
      <c r="C147" s="6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  <c r="Q147" s="8">
        <f>(Table1_217[[#This Row],[Likes]]+Table1_217[[#This Row],[Shares]]+Table1_217[[#This Row],[Comments]])/Table1_217[[#This Row],[Impressions]]</f>
        <v>0.21636759108210984</v>
      </c>
      <c r="R147" s="7">
        <f>Table1_217[[#This Row],[Likes]]+Table1_217[[#This Row],[Shares]]+Table1_217[[#This Row],[Comments]]</f>
        <v>3979</v>
      </c>
      <c r="S147" s="8"/>
    </row>
    <row r="148" spans="1:19" x14ac:dyDescent="0.3">
      <c r="A148" t="s">
        <v>326</v>
      </c>
      <c r="B148" t="s">
        <v>33</v>
      </c>
      <c r="C148" s="6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  <c r="Q148" s="8">
        <f>(Table1_217[[#This Row],[Likes]]+Table1_217[[#This Row],[Shares]]+Table1_217[[#This Row],[Comments]])/Table1_217[[#This Row],[Impressions]]</f>
        <v>0.15283323095823095</v>
      </c>
      <c r="R148" s="7">
        <f>Table1_217[[#This Row],[Likes]]+Table1_217[[#This Row],[Shares]]+Table1_217[[#This Row],[Comments]]</f>
        <v>3981</v>
      </c>
      <c r="S148" s="8"/>
    </row>
    <row r="149" spans="1:19" x14ac:dyDescent="0.3">
      <c r="A149" t="s">
        <v>327</v>
      </c>
      <c r="B149" t="s">
        <v>33</v>
      </c>
      <c r="C149" s="6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  <c r="Q149" s="8">
        <f>(Table1_217[[#This Row],[Likes]]+Table1_217[[#This Row],[Shares]]+Table1_217[[#This Row],[Comments]])/Table1_217[[#This Row],[Impressions]]</f>
        <v>0.19864505202032423</v>
      </c>
      <c r="R149" s="7">
        <f>Table1_217[[#This Row],[Likes]]+Table1_217[[#This Row],[Shares]]+Table1_217[[#This Row],[Comments]]</f>
        <v>4926</v>
      </c>
      <c r="S149" s="8"/>
    </row>
    <row r="150" spans="1:19" x14ac:dyDescent="0.3">
      <c r="A150" t="s">
        <v>328</v>
      </c>
      <c r="B150" t="s">
        <v>14</v>
      </c>
      <c r="C150" s="6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  <c r="Q150" s="8">
        <f>(Table1_217[[#This Row],[Likes]]+Table1_217[[#This Row],[Shares]]+Table1_217[[#This Row],[Comments]])/Table1_217[[#This Row],[Impressions]]</f>
        <v>7.7291421856639245E-2</v>
      </c>
      <c r="R150" s="7">
        <f>Table1_217[[#This Row],[Likes]]+Table1_217[[#This Row],[Shares]]+Table1_217[[#This Row],[Comments]]</f>
        <v>2631</v>
      </c>
      <c r="S150" s="8"/>
    </row>
    <row r="151" spans="1:19" x14ac:dyDescent="0.3">
      <c r="A151" t="s">
        <v>330</v>
      </c>
      <c r="B151" t="s">
        <v>27</v>
      </c>
      <c r="C151" s="6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  <c r="Q151" s="8">
        <f>(Table1_217[[#This Row],[Likes]]+Table1_217[[#This Row],[Shares]]+Table1_217[[#This Row],[Comments]])/Table1_217[[#This Row],[Impressions]]</f>
        <v>6.3713620488940623E-2</v>
      </c>
      <c r="R151" s="7">
        <f>Table1_217[[#This Row],[Likes]]+Table1_217[[#This Row],[Shares]]+Table1_217[[#This Row],[Comments]]</f>
        <v>5473</v>
      </c>
      <c r="S151" s="8"/>
    </row>
    <row r="152" spans="1:19" x14ac:dyDescent="0.3">
      <c r="A152" t="s">
        <v>332</v>
      </c>
      <c r="B152" t="s">
        <v>33</v>
      </c>
      <c r="C152" s="6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  <c r="Q152" s="8">
        <f>(Table1_217[[#This Row],[Likes]]+Table1_217[[#This Row],[Shares]]+Table1_217[[#This Row],[Comments]])/Table1_217[[#This Row],[Impressions]]</f>
        <v>0.10977802753582468</v>
      </c>
      <c r="R152" s="7">
        <f>Table1_217[[#This Row],[Likes]]+Table1_217[[#This Row],[Shares]]+Table1_217[[#This Row],[Comments]]</f>
        <v>3907</v>
      </c>
      <c r="S152" s="8"/>
    </row>
    <row r="153" spans="1:19" x14ac:dyDescent="0.3">
      <c r="A153" t="s">
        <v>333</v>
      </c>
      <c r="B153" t="s">
        <v>43</v>
      </c>
      <c r="C153" s="6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  <c r="Q153" s="8">
        <f>(Table1_217[[#This Row],[Likes]]+Table1_217[[#This Row],[Shares]]+Table1_217[[#This Row],[Comments]])/Table1_217[[#This Row],[Impressions]]</f>
        <v>0.19511518179295032</v>
      </c>
      <c r="R153" s="7">
        <f>Table1_217[[#This Row],[Likes]]+Table1_217[[#This Row],[Shares]]+Table1_217[[#This Row],[Comments]]</f>
        <v>5624</v>
      </c>
      <c r="S153" s="8"/>
    </row>
    <row r="154" spans="1:19" x14ac:dyDescent="0.3">
      <c r="A154" t="s">
        <v>335</v>
      </c>
      <c r="B154" t="s">
        <v>14</v>
      </c>
      <c r="C154" s="6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  <c r="Q154" s="8">
        <f>(Table1_217[[#This Row],[Likes]]+Table1_217[[#This Row],[Shares]]+Table1_217[[#This Row],[Comments]])/Table1_217[[#This Row],[Impressions]]</f>
        <v>0.17801355732390214</v>
      </c>
      <c r="R154" s="7">
        <f>Table1_217[[#This Row],[Likes]]+Table1_217[[#This Row],[Shares]]+Table1_217[[#This Row],[Comments]]</f>
        <v>1208</v>
      </c>
      <c r="S154" s="8"/>
    </row>
    <row r="155" spans="1:19" x14ac:dyDescent="0.3">
      <c r="A155" t="s">
        <v>337</v>
      </c>
      <c r="B155" t="s">
        <v>33</v>
      </c>
      <c r="C155" s="6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  <c r="Q155" s="8">
        <f>(Table1_217[[#This Row],[Likes]]+Table1_217[[#This Row],[Shares]]+Table1_217[[#This Row],[Comments]])/Table1_217[[#This Row],[Impressions]]</f>
        <v>0.31965192168237855</v>
      </c>
      <c r="R155" s="7">
        <f>Table1_217[[#This Row],[Likes]]+Table1_217[[#This Row],[Shares]]+Table1_217[[#This Row],[Comments]]</f>
        <v>2204</v>
      </c>
      <c r="S155" s="8"/>
    </row>
    <row r="156" spans="1:19" x14ac:dyDescent="0.3">
      <c r="A156" t="s">
        <v>338</v>
      </c>
      <c r="B156" t="s">
        <v>27</v>
      </c>
      <c r="C156" s="6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  <c r="Q156" s="8">
        <f>(Table1_217[[#This Row],[Likes]]+Table1_217[[#This Row],[Shares]]+Table1_217[[#This Row],[Comments]])/Table1_217[[#This Row],[Impressions]]</f>
        <v>0.11489268506351293</v>
      </c>
      <c r="R156" s="7">
        <f>Table1_217[[#This Row],[Likes]]+Table1_217[[#This Row],[Shares]]+Table1_217[[#This Row],[Comments]]</f>
        <v>2623</v>
      </c>
      <c r="S156" s="8"/>
    </row>
    <row r="157" spans="1:19" x14ac:dyDescent="0.3">
      <c r="A157" t="s">
        <v>340</v>
      </c>
      <c r="B157" t="s">
        <v>43</v>
      </c>
      <c r="C157" s="6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  <c r="Q157" s="8">
        <f>(Table1_217[[#This Row],[Likes]]+Table1_217[[#This Row],[Shares]]+Table1_217[[#This Row],[Comments]])/Table1_217[[#This Row],[Impressions]]</f>
        <v>0.1095786671562328</v>
      </c>
      <c r="R157" s="7">
        <f>Table1_217[[#This Row],[Likes]]+Table1_217[[#This Row],[Shares]]+Table1_217[[#This Row],[Comments]]</f>
        <v>4775</v>
      </c>
      <c r="S157" s="8"/>
    </row>
    <row r="158" spans="1:19" x14ac:dyDescent="0.3">
      <c r="A158" t="s">
        <v>342</v>
      </c>
      <c r="B158" t="s">
        <v>27</v>
      </c>
      <c r="C158" s="6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  <c r="Q158" s="8">
        <f>(Table1_217[[#This Row],[Likes]]+Table1_217[[#This Row],[Shares]]+Table1_217[[#This Row],[Comments]])/Table1_217[[#This Row],[Impressions]]</f>
        <v>0.10793717277486911</v>
      </c>
      <c r="R158" s="7">
        <f>Table1_217[[#This Row],[Likes]]+Table1_217[[#This Row],[Shares]]+Table1_217[[#This Row],[Comments]]</f>
        <v>5154</v>
      </c>
      <c r="S158" s="8"/>
    </row>
    <row r="159" spans="1:19" x14ac:dyDescent="0.3">
      <c r="A159" t="s">
        <v>344</v>
      </c>
      <c r="B159" t="s">
        <v>33</v>
      </c>
      <c r="C159" s="6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  <c r="Q159" s="8">
        <f>(Table1_217[[#This Row],[Likes]]+Table1_217[[#This Row],[Shares]]+Table1_217[[#This Row],[Comments]])/Table1_217[[#This Row],[Impressions]]</f>
        <v>0.11307081114118571</v>
      </c>
      <c r="R159" s="7">
        <f>Table1_217[[#This Row],[Likes]]+Table1_217[[#This Row],[Shares]]+Table1_217[[#This Row],[Comments]]</f>
        <v>2590</v>
      </c>
      <c r="S159" s="8"/>
    </row>
    <row r="160" spans="1:19" x14ac:dyDescent="0.3">
      <c r="A160" t="s">
        <v>346</v>
      </c>
      <c r="B160" t="s">
        <v>43</v>
      </c>
      <c r="C160" s="6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  <c r="Q160" s="8">
        <f>(Table1_217[[#This Row],[Likes]]+Table1_217[[#This Row],[Shares]]+Table1_217[[#This Row],[Comments]])/Table1_217[[#This Row],[Impressions]]</f>
        <v>0.21745283018867925</v>
      </c>
      <c r="R160" s="7">
        <f>Table1_217[[#This Row],[Likes]]+Table1_217[[#This Row],[Shares]]+Table1_217[[#This Row],[Comments]]</f>
        <v>2766</v>
      </c>
      <c r="S160" s="8"/>
    </row>
    <row r="161" spans="1:19" x14ac:dyDescent="0.3">
      <c r="A161" t="s">
        <v>347</v>
      </c>
      <c r="B161" t="s">
        <v>14</v>
      </c>
      <c r="C161" s="6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  <c r="Q161" s="8">
        <f>(Table1_217[[#This Row],[Likes]]+Table1_217[[#This Row],[Shares]]+Table1_217[[#This Row],[Comments]])/Table1_217[[#This Row],[Impressions]]</f>
        <v>9.1137810638734856E-2</v>
      </c>
      <c r="R161" s="7">
        <f>Table1_217[[#This Row],[Likes]]+Table1_217[[#This Row],[Shares]]+Table1_217[[#This Row],[Comments]]</f>
        <v>1775</v>
      </c>
      <c r="S161" s="8"/>
    </row>
    <row r="162" spans="1:19" x14ac:dyDescent="0.3">
      <c r="A162" t="s">
        <v>349</v>
      </c>
      <c r="B162" t="s">
        <v>14</v>
      </c>
      <c r="C162" s="6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  <c r="Q162" s="8">
        <f>(Table1_217[[#This Row],[Likes]]+Table1_217[[#This Row],[Shares]]+Table1_217[[#This Row],[Comments]])/Table1_217[[#This Row],[Impressions]]</f>
        <v>0.11508145034156594</v>
      </c>
      <c r="R162" s="7">
        <f>Table1_217[[#This Row],[Likes]]+Table1_217[[#This Row],[Shares]]+Table1_217[[#This Row],[Comments]]</f>
        <v>5913</v>
      </c>
      <c r="S162" s="8"/>
    </row>
    <row r="163" spans="1:19" x14ac:dyDescent="0.3">
      <c r="A163" t="s">
        <v>351</v>
      </c>
      <c r="B163" t="s">
        <v>43</v>
      </c>
      <c r="C163" s="6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  <c r="Q163" s="8">
        <f>(Table1_217[[#This Row],[Likes]]+Table1_217[[#This Row],[Shares]]+Table1_217[[#This Row],[Comments]])/Table1_217[[#This Row],[Impressions]]</f>
        <v>8.6630570595585168E-2</v>
      </c>
      <c r="R163" s="7">
        <f>Table1_217[[#This Row],[Likes]]+Table1_217[[#This Row],[Shares]]+Table1_217[[#This Row],[Comments]]</f>
        <v>4160</v>
      </c>
      <c r="S163" s="8"/>
    </row>
    <row r="164" spans="1:19" x14ac:dyDescent="0.3">
      <c r="A164" t="s">
        <v>353</v>
      </c>
      <c r="B164" t="s">
        <v>33</v>
      </c>
      <c r="C164" s="6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  <c r="Q164" s="8">
        <f>(Table1_217[[#This Row],[Likes]]+Table1_217[[#This Row],[Shares]]+Table1_217[[#This Row],[Comments]])/Table1_217[[#This Row],[Impressions]]</f>
        <v>0.23101532992668297</v>
      </c>
      <c r="R164" s="7">
        <f>Table1_217[[#This Row],[Likes]]+Table1_217[[#This Row],[Shares]]+Table1_217[[#This Row],[Comments]]</f>
        <v>5199</v>
      </c>
      <c r="S164" s="8"/>
    </row>
    <row r="165" spans="1:19" x14ac:dyDescent="0.3">
      <c r="A165" t="s">
        <v>355</v>
      </c>
      <c r="B165" t="s">
        <v>27</v>
      </c>
      <c r="C165" s="6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  <c r="Q165" s="8">
        <f>(Table1_217[[#This Row],[Likes]]+Table1_217[[#This Row],[Shares]]+Table1_217[[#This Row],[Comments]])/Table1_217[[#This Row],[Impressions]]</f>
        <v>0.15355188488042157</v>
      </c>
      <c r="R165" s="7">
        <f>Table1_217[[#This Row],[Likes]]+Table1_217[[#This Row],[Shares]]+Table1_217[[#This Row],[Comments]]</f>
        <v>6061</v>
      </c>
      <c r="S165" s="8"/>
    </row>
    <row r="166" spans="1:19" x14ac:dyDescent="0.3">
      <c r="A166" t="s">
        <v>356</v>
      </c>
      <c r="B166" t="s">
        <v>14</v>
      </c>
      <c r="C166" s="6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  <c r="Q166" s="8">
        <f>(Table1_217[[#This Row],[Likes]]+Table1_217[[#This Row],[Shares]]+Table1_217[[#This Row],[Comments]])/Table1_217[[#This Row],[Impressions]]</f>
        <v>0.15405989502933004</v>
      </c>
      <c r="R166" s="7">
        <f>Table1_217[[#This Row],[Likes]]+Table1_217[[#This Row],[Shares]]+Table1_217[[#This Row],[Comments]]</f>
        <v>3493</v>
      </c>
      <c r="S166" s="8"/>
    </row>
    <row r="167" spans="1:19" x14ac:dyDescent="0.3">
      <c r="A167" t="s">
        <v>357</v>
      </c>
      <c r="B167" t="s">
        <v>14</v>
      </c>
      <c r="C167" s="6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  <c r="Q167" s="8">
        <f>(Table1_217[[#This Row],[Likes]]+Table1_217[[#This Row],[Shares]]+Table1_217[[#This Row],[Comments]])/Table1_217[[#This Row],[Impressions]]</f>
        <v>0.14320716458262928</v>
      </c>
      <c r="R167" s="7">
        <f>Table1_217[[#This Row],[Likes]]+Table1_217[[#This Row],[Shares]]+Table1_217[[#This Row],[Comments]]</f>
        <v>1695</v>
      </c>
      <c r="S167" s="8"/>
    </row>
    <row r="168" spans="1:19" x14ac:dyDescent="0.3">
      <c r="A168" t="s">
        <v>358</v>
      </c>
      <c r="B168" t="s">
        <v>33</v>
      </c>
      <c r="C168" s="6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  <c r="Q168" s="8">
        <f>(Table1_217[[#This Row],[Likes]]+Table1_217[[#This Row],[Shares]]+Table1_217[[#This Row],[Comments]])/Table1_217[[#This Row],[Impressions]]</f>
        <v>9.859917557465242E-2</v>
      </c>
      <c r="R168" s="7">
        <f>Table1_217[[#This Row],[Likes]]+Table1_217[[#This Row],[Shares]]+Table1_217[[#This Row],[Comments]]</f>
        <v>5645</v>
      </c>
      <c r="S168" s="8"/>
    </row>
    <row r="169" spans="1:19" x14ac:dyDescent="0.3">
      <c r="A169" t="s">
        <v>359</v>
      </c>
      <c r="B169" t="s">
        <v>43</v>
      </c>
      <c r="C169" s="6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  <c r="Q169" s="8">
        <f>(Table1_217[[#This Row],[Likes]]+Table1_217[[#This Row],[Shares]]+Table1_217[[#This Row],[Comments]])/Table1_217[[#This Row],[Impressions]]</f>
        <v>7.412002573292896E-2</v>
      </c>
      <c r="R169" s="7">
        <f>Table1_217[[#This Row],[Likes]]+Table1_217[[#This Row],[Shares]]+Table1_217[[#This Row],[Comments]]</f>
        <v>3226</v>
      </c>
      <c r="S169" s="8"/>
    </row>
    <row r="170" spans="1:19" x14ac:dyDescent="0.3">
      <c r="A170" t="s">
        <v>361</v>
      </c>
      <c r="B170" t="s">
        <v>27</v>
      </c>
      <c r="C170" s="6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  <c r="Q170" s="8">
        <f>(Table1_217[[#This Row],[Likes]]+Table1_217[[#This Row],[Shares]]+Table1_217[[#This Row],[Comments]])/Table1_217[[#This Row],[Impressions]]</f>
        <v>0.12490884163239112</v>
      </c>
      <c r="R170" s="7">
        <f>Table1_217[[#This Row],[Likes]]+Table1_217[[#This Row],[Shares]]+Table1_217[[#This Row],[Comments]]</f>
        <v>4282</v>
      </c>
      <c r="S170" s="8"/>
    </row>
    <row r="171" spans="1:19" x14ac:dyDescent="0.3">
      <c r="A171" t="s">
        <v>363</v>
      </c>
      <c r="B171" t="s">
        <v>14</v>
      </c>
      <c r="C171" s="6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  <c r="Q171" s="8">
        <f>(Table1_217[[#This Row],[Likes]]+Table1_217[[#This Row],[Shares]]+Table1_217[[#This Row],[Comments]])/Table1_217[[#This Row],[Impressions]]</f>
        <v>6.8655003457763777E-2</v>
      </c>
      <c r="R171" s="7">
        <f>Table1_217[[#This Row],[Likes]]+Table1_217[[#This Row],[Shares]]+Table1_217[[#This Row],[Comments]]</f>
        <v>4666</v>
      </c>
      <c r="S171" s="8"/>
    </row>
    <row r="172" spans="1:19" x14ac:dyDescent="0.3">
      <c r="A172" t="s">
        <v>365</v>
      </c>
      <c r="B172" t="s">
        <v>27</v>
      </c>
      <c r="C172" s="6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  <c r="Q172" s="8">
        <f>(Table1_217[[#This Row],[Likes]]+Table1_217[[#This Row],[Shares]]+Table1_217[[#This Row],[Comments]])/Table1_217[[#This Row],[Impressions]]</f>
        <v>9.8068107400130972E-2</v>
      </c>
      <c r="R172" s="7">
        <f>Table1_217[[#This Row],[Likes]]+Table1_217[[#This Row],[Shares]]+Table1_217[[#This Row],[Comments]]</f>
        <v>1797</v>
      </c>
      <c r="S172" s="8"/>
    </row>
    <row r="173" spans="1:19" x14ac:dyDescent="0.3">
      <c r="A173" t="s">
        <v>367</v>
      </c>
      <c r="B173" t="s">
        <v>43</v>
      </c>
      <c r="C173" s="6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  <c r="Q173" s="8">
        <f>(Table1_217[[#This Row],[Likes]]+Table1_217[[#This Row],[Shares]]+Table1_217[[#This Row],[Comments]])/Table1_217[[#This Row],[Impressions]]</f>
        <v>7.2739802071170159E-2</v>
      </c>
      <c r="R173" s="7">
        <f>Table1_217[[#This Row],[Likes]]+Table1_217[[#This Row],[Shares]]+Table1_217[[#This Row],[Comments]]</f>
        <v>3800</v>
      </c>
      <c r="S173" s="8"/>
    </row>
    <row r="174" spans="1:19" x14ac:dyDescent="0.3">
      <c r="A174" t="s">
        <v>369</v>
      </c>
      <c r="B174" t="s">
        <v>14</v>
      </c>
      <c r="C174" s="6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  <c r="Q174" s="8">
        <f>(Table1_217[[#This Row],[Likes]]+Table1_217[[#This Row],[Shares]]+Table1_217[[#This Row],[Comments]])/Table1_217[[#This Row],[Impressions]]</f>
        <v>0.14348370927318296</v>
      </c>
      <c r="R174" s="7">
        <f>Table1_217[[#This Row],[Likes]]+Table1_217[[#This Row],[Shares]]+Table1_217[[#This Row],[Comments]]</f>
        <v>2290</v>
      </c>
      <c r="S174" s="8"/>
    </row>
    <row r="175" spans="1:19" x14ac:dyDescent="0.3">
      <c r="A175" t="s">
        <v>371</v>
      </c>
      <c r="B175" t="s">
        <v>43</v>
      </c>
      <c r="C175" s="6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  <c r="Q175" s="8">
        <f>(Table1_217[[#This Row],[Likes]]+Table1_217[[#This Row],[Shares]]+Table1_217[[#This Row],[Comments]])/Table1_217[[#This Row],[Impressions]]</f>
        <v>0.13809430512016718</v>
      </c>
      <c r="R175" s="7">
        <f>Table1_217[[#This Row],[Likes]]+Table1_217[[#This Row],[Shares]]+Table1_217[[#This Row],[Comments]]</f>
        <v>4229</v>
      </c>
      <c r="S175" s="8"/>
    </row>
    <row r="176" spans="1:19" x14ac:dyDescent="0.3">
      <c r="A176" t="s">
        <v>372</v>
      </c>
      <c r="B176" t="s">
        <v>33</v>
      </c>
      <c r="C176" s="6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  <c r="Q176" s="8">
        <f>(Table1_217[[#This Row],[Likes]]+Table1_217[[#This Row],[Shares]]+Table1_217[[#This Row],[Comments]])/Table1_217[[#This Row],[Impressions]]</f>
        <v>0.6508215962441315</v>
      </c>
      <c r="R176" s="7">
        <f>Table1_217[[#This Row],[Likes]]+Table1_217[[#This Row],[Shares]]+Table1_217[[#This Row],[Comments]]</f>
        <v>1109</v>
      </c>
      <c r="S176" s="8"/>
    </row>
    <row r="177" spans="1:19" x14ac:dyDescent="0.3">
      <c r="A177" t="s">
        <v>374</v>
      </c>
      <c r="B177" t="s">
        <v>43</v>
      </c>
      <c r="C177" s="6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  <c r="Q177" s="8">
        <f>(Table1_217[[#This Row],[Likes]]+Table1_217[[#This Row],[Shares]]+Table1_217[[#This Row],[Comments]])/Table1_217[[#This Row],[Impressions]]</f>
        <v>5.4081095313322801E-2</v>
      </c>
      <c r="R177" s="7">
        <f>Table1_217[[#This Row],[Likes]]+Table1_217[[#This Row],[Shares]]+Table1_217[[#This Row],[Comments]]</f>
        <v>4108</v>
      </c>
      <c r="S177" s="8"/>
    </row>
    <row r="178" spans="1:19" x14ac:dyDescent="0.3">
      <c r="A178" t="s">
        <v>376</v>
      </c>
      <c r="B178" t="s">
        <v>33</v>
      </c>
      <c r="C178" s="6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  <c r="Q178" s="8">
        <f>(Table1_217[[#This Row],[Likes]]+Table1_217[[#This Row],[Shares]]+Table1_217[[#This Row],[Comments]])/Table1_217[[#This Row],[Impressions]]</f>
        <v>9.1365878393951966E-2</v>
      </c>
      <c r="R178" s="7">
        <f>Table1_217[[#This Row],[Likes]]+Table1_217[[#This Row],[Shares]]+Table1_217[[#This Row],[Comments]]</f>
        <v>3964</v>
      </c>
      <c r="S178" s="8"/>
    </row>
    <row r="179" spans="1:19" x14ac:dyDescent="0.3">
      <c r="A179" t="s">
        <v>378</v>
      </c>
      <c r="B179" t="s">
        <v>33</v>
      </c>
      <c r="C179" s="6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  <c r="Q179" s="8">
        <f>(Table1_217[[#This Row],[Likes]]+Table1_217[[#This Row],[Shares]]+Table1_217[[#This Row],[Comments]])/Table1_217[[#This Row],[Impressions]]</f>
        <v>0.70387596899224802</v>
      </c>
      <c r="R179" s="7">
        <f>Table1_217[[#This Row],[Likes]]+Table1_217[[#This Row],[Shares]]+Table1_217[[#This Row],[Comments]]</f>
        <v>908</v>
      </c>
      <c r="S179" s="8"/>
    </row>
    <row r="180" spans="1:19" x14ac:dyDescent="0.3">
      <c r="A180" t="s">
        <v>379</v>
      </c>
      <c r="B180" t="s">
        <v>43</v>
      </c>
      <c r="C180" s="6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  <c r="Q180" s="8">
        <f>(Table1_217[[#This Row],[Likes]]+Table1_217[[#This Row],[Shares]]+Table1_217[[#This Row],[Comments]])/Table1_217[[#This Row],[Impressions]]</f>
        <v>7.5280481001673588E-2</v>
      </c>
      <c r="R180" s="7">
        <f>Table1_217[[#This Row],[Likes]]+Table1_217[[#This Row],[Shares]]+Table1_217[[#This Row],[Comments]]</f>
        <v>4858</v>
      </c>
      <c r="S180" s="8"/>
    </row>
    <row r="181" spans="1:19" x14ac:dyDescent="0.3">
      <c r="A181" t="s">
        <v>380</v>
      </c>
      <c r="B181" t="s">
        <v>27</v>
      </c>
      <c r="C181" s="6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  <c r="Q181" s="8">
        <f>(Table1_217[[#This Row],[Likes]]+Table1_217[[#This Row],[Shares]]+Table1_217[[#This Row],[Comments]])/Table1_217[[#This Row],[Impressions]]</f>
        <v>9.023070704558174E-2</v>
      </c>
      <c r="R181" s="7">
        <f>Table1_217[[#This Row],[Likes]]+Table1_217[[#This Row],[Shares]]+Table1_217[[#This Row],[Comments]]</f>
        <v>4353</v>
      </c>
      <c r="S181" s="8"/>
    </row>
    <row r="182" spans="1:19" x14ac:dyDescent="0.3">
      <c r="A182" t="s">
        <v>381</v>
      </c>
      <c r="B182" t="s">
        <v>27</v>
      </c>
      <c r="C182" s="6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  <c r="Q182" s="8">
        <f>(Table1_217[[#This Row],[Likes]]+Table1_217[[#This Row],[Shares]]+Table1_217[[#This Row],[Comments]])/Table1_217[[#This Row],[Impressions]]</f>
        <v>0.23673521198273673</v>
      </c>
      <c r="R182" s="7">
        <f>Table1_217[[#This Row],[Likes]]+Table1_217[[#This Row],[Shares]]+Table1_217[[#This Row],[Comments]]</f>
        <v>1865</v>
      </c>
      <c r="S182" s="8"/>
    </row>
    <row r="183" spans="1:19" x14ac:dyDescent="0.3">
      <c r="A183" t="s">
        <v>383</v>
      </c>
      <c r="B183" t="s">
        <v>43</v>
      </c>
      <c r="C183" s="6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  <c r="Q183" s="8">
        <f>(Table1_217[[#This Row],[Likes]]+Table1_217[[#This Row],[Shares]]+Table1_217[[#This Row],[Comments]])/Table1_217[[#This Row],[Impressions]]</f>
        <v>0.10132030477519921</v>
      </c>
      <c r="R183" s="7">
        <f>Table1_217[[#This Row],[Likes]]+Table1_217[[#This Row],[Shares]]+Table1_217[[#This Row],[Comments]]</f>
        <v>5226</v>
      </c>
      <c r="S183" s="8"/>
    </row>
    <row r="184" spans="1:19" x14ac:dyDescent="0.3">
      <c r="A184" t="s">
        <v>384</v>
      </c>
      <c r="B184" t="s">
        <v>33</v>
      </c>
      <c r="C184" s="6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  <c r="Q184" s="8">
        <f>(Table1_217[[#This Row],[Likes]]+Table1_217[[#This Row],[Shares]]+Table1_217[[#This Row],[Comments]])/Table1_217[[#This Row],[Impressions]]</f>
        <v>0.28696581196581195</v>
      </c>
      <c r="R184" s="7">
        <f>Table1_217[[#This Row],[Likes]]+Table1_217[[#This Row],[Shares]]+Table1_217[[#This Row],[Comments]]</f>
        <v>1343</v>
      </c>
      <c r="S184" s="8"/>
    </row>
    <row r="185" spans="1:19" x14ac:dyDescent="0.3">
      <c r="A185" t="s">
        <v>386</v>
      </c>
      <c r="B185" t="s">
        <v>14</v>
      </c>
      <c r="C185" s="6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  <c r="Q185" s="8">
        <f>(Table1_217[[#This Row],[Likes]]+Table1_217[[#This Row],[Shares]]+Table1_217[[#This Row],[Comments]])/Table1_217[[#This Row],[Impressions]]</f>
        <v>0.13614307931570763</v>
      </c>
      <c r="R185" s="7">
        <f>Table1_217[[#This Row],[Likes]]+Table1_217[[#This Row],[Shares]]+Table1_217[[#This Row],[Comments]]</f>
        <v>4377</v>
      </c>
      <c r="S185" s="8"/>
    </row>
    <row r="186" spans="1:19" x14ac:dyDescent="0.3">
      <c r="A186" t="s">
        <v>388</v>
      </c>
      <c r="B186" t="s">
        <v>33</v>
      </c>
      <c r="C186" s="6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  <c r="Q186" s="8">
        <f>(Table1_217[[#This Row],[Likes]]+Table1_217[[#This Row],[Shares]]+Table1_217[[#This Row],[Comments]])/Table1_217[[#This Row],[Impressions]]</f>
        <v>9.5290736237010829E-2</v>
      </c>
      <c r="R186" s="7">
        <f>Table1_217[[#This Row],[Likes]]+Table1_217[[#This Row],[Shares]]+Table1_217[[#This Row],[Comments]]</f>
        <v>4741</v>
      </c>
      <c r="S186" s="8"/>
    </row>
    <row r="187" spans="1:19" x14ac:dyDescent="0.3">
      <c r="A187" t="s">
        <v>390</v>
      </c>
      <c r="B187" t="s">
        <v>43</v>
      </c>
      <c r="C187" s="6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  <c r="Q187" s="8">
        <f>(Table1_217[[#This Row],[Likes]]+Table1_217[[#This Row],[Shares]]+Table1_217[[#This Row],[Comments]])/Table1_217[[#This Row],[Impressions]]</f>
        <v>8.4862714173059003E-2</v>
      </c>
      <c r="R187" s="7">
        <f>Table1_217[[#This Row],[Likes]]+Table1_217[[#This Row],[Shares]]+Table1_217[[#This Row],[Comments]]</f>
        <v>4735</v>
      </c>
      <c r="S187" s="8"/>
    </row>
    <row r="188" spans="1:19" x14ac:dyDescent="0.3">
      <c r="A188" t="s">
        <v>391</v>
      </c>
      <c r="B188" t="s">
        <v>14</v>
      </c>
      <c r="C188" s="6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  <c r="Q188" s="8">
        <f>(Table1_217[[#This Row],[Likes]]+Table1_217[[#This Row],[Shares]]+Table1_217[[#This Row],[Comments]])/Table1_217[[#This Row],[Impressions]]</f>
        <v>8.3726921425504502E-2</v>
      </c>
      <c r="R188" s="7">
        <f>Table1_217[[#This Row],[Likes]]+Table1_217[[#This Row],[Shares]]+Table1_217[[#This Row],[Comments]]</f>
        <v>2340</v>
      </c>
      <c r="S188" s="8"/>
    </row>
    <row r="189" spans="1:19" x14ac:dyDescent="0.3">
      <c r="A189" t="s">
        <v>393</v>
      </c>
      <c r="B189" t="s">
        <v>27</v>
      </c>
      <c r="C189" s="6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  <c r="Q189" s="8">
        <f>(Table1_217[[#This Row],[Likes]]+Table1_217[[#This Row],[Shares]]+Table1_217[[#This Row],[Comments]])/Table1_217[[#This Row],[Impressions]]</f>
        <v>8.4946236559139784E-2</v>
      </c>
      <c r="R189" s="7">
        <f>Table1_217[[#This Row],[Likes]]+Table1_217[[#This Row],[Shares]]+Table1_217[[#This Row],[Comments]]</f>
        <v>3476</v>
      </c>
      <c r="S189" s="8"/>
    </row>
    <row r="190" spans="1:19" x14ac:dyDescent="0.3">
      <c r="A190" t="s">
        <v>394</v>
      </c>
      <c r="B190" t="s">
        <v>43</v>
      </c>
      <c r="C190" s="6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  <c r="Q190" s="8">
        <f>(Table1_217[[#This Row],[Likes]]+Table1_217[[#This Row],[Shares]]+Table1_217[[#This Row],[Comments]])/Table1_217[[#This Row],[Impressions]]</f>
        <v>7.2503306878306875E-2</v>
      </c>
      <c r="R190" s="7">
        <f>Table1_217[[#This Row],[Likes]]+Table1_217[[#This Row],[Shares]]+Table1_217[[#This Row],[Comments]]</f>
        <v>4385</v>
      </c>
      <c r="S190" s="8"/>
    </row>
    <row r="191" spans="1:19" x14ac:dyDescent="0.3">
      <c r="A191" t="s">
        <v>395</v>
      </c>
      <c r="B191" t="s">
        <v>27</v>
      </c>
      <c r="C191" s="6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  <c r="Q191" s="8">
        <f>(Table1_217[[#This Row],[Likes]]+Table1_217[[#This Row],[Shares]]+Table1_217[[#This Row],[Comments]])/Table1_217[[#This Row],[Impressions]]</f>
        <v>5.5909322465613857E-2</v>
      </c>
      <c r="R191" s="7">
        <f>Table1_217[[#This Row],[Likes]]+Table1_217[[#This Row],[Shares]]+Table1_217[[#This Row],[Comments]]</f>
        <v>2195</v>
      </c>
      <c r="S191" s="8"/>
    </row>
    <row r="192" spans="1:19" x14ac:dyDescent="0.3">
      <c r="A192" t="s">
        <v>397</v>
      </c>
      <c r="B192" t="s">
        <v>27</v>
      </c>
      <c r="C192" s="6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  <c r="Q192" s="8">
        <f>(Table1_217[[#This Row],[Likes]]+Table1_217[[#This Row],[Shares]]+Table1_217[[#This Row],[Comments]])/Table1_217[[#This Row],[Impressions]]</f>
        <v>9.9578134817341346E-2</v>
      </c>
      <c r="R192" s="7">
        <f>Table1_217[[#This Row],[Likes]]+Table1_217[[#This Row],[Shares]]+Table1_217[[#This Row],[Comments]]</f>
        <v>5547</v>
      </c>
      <c r="S192" s="8"/>
    </row>
    <row r="193" spans="1:19" x14ac:dyDescent="0.3">
      <c r="A193" t="s">
        <v>398</v>
      </c>
      <c r="B193" t="s">
        <v>33</v>
      </c>
      <c r="C193" s="6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  <c r="Q193" s="8">
        <f>(Table1_217[[#This Row],[Likes]]+Table1_217[[#This Row],[Shares]]+Table1_217[[#This Row],[Comments]])/Table1_217[[#This Row],[Impressions]]</f>
        <v>0.1441326530612245</v>
      </c>
      <c r="R193" s="7">
        <f>Table1_217[[#This Row],[Likes]]+Table1_217[[#This Row],[Shares]]+Table1_217[[#This Row],[Comments]]</f>
        <v>2034</v>
      </c>
      <c r="S193" s="8"/>
    </row>
    <row r="194" spans="1:19" x14ac:dyDescent="0.3">
      <c r="A194" t="s">
        <v>400</v>
      </c>
      <c r="B194" t="s">
        <v>14</v>
      </c>
      <c r="C194" s="6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  <c r="Q194" s="8">
        <f>(Table1_217[[#This Row],[Likes]]+Table1_217[[#This Row],[Shares]]+Table1_217[[#This Row],[Comments]])/Table1_217[[#This Row],[Impressions]]</f>
        <v>9.9255211647142488E-2</v>
      </c>
      <c r="R194" s="7">
        <f>Table1_217[[#This Row],[Likes]]+Table1_217[[#This Row],[Shares]]+Table1_217[[#This Row],[Comments]]</f>
        <v>5304</v>
      </c>
      <c r="S194" s="8"/>
    </row>
    <row r="195" spans="1:19" x14ac:dyDescent="0.3">
      <c r="A195" t="s">
        <v>402</v>
      </c>
      <c r="B195" t="s">
        <v>27</v>
      </c>
      <c r="C195" s="6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  <c r="Q195" s="8">
        <f>(Table1_217[[#This Row],[Likes]]+Table1_217[[#This Row],[Shares]]+Table1_217[[#This Row],[Comments]])/Table1_217[[#This Row],[Impressions]]</f>
        <v>8.4203612479474554E-2</v>
      </c>
      <c r="R195" s="7">
        <f>Table1_217[[#This Row],[Likes]]+Table1_217[[#This Row],[Shares]]+Table1_217[[#This Row],[Comments]]</f>
        <v>5128</v>
      </c>
      <c r="S195" s="8"/>
    </row>
    <row r="196" spans="1:19" x14ac:dyDescent="0.3">
      <c r="A196" t="s">
        <v>403</v>
      </c>
      <c r="B196" t="s">
        <v>33</v>
      </c>
      <c r="C196" s="6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s="8">
        <f>(Table1_217[[#This Row],[Likes]]+Table1_217[[#This Row],[Shares]]+Table1_217[[#This Row],[Comments]])/Table1_217[[#This Row],[Impressions]]</f>
        <v>0.13667732704931829</v>
      </c>
      <c r="R196" s="7">
        <f>Table1_217[[#This Row],[Likes]]+Table1_217[[#This Row],[Shares]]+Table1_217[[#This Row],[Comments]]</f>
        <v>1624</v>
      </c>
      <c r="S196" s="8"/>
    </row>
    <row r="197" spans="1:19" x14ac:dyDescent="0.3">
      <c r="A197" t="s">
        <v>405</v>
      </c>
      <c r="B197" t="s">
        <v>33</v>
      </c>
      <c r="C197" s="6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  <c r="Q197" s="8">
        <f>(Table1_217[[#This Row],[Likes]]+Table1_217[[#This Row],[Shares]]+Table1_217[[#This Row],[Comments]])/Table1_217[[#This Row],[Impressions]]</f>
        <v>0.12575841147269717</v>
      </c>
      <c r="R197" s="7">
        <f>Table1_217[[#This Row],[Likes]]+Table1_217[[#This Row],[Shares]]+Table1_217[[#This Row],[Comments]]</f>
        <v>2508</v>
      </c>
      <c r="S197" s="8"/>
    </row>
    <row r="198" spans="1:19" x14ac:dyDescent="0.3">
      <c r="A198" t="s">
        <v>407</v>
      </c>
      <c r="B198" t="s">
        <v>14</v>
      </c>
      <c r="C198" s="6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  <c r="Q198" s="8">
        <f>(Table1_217[[#This Row],[Likes]]+Table1_217[[#This Row],[Shares]]+Table1_217[[#This Row],[Comments]])/Table1_217[[#This Row],[Impressions]]</f>
        <v>6.4884520656164318E-2</v>
      </c>
      <c r="R198" s="7">
        <f>Table1_217[[#This Row],[Likes]]+Table1_217[[#This Row],[Shares]]+Table1_217[[#This Row],[Comments]]</f>
        <v>5585</v>
      </c>
      <c r="S198" s="8"/>
    </row>
    <row r="199" spans="1:19" x14ac:dyDescent="0.3">
      <c r="A199" t="s">
        <v>408</v>
      </c>
      <c r="B199" t="s">
        <v>14</v>
      </c>
      <c r="C199" s="6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  <c r="Q199" s="8">
        <f>(Table1_217[[#This Row],[Likes]]+Table1_217[[#This Row],[Shares]]+Table1_217[[#This Row],[Comments]])/Table1_217[[#This Row],[Impressions]]</f>
        <v>0.19847328244274809</v>
      </c>
      <c r="R199" s="7">
        <f>Table1_217[[#This Row],[Likes]]+Table1_217[[#This Row],[Shares]]+Table1_217[[#This Row],[Comments]]</f>
        <v>1872</v>
      </c>
      <c r="S199" s="8"/>
    </row>
    <row r="200" spans="1:19" x14ac:dyDescent="0.3">
      <c r="A200" t="s">
        <v>410</v>
      </c>
      <c r="B200" t="s">
        <v>27</v>
      </c>
      <c r="C200" s="6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  <c r="Q200" s="8">
        <f>(Table1_217[[#This Row],[Likes]]+Table1_217[[#This Row],[Shares]]+Table1_217[[#This Row],[Comments]])/Table1_217[[#This Row],[Impressions]]</f>
        <v>8.5520696919660646E-2</v>
      </c>
      <c r="R200" s="7">
        <f>Table1_217[[#This Row],[Likes]]+Table1_217[[#This Row],[Shares]]+Table1_217[[#This Row],[Comments]]</f>
        <v>3004</v>
      </c>
      <c r="S200" s="8"/>
    </row>
    <row r="201" spans="1:19" x14ac:dyDescent="0.3">
      <c r="A201" t="s">
        <v>411</v>
      </c>
      <c r="B201" t="s">
        <v>43</v>
      </c>
      <c r="C201" s="6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  <c r="Q201" s="8">
        <f>(Table1_217[[#This Row],[Likes]]+Table1_217[[#This Row],[Shares]]+Table1_217[[#This Row],[Comments]])/Table1_217[[#This Row],[Impressions]]</f>
        <v>6.246991874522239E-2</v>
      </c>
      <c r="R201" s="7">
        <f>Table1_217[[#This Row],[Likes]]+Table1_217[[#This Row],[Shares]]+Table1_217[[#This Row],[Comments]]</f>
        <v>4413</v>
      </c>
      <c r="S201" s="8"/>
    </row>
    <row r="202" spans="1:19" x14ac:dyDescent="0.3">
      <c r="A202" t="s">
        <v>413</v>
      </c>
      <c r="B202" t="s">
        <v>14</v>
      </c>
      <c r="C202" s="6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  <c r="Q202" s="8">
        <f>(Table1_217[[#This Row],[Likes]]+Table1_217[[#This Row],[Shares]]+Table1_217[[#This Row],[Comments]])/Table1_217[[#This Row],[Impressions]]</f>
        <v>9.0606816292601824E-2</v>
      </c>
      <c r="R202" s="7">
        <f>Table1_217[[#This Row],[Likes]]+Table1_217[[#This Row],[Shares]]+Table1_217[[#This Row],[Comments]]</f>
        <v>1308</v>
      </c>
      <c r="S202" s="8"/>
    </row>
    <row r="203" spans="1:19" x14ac:dyDescent="0.3">
      <c r="A203" t="s">
        <v>415</v>
      </c>
      <c r="B203" t="s">
        <v>43</v>
      </c>
      <c r="C203" s="6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  <c r="Q203" s="8">
        <f>(Table1_217[[#This Row],[Likes]]+Table1_217[[#This Row],[Shares]]+Table1_217[[#This Row],[Comments]])/Table1_217[[#This Row],[Impressions]]</f>
        <v>8.2108498129342594E-2</v>
      </c>
      <c r="R203" s="7">
        <f>Table1_217[[#This Row],[Likes]]+Table1_217[[#This Row],[Shares]]+Table1_217[[#This Row],[Comments]]</f>
        <v>2458</v>
      </c>
      <c r="S203" s="8"/>
    </row>
    <row r="204" spans="1:19" x14ac:dyDescent="0.3">
      <c r="A204" t="s">
        <v>417</v>
      </c>
      <c r="B204" t="s">
        <v>33</v>
      </c>
      <c r="C204" s="6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  <c r="Q204" s="8">
        <f>(Table1_217[[#This Row],[Likes]]+Table1_217[[#This Row],[Shares]]+Table1_217[[#This Row],[Comments]])/Table1_217[[#This Row],[Impressions]]</f>
        <v>5.7332570758993957E-2</v>
      </c>
      <c r="R204" s="7">
        <f>Table1_217[[#This Row],[Likes]]+Table1_217[[#This Row],[Shares]]+Table1_217[[#This Row],[Comments]]</f>
        <v>4110</v>
      </c>
      <c r="S204" s="8"/>
    </row>
    <row r="205" spans="1:19" x14ac:dyDescent="0.3">
      <c r="A205" t="s">
        <v>419</v>
      </c>
      <c r="B205" t="s">
        <v>33</v>
      </c>
      <c r="C205" s="6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  <c r="Q205" s="8">
        <f>(Table1_217[[#This Row],[Likes]]+Table1_217[[#This Row],[Shares]]+Table1_217[[#This Row],[Comments]])/Table1_217[[#This Row],[Impressions]]</f>
        <v>0.29713518352730528</v>
      </c>
      <c r="R205" s="7">
        <f>Table1_217[[#This Row],[Likes]]+Table1_217[[#This Row],[Shares]]+Table1_217[[#This Row],[Comments]]</f>
        <v>3319</v>
      </c>
      <c r="S205" s="8"/>
    </row>
    <row r="206" spans="1:19" x14ac:dyDescent="0.3">
      <c r="A206" t="s">
        <v>420</v>
      </c>
      <c r="B206" t="s">
        <v>14</v>
      </c>
      <c r="C206" s="6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  <c r="Q206" s="8">
        <f>(Table1_217[[#This Row],[Likes]]+Table1_217[[#This Row],[Shares]]+Table1_217[[#This Row],[Comments]])/Table1_217[[#This Row],[Impressions]]</f>
        <v>0.1043848167539267</v>
      </c>
      <c r="R206" s="7">
        <f>Table1_217[[#This Row],[Likes]]+Table1_217[[#This Row],[Shares]]+Table1_217[[#This Row],[Comments]]</f>
        <v>4785</v>
      </c>
      <c r="S206" s="8"/>
    </row>
    <row r="207" spans="1:19" x14ac:dyDescent="0.3">
      <c r="A207" t="s">
        <v>422</v>
      </c>
      <c r="B207" t="s">
        <v>14</v>
      </c>
      <c r="C207" s="6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  <c r="Q207" s="8">
        <f>(Table1_217[[#This Row],[Likes]]+Table1_217[[#This Row],[Shares]]+Table1_217[[#This Row],[Comments]])/Table1_217[[#This Row],[Impressions]]</f>
        <v>0.10768685795253277</v>
      </c>
      <c r="R207" s="7">
        <f>Table1_217[[#This Row],[Likes]]+Table1_217[[#This Row],[Shares]]+Table1_217[[#This Row],[Comments]]</f>
        <v>1520</v>
      </c>
      <c r="S207" s="8"/>
    </row>
    <row r="208" spans="1:19" x14ac:dyDescent="0.3">
      <c r="A208" t="s">
        <v>423</v>
      </c>
      <c r="B208" t="s">
        <v>14</v>
      </c>
      <c r="C208" s="6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  <c r="Q208" s="8">
        <f>(Table1_217[[#This Row],[Likes]]+Table1_217[[#This Row],[Shares]]+Table1_217[[#This Row],[Comments]])/Table1_217[[#This Row],[Impressions]]</f>
        <v>0.14316214319138981</v>
      </c>
      <c r="R208" s="7">
        <f>Table1_217[[#This Row],[Likes]]+Table1_217[[#This Row],[Shares]]+Table1_217[[#This Row],[Comments]]</f>
        <v>4895</v>
      </c>
      <c r="S208" s="8"/>
    </row>
    <row r="209" spans="1:19" x14ac:dyDescent="0.3">
      <c r="A209" t="s">
        <v>425</v>
      </c>
      <c r="B209" t="s">
        <v>27</v>
      </c>
      <c r="C209" s="6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  <c r="Q209" s="8">
        <f>(Table1_217[[#This Row],[Likes]]+Table1_217[[#This Row],[Shares]]+Table1_217[[#This Row],[Comments]])/Table1_217[[#This Row],[Impressions]]</f>
        <v>8.6537809426924378E-2</v>
      </c>
      <c r="R209" s="7">
        <f>Table1_217[[#This Row],[Likes]]+Table1_217[[#This Row],[Shares]]+Table1_217[[#This Row],[Comments]]</f>
        <v>3828</v>
      </c>
      <c r="S209" s="8"/>
    </row>
    <row r="210" spans="1:19" x14ac:dyDescent="0.3">
      <c r="A210" t="s">
        <v>426</v>
      </c>
      <c r="B210" t="s">
        <v>14</v>
      </c>
      <c r="C210" s="6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  <c r="Q210" s="8">
        <f>(Table1_217[[#This Row],[Likes]]+Table1_217[[#This Row],[Shares]]+Table1_217[[#This Row],[Comments]])/Table1_217[[#This Row],[Impressions]]</f>
        <v>8.2753164556962022E-2</v>
      </c>
      <c r="R210" s="7">
        <f>Table1_217[[#This Row],[Likes]]+Table1_217[[#This Row],[Shares]]+Table1_217[[#This Row],[Comments]]</f>
        <v>3661</v>
      </c>
      <c r="S210" s="8"/>
    </row>
    <row r="211" spans="1:19" x14ac:dyDescent="0.3">
      <c r="A211" t="s">
        <v>428</v>
      </c>
      <c r="B211" t="s">
        <v>27</v>
      </c>
      <c r="C211" s="6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  <c r="Q211" s="8">
        <f>(Table1_217[[#This Row],[Likes]]+Table1_217[[#This Row],[Shares]]+Table1_217[[#This Row],[Comments]])/Table1_217[[#This Row],[Impressions]]</f>
        <v>0.48518407662376534</v>
      </c>
      <c r="R211" s="7">
        <f>Table1_217[[#This Row],[Likes]]+Table1_217[[#This Row],[Shares]]+Table1_217[[#This Row],[Comments]]</f>
        <v>1621</v>
      </c>
      <c r="S211" s="8"/>
    </row>
    <row r="212" spans="1:19" x14ac:dyDescent="0.3">
      <c r="A212" t="s">
        <v>429</v>
      </c>
      <c r="B212" t="s">
        <v>14</v>
      </c>
      <c r="C212" s="6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  <c r="Q212" s="8">
        <f>(Table1_217[[#This Row],[Likes]]+Table1_217[[#This Row],[Shares]]+Table1_217[[#This Row],[Comments]])/Table1_217[[#This Row],[Impressions]]</f>
        <v>0.18632075471698112</v>
      </c>
      <c r="R212" s="7">
        <f>Table1_217[[#This Row],[Likes]]+Table1_217[[#This Row],[Shares]]+Table1_217[[#This Row],[Comments]]</f>
        <v>2370</v>
      </c>
      <c r="S212" s="8"/>
    </row>
    <row r="213" spans="1:19" x14ac:dyDescent="0.3">
      <c r="A213" t="s">
        <v>431</v>
      </c>
      <c r="B213" t="s">
        <v>27</v>
      </c>
      <c r="C213" s="6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  <c r="Q213" s="8">
        <f>(Table1_217[[#This Row],[Likes]]+Table1_217[[#This Row],[Shares]]+Table1_217[[#This Row],[Comments]])/Table1_217[[#This Row],[Impressions]]</f>
        <v>0.123309241094476</v>
      </c>
      <c r="R213" s="7">
        <f>Table1_217[[#This Row],[Likes]]+Table1_217[[#This Row],[Shares]]+Table1_217[[#This Row],[Comments]]</f>
        <v>4777</v>
      </c>
      <c r="S213" s="8"/>
    </row>
    <row r="214" spans="1:19" x14ac:dyDescent="0.3">
      <c r="A214" t="s">
        <v>432</v>
      </c>
      <c r="B214" t="s">
        <v>43</v>
      </c>
      <c r="C214" s="6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  <c r="Q214" s="8">
        <f>(Table1_217[[#This Row],[Likes]]+Table1_217[[#This Row],[Shares]]+Table1_217[[#This Row],[Comments]])/Table1_217[[#This Row],[Impressions]]</f>
        <v>8.21914819340199E-2</v>
      </c>
      <c r="R214" s="7">
        <f>Table1_217[[#This Row],[Likes]]+Table1_217[[#This Row],[Shares]]+Table1_217[[#This Row],[Comments]]</f>
        <v>3767</v>
      </c>
      <c r="S214" s="8"/>
    </row>
    <row r="215" spans="1:19" x14ac:dyDescent="0.3">
      <c r="A215" t="s">
        <v>434</v>
      </c>
      <c r="B215" t="s">
        <v>33</v>
      </c>
      <c r="C215" s="6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  <c r="Q215" s="8">
        <f>(Table1_217[[#This Row],[Likes]]+Table1_217[[#This Row],[Shares]]+Table1_217[[#This Row],[Comments]])/Table1_217[[#This Row],[Impressions]]</f>
        <v>0.37955854126679461</v>
      </c>
      <c r="R215" s="7">
        <f>Table1_217[[#This Row],[Likes]]+Table1_217[[#This Row],[Shares]]+Table1_217[[#This Row],[Comments]]</f>
        <v>1582</v>
      </c>
      <c r="S215" s="8"/>
    </row>
    <row r="216" spans="1:19" x14ac:dyDescent="0.3">
      <c r="A216" t="s">
        <v>435</v>
      </c>
      <c r="B216" t="s">
        <v>43</v>
      </c>
      <c r="C216" s="6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  <c r="Q216" s="8">
        <f>(Table1_217[[#This Row],[Likes]]+Table1_217[[#This Row],[Shares]]+Table1_217[[#This Row],[Comments]])/Table1_217[[#This Row],[Impressions]]</f>
        <v>7.2116777745580993E-2</v>
      </c>
      <c r="R216" s="7">
        <f>Table1_217[[#This Row],[Likes]]+Table1_217[[#This Row],[Shares]]+Table1_217[[#This Row],[Comments]]</f>
        <v>5973</v>
      </c>
      <c r="S216" s="8"/>
    </row>
    <row r="217" spans="1:19" x14ac:dyDescent="0.3">
      <c r="A217" t="s">
        <v>437</v>
      </c>
      <c r="B217" t="s">
        <v>27</v>
      </c>
      <c r="C217" s="6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  <c r="Q217" s="8">
        <f>(Table1_217[[#This Row],[Likes]]+Table1_217[[#This Row],[Shares]]+Table1_217[[#This Row],[Comments]])/Table1_217[[#This Row],[Impressions]]</f>
        <v>5.8316766070245198E-2</v>
      </c>
      <c r="R217" s="7">
        <f>Table1_217[[#This Row],[Likes]]+Table1_217[[#This Row],[Shares]]+Table1_217[[#This Row],[Comments]]</f>
        <v>1760</v>
      </c>
      <c r="S217" s="8"/>
    </row>
    <row r="218" spans="1:19" x14ac:dyDescent="0.3">
      <c r="A218" t="s">
        <v>438</v>
      </c>
      <c r="B218" t="s">
        <v>43</v>
      </c>
      <c r="C218" s="6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  <c r="Q218" s="8">
        <f>(Table1_217[[#This Row],[Likes]]+Table1_217[[#This Row],[Shares]]+Table1_217[[#This Row],[Comments]])/Table1_217[[#This Row],[Impressions]]</f>
        <v>6.2603126356925748E-2</v>
      </c>
      <c r="R218" s="7">
        <f>Table1_217[[#This Row],[Likes]]+Table1_217[[#This Row],[Shares]]+Table1_217[[#This Row],[Comments]]</f>
        <v>5767</v>
      </c>
      <c r="S218" s="8"/>
    </row>
    <row r="219" spans="1:19" x14ac:dyDescent="0.3">
      <c r="A219" t="s">
        <v>439</v>
      </c>
      <c r="B219" t="s">
        <v>43</v>
      </c>
      <c r="C219" s="6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  <c r="Q219" s="8">
        <f>(Table1_217[[#This Row],[Likes]]+Table1_217[[#This Row],[Shares]]+Table1_217[[#This Row],[Comments]])/Table1_217[[#This Row],[Impressions]]</f>
        <v>0.18806848582129482</v>
      </c>
      <c r="R219" s="7">
        <f>Table1_217[[#This Row],[Likes]]+Table1_217[[#This Row],[Shares]]+Table1_217[[#This Row],[Comments]]</f>
        <v>2812</v>
      </c>
      <c r="S219" s="8"/>
    </row>
    <row r="220" spans="1:19" x14ac:dyDescent="0.3">
      <c r="A220" t="s">
        <v>440</v>
      </c>
      <c r="B220" t="s">
        <v>14</v>
      </c>
      <c r="C220" s="6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  <c r="Q220" s="8">
        <f>(Table1_217[[#This Row],[Likes]]+Table1_217[[#This Row],[Shares]]+Table1_217[[#This Row],[Comments]])/Table1_217[[#This Row],[Impressions]]</f>
        <v>0.25701459034792368</v>
      </c>
      <c r="R220" s="7">
        <f>Table1_217[[#This Row],[Likes]]+Table1_217[[#This Row],[Shares]]+Table1_217[[#This Row],[Comments]]</f>
        <v>1832</v>
      </c>
      <c r="S220" s="8"/>
    </row>
    <row r="221" spans="1:19" x14ac:dyDescent="0.3">
      <c r="A221" t="s">
        <v>441</v>
      </c>
      <c r="B221" t="s">
        <v>33</v>
      </c>
      <c r="C221" s="6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  <c r="Q221" s="8">
        <f>(Table1_217[[#This Row],[Likes]]+Table1_217[[#This Row],[Shares]]+Table1_217[[#This Row],[Comments]])/Table1_217[[#This Row],[Impressions]]</f>
        <v>1.8129251700680271</v>
      </c>
      <c r="R221" s="7">
        <f>Table1_217[[#This Row],[Likes]]+Table1_217[[#This Row],[Shares]]+Table1_217[[#This Row],[Comments]]</f>
        <v>1066</v>
      </c>
      <c r="S221" s="8"/>
    </row>
    <row r="222" spans="1:19" x14ac:dyDescent="0.3">
      <c r="A222" t="s">
        <v>442</v>
      </c>
      <c r="B222" t="s">
        <v>43</v>
      </c>
      <c r="C222" s="6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  <c r="Q222" s="8">
        <f>(Table1_217[[#This Row],[Likes]]+Table1_217[[#This Row],[Shares]]+Table1_217[[#This Row],[Comments]])/Table1_217[[#This Row],[Impressions]]</f>
        <v>0.15989220750056141</v>
      </c>
      <c r="R222" s="7">
        <f>Table1_217[[#This Row],[Likes]]+Table1_217[[#This Row],[Shares]]+Table1_217[[#This Row],[Comments]]</f>
        <v>4984</v>
      </c>
      <c r="S222" s="8"/>
    </row>
    <row r="223" spans="1:19" x14ac:dyDescent="0.3">
      <c r="A223" t="s">
        <v>443</v>
      </c>
      <c r="B223" t="s">
        <v>43</v>
      </c>
      <c r="C223" s="6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  <c r="Q223" s="8">
        <f>(Table1_217[[#This Row],[Likes]]+Table1_217[[#This Row],[Shares]]+Table1_217[[#This Row],[Comments]])/Table1_217[[#This Row],[Impressions]]</f>
        <v>0.11143487163332809</v>
      </c>
      <c r="R223" s="7">
        <f>Table1_217[[#This Row],[Likes]]+Table1_217[[#This Row],[Shares]]+Table1_217[[#This Row],[Comments]]</f>
        <v>2830</v>
      </c>
      <c r="S223" s="8"/>
    </row>
    <row r="224" spans="1:19" x14ac:dyDescent="0.3">
      <c r="A224" t="s">
        <v>446</v>
      </c>
      <c r="B224" t="s">
        <v>14</v>
      </c>
      <c r="C224" s="6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  <c r="Q224" s="8">
        <f>(Table1_217[[#This Row],[Likes]]+Table1_217[[#This Row],[Shares]]+Table1_217[[#This Row],[Comments]])/Table1_217[[#This Row],[Impressions]]</f>
        <v>6.2129685107516146E-2</v>
      </c>
      <c r="R224" s="7">
        <f>Table1_217[[#This Row],[Likes]]+Table1_217[[#This Row],[Shares]]+Table1_217[[#This Row],[Comments]]</f>
        <v>3733</v>
      </c>
      <c r="S224" s="8"/>
    </row>
    <row r="225" spans="1:19" x14ac:dyDescent="0.3">
      <c r="A225" t="s">
        <v>447</v>
      </c>
      <c r="B225" t="s">
        <v>43</v>
      </c>
      <c r="C225" s="6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  <c r="Q225" s="8">
        <f>(Table1_217[[#This Row],[Likes]]+Table1_217[[#This Row],[Shares]]+Table1_217[[#This Row],[Comments]])/Table1_217[[#This Row],[Impressions]]</f>
        <v>0.32083531086853345</v>
      </c>
      <c r="R225" s="7">
        <f>Table1_217[[#This Row],[Likes]]+Table1_217[[#This Row],[Shares]]+Table1_217[[#This Row],[Comments]]</f>
        <v>1352</v>
      </c>
      <c r="S225" s="8"/>
    </row>
    <row r="226" spans="1:19" x14ac:dyDescent="0.3">
      <c r="A226" t="s">
        <v>449</v>
      </c>
      <c r="B226" t="s">
        <v>14</v>
      </c>
      <c r="C226" s="6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  <c r="Q226" s="8">
        <f>(Table1_217[[#This Row],[Likes]]+Table1_217[[#This Row],[Shares]]+Table1_217[[#This Row],[Comments]])/Table1_217[[#This Row],[Impressions]]</f>
        <v>5.6653298485940883E-2</v>
      </c>
      <c r="R226" s="7">
        <f>Table1_217[[#This Row],[Likes]]+Table1_217[[#This Row],[Shares]]+Table1_217[[#This Row],[Comments]]</f>
        <v>5029</v>
      </c>
      <c r="S226" s="8"/>
    </row>
    <row r="227" spans="1:19" x14ac:dyDescent="0.3">
      <c r="A227" t="s">
        <v>450</v>
      </c>
      <c r="B227" t="s">
        <v>33</v>
      </c>
      <c r="C227" s="6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  <c r="Q227" s="8">
        <f>(Table1_217[[#This Row],[Likes]]+Table1_217[[#This Row],[Shares]]+Table1_217[[#This Row],[Comments]])/Table1_217[[#This Row],[Impressions]]</f>
        <v>0.25537047673750718</v>
      </c>
      <c r="R227" s="7">
        <f>Table1_217[[#This Row],[Likes]]+Table1_217[[#This Row],[Shares]]+Table1_217[[#This Row],[Comments]]</f>
        <v>2223</v>
      </c>
      <c r="S227" s="8"/>
    </row>
    <row r="228" spans="1:19" x14ac:dyDescent="0.3">
      <c r="A228" t="s">
        <v>452</v>
      </c>
      <c r="B228" t="s">
        <v>33</v>
      </c>
      <c r="C228" s="6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  <c r="Q228" s="8">
        <f>(Table1_217[[#This Row],[Likes]]+Table1_217[[#This Row],[Shares]]+Table1_217[[#This Row],[Comments]])/Table1_217[[#This Row],[Impressions]]</f>
        <v>0.11232349165596919</v>
      </c>
      <c r="R228" s="7">
        <f>Table1_217[[#This Row],[Likes]]+Table1_217[[#This Row],[Shares]]+Table1_217[[#This Row],[Comments]]</f>
        <v>525</v>
      </c>
      <c r="S228" s="8"/>
    </row>
    <row r="229" spans="1:19" x14ac:dyDescent="0.3">
      <c r="A229" t="s">
        <v>454</v>
      </c>
      <c r="B229" t="s">
        <v>33</v>
      </c>
      <c r="C229" s="6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  <c r="Q229" s="8">
        <f>(Table1_217[[#This Row],[Likes]]+Table1_217[[#This Row],[Shares]]+Table1_217[[#This Row],[Comments]])/Table1_217[[#This Row],[Impressions]]</f>
        <v>8.1808097615085965E-2</v>
      </c>
      <c r="R229" s="7">
        <f>Table1_217[[#This Row],[Likes]]+Table1_217[[#This Row],[Shares]]+Table1_217[[#This Row],[Comments]]</f>
        <v>5900</v>
      </c>
      <c r="S229" s="8"/>
    </row>
    <row r="230" spans="1:19" x14ac:dyDescent="0.3">
      <c r="A230" t="s">
        <v>456</v>
      </c>
      <c r="B230" t="s">
        <v>33</v>
      </c>
      <c r="C230" s="6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  <c r="Q230" s="8">
        <f>(Table1_217[[#This Row],[Likes]]+Table1_217[[#This Row],[Shares]]+Table1_217[[#This Row],[Comments]])/Table1_217[[#This Row],[Impressions]]</f>
        <v>0.13387048227640017</v>
      </c>
      <c r="R230" s="7">
        <f>Table1_217[[#This Row],[Likes]]+Table1_217[[#This Row],[Shares]]+Table1_217[[#This Row],[Comments]]</f>
        <v>5782</v>
      </c>
      <c r="S230" s="8"/>
    </row>
    <row r="231" spans="1:19" x14ac:dyDescent="0.3">
      <c r="A231" t="s">
        <v>457</v>
      </c>
      <c r="B231" t="s">
        <v>43</v>
      </c>
      <c r="C231" s="6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  <c r="Q231" s="8">
        <f>(Table1_217[[#This Row],[Likes]]+Table1_217[[#This Row],[Shares]]+Table1_217[[#This Row],[Comments]])/Table1_217[[#This Row],[Impressions]]</f>
        <v>7.7512577512577507E-2</v>
      </c>
      <c r="R231" s="7">
        <f>Table1_217[[#This Row],[Likes]]+Table1_217[[#This Row],[Shares]]+Table1_217[[#This Row],[Comments]]</f>
        <v>3975</v>
      </c>
      <c r="S231" s="8"/>
    </row>
    <row r="232" spans="1:19" x14ac:dyDescent="0.3">
      <c r="A232" t="s">
        <v>458</v>
      </c>
      <c r="B232" t="s">
        <v>33</v>
      </c>
      <c r="C232" s="6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  <c r="Q232" s="8">
        <f>(Table1_217[[#This Row],[Likes]]+Table1_217[[#This Row],[Shares]]+Table1_217[[#This Row],[Comments]])/Table1_217[[#This Row],[Impressions]]</f>
        <v>8.5734265734265735E-2</v>
      </c>
      <c r="R232" s="7">
        <f>Table1_217[[#This Row],[Likes]]+Table1_217[[#This Row],[Shares]]+Table1_217[[#This Row],[Comments]]</f>
        <v>1839</v>
      </c>
      <c r="S232" s="8"/>
    </row>
    <row r="233" spans="1:19" x14ac:dyDescent="0.3">
      <c r="A233" t="s">
        <v>459</v>
      </c>
      <c r="B233" t="s">
        <v>14</v>
      </c>
      <c r="C233" s="6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  <c r="Q233" s="8">
        <f>(Table1_217[[#This Row],[Likes]]+Table1_217[[#This Row],[Shares]]+Table1_217[[#This Row],[Comments]])/Table1_217[[#This Row],[Impressions]]</f>
        <v>0.7168674698795181</v>
      </c>
      <c r="R233" s="7">
        <f>Table1_217[[#This Row],[Likes]]+Table1_217[[#This Row],[Shares]]+Table1_217[[#This Row],[Comments]]</f>
        <v>1071</v>
      </c>
      <c r="S233" s="8"/>
    </row>
    <row r="234" spans="1:19" x14ac:dyDescent="0.3">
      <c r="A234" t="s">
        <v>461</v>
      </c>
      <c r="B234" t="s">
        <v>43</v>
      </c>
      <c r="C234" s="6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  <c r="Q234" s="8">
        <f>(Table1_217[[#This Row],[Likes]]+Table1_217[[#This Row],[Shares]]+Table1_217[[#This Row],[Comments]])/Table1_217[[#This Row],[Impressions]]</f>
        <v>7.2969143576826198E-2</v>
      </c>
      <c r="R234" s="7">
        <f>Table1_217[[#This Row],[Likes]]+Table1_217[[#This Row],[Shares]]+Table1_217[[#This Row],[Comments]]</f>
        <v>2781</v>
      </c>
      <c r="S234" s="8"/>
    </row>
    <row r="235" spans="1:19" x14ac:dyDescent="0.3">
      <c r="A235" t="s">
        <v>462</v>
      </c>
      <c r="B235" t="s">
        <v>43</v>
      </c>
      <c r="C235" s="6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  <c r="Q235" s="8">
        <f>(Table1_217[[#This Row],[Likes]]+Table1_217[[#This Row],[Shares]]+Table1_217[[#This Row],[Comments]])/Table1_217[[#This Row],[Impressions]]</f>
        <v>7.5968222442899705E-2</v>
      </c>
      <c r="R235" s="7">
        <f>Table1_217[[#This Row],[Likes]]+Table1_217[[#This Row],[Shares]]+Table1_217[[#This Row],[Comments]]</f>
        <v>1836</v>
      </c>
      <c r="S235" s="8"/>
    </row>
    <row r="236" spans="1:19" x14ac:dyDescent="0.3">
      <c r="A236" t="s">
        <v>464</v>
      </c>
      <c r="B236" t="s">
        <v>43</v>
      </c>
      <c r="C236" s="6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  <c r="Q236" s="8">
        <f>(Table1_217[[#This Row],[Likes]]+Table1_217[[#This Row],[Shares]]+Table1_217[[#This Row],[Comments]])/Table1_217[[#This Row],[Impressions]]</f>
        <v>0.1283706906360223</v>
      </c>
      <c r="R236" s="7">
        <f>Table1_217[[#This Row],[Likes]]+Table1_217[[#This Row],[Shares]]+Table1_217[[#This Row],[Comments]]</f>
        <v>4513</v>
      </c>
      <c r="S236" s="8"/>
    </row>
    <row r="237" spans="1:19" x14ac:dyDescent="0.3">
      <c r="A237" t="s">
        <v>465</v>
      </c>
      <c r="B237" t="s">
        <v>43</v>
      </c>
      <c r="C237" s="6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s="8">
        <f>(Table1_217[[#This Row],[Likes]]+Table1_217[[#This Row],[Shares]]+Table1_217[[#This Row],[Comments]])/Table1_217[[#This Row],[Impressions]]</f>
        <v>0.12943516308671441</v>
      </c>
      <c r="R237" s="7">
        <f>Table1_217[[#This Row],[Likes]]+Table1_217[[#This Row],[Shares]]+Table1_217[[#This Row],[Comments]]</f>
        <v>1627</v>
      </c>
      <c r="S237" s="8"/>
    </row>
    <row r="238" spans="1:19" x14ac:dyDescent="0.3">
      <c r="A238" t="s">
        <v>467</v>
      </c>
      <c r="B238" t="s">
        <v>33</v>
      </c>
      <c r="C238" s="6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  <c r="Q238" s="8">
        <f>(Table1_217[[#This Row],[Likes]]+Table1_217[[#This Row],[Shares]]+Table1_217[[#This Row],[Comments]])/Table1_217[[#This Row],[Impressions]]</f>
        <v>6.7234398994834563E-2</v>
      </c>
      <c r="R238" s="7">
        <f>Table1_217[[#This Row],[Likes]]+Table1_217[[#This Row],[Shares]]+Table1_217[[#This Row],[Comments]]</f>
        <v>4816</v>
      </c>
      <c r="S238" s="8"/>
    </row>
    <row r="239" spans="1:19" x14ac:dyDescent="0.3">
      <c r="A239" t="s">
        <v>468</v>
      </c>
      <c r="B239" t="s">
        <v>14</v>
      </c>
      <c r="C239" s="6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  <c r="Q239" s="8">
        <f>(Table1_217[[#This Row],[Likes]]+Table1_217[[#This Row],[Shares]]+Table1_217[[#This Row],[Comments]])/Table1_217[[#This Row],[Impressions]]</f>
        <v>7.2579365079365077E-2</v>
      </c>
      <c r="R239" s="7">
        <f>Table1_217[[#This Row],[Likes]]+Table1_217[[#This Row],[Shares]]+Table1_217[[#This Row],[Comments]]</f>
        <v>5487</v>
      </c>
      <c r="S239" s="8"/>
    </row>
    <row r="240" spans="1:19" x14ac:dyDescent="0.3">
      <c r="A240" t="s">
        <v>470</v>
      </c>
      <c r="B240" t="s">
        <v>27</v>
      </c>
      <c r="C240" s="6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  <c r="Q240" s="8">
        <f>(Table1_217[[#This Row],[Likes]]+Table1_217[[#This Row],[Shares]]+Table1_217[[#This Row],[Comments]])/Table1_217[[#This Row],[Impressions]]</f>
        <v>0.25062082139446035</v>
      </c>
      <c r="R240" s="7">
        <f>Table1_217[[#This Row],[Likes]]+Table1_217[[#This Row],[Shares]]+Table1_217[[#This Row],[Comments]]</f>
        <v>5248</v>
      </c>
      <c r="S240" s="8"/>
    </row>
    <row r="241" spans="1:19" x14ac:dyDescent="0.3">
      <c r="A241" t="s">
        <v>471</v>
      </c>
      <c r="B241" t="s">
        <v>14</v>
      </c>
      <c r="C241" s="6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s="8">
        <f>(Table1_217[[#This Row],[Likes]]+Table1_217[[#This Row],[Shares]]+Table1_217[[#This Row],[Comments]])/Table1_217[[#This Row],[Impressions]]</f>
        <v>8.6293505561535699E-2</v>
      </c>
      <c r="R241" s="7">
        <f>Table1_217[[#This Row],[Likes]]+Table1_217[[#This Row],[Shares]]+Table1_217[[#This Row],[Comments]]</f>
        <v>1443</v>
      </c>
      <c r="S241" s="8"/>
    </row>
    <row r="242" spans="1:19" x14ac:dyDescent="0.3">
      <c r="A242" t="s">
        <v>472</v>
      </c>
      <c r="B242" t="s">
        <v>43</v>
      </c>
      <c r="C242" s="6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  <c r="Q242" s="8">
        <f>(Table1_217[[#This Row],[Likes]]+Table1_217[[#This Row],[Shares]]+Table1_217[[#This Row],[Comments]])/Table1_217[[#This Row],[Impressions]]</f>
        <v>0.17743908486792079</v>
      </c>
      <c r="R242" s="7">
        <f>Table1_217[[#This Row],[Likes]]+Table1_217[[#This Row],[Shares]]+Table1_217[[#This Row],[Comments]]</f>
        <v>5367</v>
      </c>
      <c r="S242" s="8"/>
    </row>
    <row r="243" spans="1:19" x14ac:dyDescent="0.3">
      <c r="A243" t="s">
        <v>474</v>
      </c>
      <c r="B243" t="s">
        <v>43</v>
      </c>
      <c r="C243" s="6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  <c r="Q243" s="8">
        <f>(Table1_217[[#This Row],[Likes]]+Table1_217[[#This Row],[Shares]]+Table1_217[[#This Row],[Comments]])/Table1_217[[#This Row],[Impressions]]</f>
        <v>0.18519683938186141</v>
      </c>
      <c r="R243" s="7">
        <f>Table1_217[[#This Row],[Likes]]+Table1_217[[#This Row],[Shares]]+Table1_217[[#This Row],[Comments]]</f>
        <v>5297</v>
      </c>
      <c r="S243" s="8"/>
    </row>
    <row r="244" spans="1:19" x14ac:dyDescent="0.3">
      <c r="A244" t="s">
        <v>475</v>
      </c>
      <c r="B244" t="s">
        <v>14</v>
      </c>
      <c r="C244" s="6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  <c r="Q244" s="8">
        <f>(Table1_217[[#This Row],[Likes]]+Table1_217[[#This Row],[Shares]]+Table1_217[[#This Row],[Comments]])/Table1_217[[#This Row],[Impressions]]</f>
        <v>9.7001272669424113E-2</v>
      </c>
      <c r="R244" s="7">
        <f>Table1_217[[#This Row],[Likes]]+Table1_217[[#This Row],[Shares]]+Table1_217[[#This Row],[Comments]]</f>
        <v>4878</v>
      </c>
      <c r="S244" s="8"/>
    </row>
    <row r="245" spans="1:19" x14ac:dyDescent="0.3">
      <c r="A245" t="s">
        <v>477</v>
      </c>
      <c r="B245" t="s">
        <v>27</v>
      </c>
      <c r="C245" s="6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  <c r="Q245" s="8">
        <f>(Table1_217[[#This Row],[Likes]]+Table1_217[[#This Row],[Shares]]+Table1_217[[#This Row],[Comments]])/Table1_217[[#This Row],[Impressions]]</f>
        <v>0.25869984981763572</v>
      </c>
      <c r="R245" s="7">
        <f>Table1_217[[#This Row],[Likes]]+Table1_217[[#This Row],[Shares]]+Table1_217[[#This Row],[Comments]]</f>
        <v>6029</v>
      </c>
      <c r="S245" s="8"/>
    </row>
    <row r="246" spans="1:19" x14ac:dyDescent="0.3">
      <c r="A246" t="s">
        <v>479</v>
      </c>
      <c r="B246" t="s">
        <v>43</v>
      </c>
      <c r="C246" s="6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  <c r="Q246" s="8">
        <f>(Table1_217[[#This Row],[Likes]]+Table1_217[[#This Row],[Shares]]+Table1_217[[#This Row],[Comments]])/Table1_217[[#This Row],[Impressions]]</f>
        <v>0.12232704402515723</v>
      </c>
      <c r="R246" s="7">
        <f>Table1_217[[#This Row],[Likes]]+Table1_217[[#This Row],[Shares]]+Table1_217[[#This Row],[Comments]]</f>
        <v>5057</v>
      </c>
      <c r="S246" s="8"/>
    </row>
    <row r="247" spans="1:19" x14ac:dyDescent="0.3">
      <c r="A247" t="s">
        <v>481</v>
      </c>
      <c r="B247" t="s">
        <v>43</v>
      </c>
      <c r="C247" s="6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  <c r="Q247" s="8">
        <f>(Table1_217[[#This Row],[Likes]]+Table1_217[[#This Row],[Shares]]+Table1_217[[#This Row],[Comments]])/Table1_217[[#This Row],[Impressions]]</f>
        <v>0.23656250000000001</v>
      </c>
      <c r="R247" s="7">
        <f>Table1_217[[#This Row],[Likes]]+Table1_217[[#This Row],[Shares]]+Table1_217[[#This Row],[Comments]]</f>
        <v>1514</v>
      </c>
      <c r="S247" s="8"/>
    </row>
    <row r="248" spans="1:19" x14ac:dyDescent="0.3">
      <c r="A248" t="s">
        <v>483</v>
      </c>
      <c r="B248" t="s">
        <v>43</v>
      </c>
      <c r="C248" s="6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s="8">
        <f>(Table1_217[[#This Row],[Likes]]+Table1_217[[#This Row],[Shares]]+Table1_217[[#This Row],[Comments]])/Table1_217[[#This Row],[Impressions]]</f>
        <v>0.11879910213243547</v>
      </c>
      <c r="R248" s="7">
        <f>Table1_217[[#This Row],[Likes]]+Table1_217[[#This Row],[Shares]]+Table1_217[[#This Row],[Comments]]</f>
        <v>4234</v>
      </c>
      <c r="S248" s="8"/>
    </row>
    <row r="249" spans="1:19" x14ac:dyDescent="0.3">
      <c r="A249" t="s">
        <v>486</v>
      </c>
      <c r="B249" t="s">
        <v>43</v>
      </c>
      <c r="C249" s="6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  <c r="Q249" s="8">
        <f>(Table1_217[[#This Row],[Likes]]+Table1_217[[#This Row],[Shares]]+Table1_217[[#This Row],[Comments]])/Table1_217[[#This Row],[Impressions]]</f>
        <v>0.26297968397291194</v>
      </c>
      <c r="R249" s="7">
        <f>Table1_217[[#This Row],[Likes]]+Table1_217[[#This Row],[Shares]]+Table1_217[[#This Row],[Comments]]</f>
        <v>1165</v>
      </c>
      <c r="S249" s="8"/>
    </row>
    <row r="250" spans="1:19" x14ac:dyDescent="0.3">
      <c r="A250" t="s">
        <v>487</v>
      </c>
      <c r="B250" t="s">
        <v>14</v>
      </c>
      <c r="C250" s="6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  <c r="Q250" s="8">
        <f>(Table1_217[[#This Row],[Likes]]+Table1_217[[#This Row],[Shares]]+Table1_217[[#This Row],[Comments]])/Table1_217[[#This Row],[Impressions]]</f>
        <v>8.7733440816874911E-2</v>
      </c>
      <c r="R250" s="7">
        <f>Table1_217[[#This Row],[Likes]]+Table1_217[[#This Row],[Shares]]+Table1_217[[#This Row],[Comments]]</f>
        <v>1306</v>
      </c>
      <c r="S250" s="8"/>
    </row>
    <row r="251" spans="1:19" x14ac:dyDescent="0.3">
      <c r="A251" t="s">
        <v>488</v>
      </c>
      <c r="B251" t="s">
        <v>43</v>
      </c>
      <c r="C251" s="6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  <c r="Q251" s="8">
        <f>(Table1_217[[#This Row],[Likes]]+Table1_217[[#This Row],[Shares]]+Table1_217[[#This Row],[Comments]])/Table1_217[[#This Row],[Impressions]]</f>
        <v>7.3170731707317069E-2</v>
      </c>
      <c r="R251" s="7">
        <f>Table1_217[[#This Row],[Likes]]+Table1_217[[#This Row],[Shares]]+Table1_217[[#This Row],[Comments]]</f>
        <v>5022</v>
      </c>
      <c r="S251" s="8"/>
    </row>
    <row r="252" spans="1:19" x14ac:dyDescent="0.3">
      <c r="A252" t="s">
        <v>489</v>
      </c>
      <c r="B252" t="s">
        <v>33</v>
      </c>
      <c r="C252" s="6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  <c r="Q252" s="8">
        <f>(Table1_217[[#This Row],[Likes]]+Table1_217[[#This Row],[Shares]]+Table1_217[[#This Row],[Comments]])/Table1_217[[#This Row],[Impressions]]</f>
        <v>0.11619462599854757</v>
      </c>
      <c r="R252" s="7">
        <f>Table1_217[[#This Row],[Likes]]+Table1_217[[#This Row],[Shares]]+Table1_217[[#This Row],[Comments]]</f>
        <v>2560</v>
      </c>
      <c r="S252" s="8"/>
    </row>
    <row r="253" spans="1:19" x14ac:dyDescent="0.3">
      <c r="A253" t="s">
        <v>491</v>
      </c>
      <c r="B253" t="s">
        <v>43</v>
      </c>
      <c r="C253" s="6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  <c r="Q253" s="8">
        <f>(Table1_217[[#This Row],[Likes]]+Table1_217[[#This Row],[Shares]]+Table1_217[[#This Row],[Comments]])/Table1_217[[#This Row],[Impressions]]</f>
        <v>0.15761129727142173</v>
      </c>
      <c r="R253" s="7">
        <f>Table1_217[[#This Row],[Likes]]+Table1_217[[#This Row],[Shares]]+Table1_217[[#This Row],[Comments]]</f>
        <v>2634</v>
      </c>
      <c r="S253" s="8"/>
    </row>
    <row r="254" spans="1:19" x14ac:dyDescent="0.3">
      <c r="A254" t="s">
        <v>492</v>
      </c>
      <c r="B254" t="s">
        <v>14</v>
      </c>
      <c r="C254" s="6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  <c r="Q254" s="8">
        <f>(Table1_217[[#This Row],[Likes]]+Table1_217[[#This Row],[Shares]]+Table1_217[[#This Row],[Comments]])/Table1_217[[#This Row],[Impressions]]</f>
        <v>8.6897539284772202E-2</v>
      </c>
      <c r="R254" s="7">
        <f>Table1_217[[#This Row],[Likes]]+Table1_217[[#This Row],[Shares]]+Table1_217[[#This Row],[Comments]]</f>
        <v>4612</v>
      </c>
      <c r="S254" s="8"/>
    </row>
    <row r="255" spans="1:19" x14ac:dyDescent="0.3">
      <c r="A255" t="s">
        <v>494</v>
      </c>
      <c r="B255" t="s">
        <v>14</v>
      </c>
      <c r="C255" s="6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  <c r="Q255" s="8">
        <f>(Table1_217[[#This Row],[Likes]]+Table1_217[[#This Row],[Shares]]+Table1_217[[#This Row],[Comments]])/Table1_217[[#This Row],[Impressions]]</f>
        <v>0.13331166419019316</v>
      </c>
      <c r="R255" s="7">
        <f>Table1_217[[#This Row],[Likes]]+Table1_217[[#This Row],[Shares]]+Table1_217[[#This Row],[Comments]]</f>
        <v>2871</v>
      </c>
      <c r="S255" s="8"/>
    </row>
    <row r="256" spans="1:19" x14ac:dyDescent="0.3">
      <c r="A256" t="s">
        <v>496</v>
      </c>
      <c r="B256" t="s">
        <v>43</v>
      </c>
      <c r="C256" s="6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  <c r="Q256" s="8">
        <f>(Table1_217[[#This Row],[Likes]]+Table1_217[[#This Row],[Shares]]+Table1_217[[#This Row],[Comments]])/Table1_217[[#This Row],[Impressions]]</f>
        <v>0.11996283514733209</v>
      </c>
      <c r="R256" s="7">
        <f>Table1_217[[#This Row],[Likes]]+Table1_217[[#This Row],[Shares]]+Table1_217[[#This Row],[Comments]]</f>
        <v>4519</v>
      </c>
      <c r="S256" s="8"/>
    </row>
    <row r="257" spans="1:19" x14ac:dyDescent="0.3">
      <c r="A257" t="s">
        <v>497</v>
      </c>
      <c r="B257" t="s">
        <v>27</v>
      </c>
      <c r="C257" s="6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  <c r="Q257" s="8">
        <f>(Table1_217[[#This Row],[Likes]]+Table1_217[[#This Row],[Shares]]+Table1_217[[#This Row],[Comments]])/Table1_217[[#This Row],[Impressions]]</f>
        <v>5.7936488444630008E-2</v>
      </c>
      <c r="R257" s="7">
        <f>Table1_217[[#This Row],[Likes]]+Table1_217[[#This Row],[Shares]]+Table1_217[[#This Row],[Comments]]</f>
        <v>2359</v>
      </c>
      <c r="S257" s="8"/>
    </row>
    <row r="258" spans="1:19" x14ac:dyDescent="0.3">
      <c r="A258" t="s">
        <v>498</v>
      </c>
      <c r="B258" t="s">
        <v>43</v>
      </c>
      <c r="C258" s="6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s="8">
        <f>(Table1_217[[#This Row],[Likes]]+Table1_217[[#This Row],[Shares]]+Table1_217[[#This Row],[Comments]])/Table1_217[[#This Row],[Impressions]]</f>
        <v>7.9915048543689318E-2</v>
      </c>
      <c r="R258" s="7">
        <f>Table1_217[[#This Row],[Likes]]+Table1_217[[#This Row],[Shares]]+Table1_217[[#This Row],[Comments]]</f>
        <v>3951</v>
      </c>
      <c r="S258" s="8"/>
    </row>
    <row r="259" spans="1:19" x14ac:dyDescent="0.3">
      <c r="A259" t="s">
        <v>500</v>
      </c>
      <c r="B259" t="s">
        <v>33</v>
      </c>
      <c r="C259" s="6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  <c r="Q259" s="8">
        <f>(Table1_217[[#This Row],[Likes]]+Table1_217[[#This Row],[Shares]]+Table1_217[[#This Row],[Comments]])/Table1_217[[#This Row],[Impressions]]</f>
        <v>0.2023049153013052</v>
      </c>
      <c r="R259" s="7">
        <f>Table1_217[[#This Row],[Likes]]+Table1_217[[#This Row],[Shares]]+Table1_217[[#This Row],[Comments]]</f>
        <v>4371</v>
      </c>
      <c r="S259" s="8"/>
    </row>
    <row r="260" spans="1:19" x14ac:dyDescent="0.3">
      <c r="A260" t="s">
        <v>502</v>
      </c>
      <c r="B260" t="s">
        <v>43</v>
      </c>
      <c r="C260" s="6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  <c r="Q260" s="8">
        <f>(Table1_217[[#This Row],[Likes]]+Table1_217[[#This Row],[Shares]]+Table1_217[[#This Row],[Comments]])/Table1_217[[#This Row],[Impressions]]</f>
        <v>0.25771055753262156</v>
      </c>
      <c r="R260" s="7">
        <f>Table1_217[[#This Row],[Likes]]+Table1_217[[#This Row],[Shares]]+Table1_217[[#This Row],[Comments]]</f>
        <v>869</v>
      </c>
      <c r="S260" s="8"/>
    </row>
    <row r="261" spans="1:19" x14ac:dyDescent="0.3">
      <c r="A261" t="s">
        <v>503</v>
      </c>
      <c r="B261" t="s">
        <v>33</v>
      </c>
      <c r="C261" s="6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s="8">
        <f>(Table1_217[[#This Row],[Likes]]+Table1_217[[#This Row],[Shares]]+Table1_217[[#This Row],[Comments]])/Table1_217[[#This Row],[Impressions]]</f>
        <v>8.7752275425405618E-2</v>
      </c>
      <c r="R261" s="7">
        <f>Table1_217[[#This Row],[Likes]]+Table1_217[[#This Row],[Shares]]+Table1_217[[#This Row],[Comments]]</f>
        <v>5322</v>
      </c>
      <c r="S261" s="8"/>
    </row>
    <row r="262" spans="1:19" x14ac:dyDescent="0.3">
      <c r="A262" t="s">
        <v>506</v>
      </c>
      <c r="B262" t="s">
        <v>33</v>
      </c>
      <c r="C262" s="6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  <c r="Q262" s="8">
        <f>(Table1_217[[#This Row],[Likes]]+Table1_217[[#This Row],[Shares]]+Table1_217[[#This Row],[Comments]])/Table1_217[[#This Row],[Impressions]]</f>
        <v>8.2835359571399134E-2</v>
      </c>
      <c r="R262" s="7">
        <f>Table1_217[[#This Row],[Likes]]+Table1_217[[#This Row],[Shares]]+Table1_217[[#This Row],[Comments]]</f>
        <v>6030</v>
      </c>
      <c r="S262" s="8"/>
    </row>
    <row r="263" spans="1:19" x14ac:dyDescent="0.3">
      <c r="A263" t="s">
        <v>508</v>
      </c>
      <c r="B263" t="s">
        <v>27</v>
      </c>
      <c r="C263" s="6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  <c r="Q263" s="8">
        <f>(Table1_217[[#This Row],[Likes]]+Table1_217[[#This Row],[Shares]]+Table1_217[[#This Row],[Comments]])/Table1_217[[#This Row],[Impressions]]</f>
        <v>0.15339966832504145</v>
      </c>
      <c r="R263" s="7">
        <f>Table1_217[[#This Row],[Likes]]+Table1_217[[#This Row],[Shares]]+Table1_217[[#This Row],[Comments]]</f>
        <v>1480</v>
      </c>
      <c r="S263" s="8"/>
    </row>
    <row r="264" spans="1:19" x14ac:dyDescent="0.3">
      <c r="A264" t="s">
        <v>509</v>
      </c>
      <c r="B264" t="s">
        <v>33</v>
      </c>
      <c r="C264" s="6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  <c r="Q264" s="8">
        <f>(Table1_217[[#This Row],[Likes]]+Table1_217[[#This Row],[Shares]]+Table1_217[[#This Row],[Comments]])/Table1_217[[#This Row],[Impressions]]</f>
        <v>0.26876680752977333</v>
      </c>
      <c r="R264" s="7">
        <f>Table1_217[[#This Row],[Likes]]+Table1_217[[#This Row],[Shares]]+Table1_217[[#This Row],[Comments]]</f>
        <v>3498</v>
      </c>
      <c r="S264" s="8"/>
    </row>
    <row r="265" spans="1:19" x14ac:dyDescent="0.3">
      <c r="A265" t="s">
        <v>511</v>
      </c>
      <c r="B265" t="s">
        <v>14</v>
      </c>
      <c r="C265" s="6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  <c r="Q265" s="8">
        <f>(Table1_217[[#This Row],[Likes]]+Table1_217[[#This Row],[Shares]]+Table1_217[[#This Row],[Comments]])/Table1_217[[#This Row],[Impressions]]</f>
        <v>0.53389830508474578</v>
      </c>
      <c r="R265" s="7">
        <f>Table1_217[[#This Row],[Likes]]+Table1_217[[#This Row],[Shares]]+Table1_217[[#This Row],[Comments]]</f>
        <v>315</v>
      </c>
      <c r="S265" s="8"/>
    </row>
    <row r="266" spans="1:19" x14ac:dyDescent="0.3">
      <c r="A266" t="s">
        <v>513</v>
      </c>
      <c r="B266" t="s">
        <v>14</v>
      </c>
      <c r="C266" s="6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  <c r="Q266" s="8">
        <f>(Table1_217[[#This Row],[Likes]]+Table1_217[[#This Row],[Shares]]+Table1_217[[#This Row],[Comments]])/Table1_217[[#This Row],[Impressions]]</f>
        <v>0.25279701651571657</v>
      </c>
      <c r="R266" s="7">
        <f>Table1_217[[#This Row],[Likes]]+Table1_217[[#This Row],[Shares]]+Table1_217[[#This Row],[Comments]]</f>
        <v>2847</v>
      </c>
      <c r="S266" s="8"/>
    </row>
    <row r="267" spans="1:19" x14ac:dyDescent="0.3">
      <c r="A267" t="s">
        <v>515</v>
      </c>
      <c r="B267" t="s">
        <v>43</v>
      </c>
      <c r="C267" s="6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  <c r="Q267" s="8">
        <f>(Table1_217[[#This Row],[Likes]]+Table1_217[[#This Row],[Shares]]+Table1_217[[#This Row],[Comments]])/Table1_217[[#This Row],[Impressions]]</f>
        <v>0.10086880280567512</v>
      </c>
      <c r="R267" s="7">
        <f>Table1_217[[#This Row],[Likes]]+Table1_217[[#This Row],[Shares]]+Table1_217[[#This Row],[Comments]]</f>
        <v>5062</v>
      </c>
      <c r="S267" s="8"/>
    </row>
    <row r="268" spans="1:19" x14ac:dyDescent="0.3">
      <c r="A268" t="s">
        <v>516</v>
      </c>
      <c r="B268" t="s">
        <v>14</v>
      </c>
      <c r="C268" s="6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  <c r="Q268" s="8">
        <f>(Table1_217[[#This Row],[Likes]]+Table1_217[[#This Row],[Shares]]+Table1_217[[#This Row],[Comments]])/Table1_217[[#This Row],[Impressions]]</f>
        <v>6.3947934081681396E-2</v>
      </c>
      <c r="R268" s="7">
        <f>Table1_217[[#This Row],[Likes]]+Table1_217[[#This Row],[Shares]]+Table1_217[[#This Row],[Comments]]</f>
        <v>4284</v>
      </c>
      <c r="S268" s="8"/>
    </row>
    <row r="269" spans="1:19" x14ac:dyDescent="0.3">
      <c r="A269" t="s">
        <v>517</v>
      </c>
      <c r="B269" t="s">
        <v>33</v>
      </c>
      <c r="C269" s="6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  <c r="Q269" s="8">
        <f>(Table1_217[[#This Row],[Likes]]+Table1_217[[#This Row],[Shares]]+Table1_217[[#This Row],[Comments]])/Table1_217[[#This Row],[Impressions]]</f>
        <v>8.4062694239588759E-2</v>
      </c>
      <c r="R269" s="7">
        <f>Table1_217[[#This Row],[Likes]]+Table1_217[[#This Row],[Shares]]+Table1_217[[#This Row],[Comments]]</f>
        <v>5004</v>
      </c>
      <c r="S269" s="8"/>
    </row>
    <row r="270" spans="1:19" x14ac:dyDescent="0.3">
      <c r="A270" t="s">
        <v>519</v>
      </c>
      <c r="B270" t="s">
        <v>33</v>
      </c>
      <c r="C270" s="6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  <c r="Q270" s="8">
        <f>(Table1_217[[#This Row],[Likes]]+Table1_217[[#This Row],[Shares]]+Table1_217[[#This Row],[Comments]])/Table1_217[[#This Row],[Impressions]]</f>
        <v>0.22157421618066214</v>
      </c>
      <c r="R270" s="7">
        <f>Table1_217[[#This Row],[Likes]]+Table1_217[[#This Row],[Shares]]+Table1_217[[#This Row],[Comments]]</f>
        <v>5053</v>
      </c>
      <c r="S270" s="8"/>
    </row>
    <row r="271" spans="1:19" x14ac:dyDescent="0.3">
      <c r="A271" t="s">
        <v>521</v>
      </c>
      <c r="B271" t="s">
        <v>27</v>
      </c>
      <c r="C271" s="6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  <c r="Q271" s="8">
        <f>(Table1_217[[#This Row],[Likes]]+Table1_217[[#This Row],[Shares]]+Table1_217[[#This Row],[Comments]])/Table1_217[[#This Row],[Impressions]]</f>
        <v>6.7103868574456813E-2</v>
      </c>
      <c r="R271" s="7">
        <f>Table1_217[[#This Row],[Likes]]+Table1_217[[#This Row],[Shares]]+Table1_217[[#This Row],[Comments]]</f>
        <v>4052</v>
      </c>
      <c r="S271" s="8"/>
    </row>
    <row r="272" spans="1:19" x14ac:dyDescent="0.3">
      <c r="A272" t="s">
        <v>522</v>
      </c>
      <c r="B272" t="s">
        <v>33</v>
      </c>
      <c r="C272" s="6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  <c r="Q272" s="8">
        <f>(Table1_217[[#This Row],[Likes]]+Table1_217[[#This Row],[Shares]]+Table1_217[[#This Row],[Comments]])/Table1_217[[#This Row],[Impressions]]</f>
        <v>0.20675990675990677</v>
      </c>
      <c r="R272" s="7">
        <f>Table1_217[[#This Row],[Likes]]+Table1_217[[#This Row],[Shares]]+Table1_217[[#This Row],[Comments]]</f>
        <v>4435</v>
      </c>
      <c r="S272" s="8"/>
    </row>
    <row r="273" spans="1:19" x14ac:dyDescent="0.3">
      <c r="A273" t="s">
        <v>524</v>
      </c>
      <c r="B273" t="s">
        <v>33</v>
      </c>
      <c r="C273" s="6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  <c r="Q273" s="8">
        <f>(Table1_217[[#This Row],[Likes]]+Table1_217[[#This Row],[Shares]]+Table1_217[[#This Row],[Comments]])/Table1_217[[#This Row],[Impressions]]</f>
        <v>0.14220299534507186</v>
      </c>
      <c r="R273" s="7">
        <f>Table1_217[[#This Row],[Likes]]+Table1_217[[#This Row],[Shares]]+Table1_217[[#This Row],[Comments]]</f>
        <v>5621</v>
      </c>
      <c r="S273" s="8"/>
    </row>
    <row r="274" spans="1:19" x14ac:dyDescent="0.3">
      <c r="A274" t="s">
        <v>525</v>
      </c>
      <c r="B274" t="s">
        <v>27</v>
      </c>
      <c r="C274" s="6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  <c r="Q274" s="8">
        <f>(Table1_217[[#This Row],[Likes]]+Table1_217[[#This Row],[Shares]]+Table1_217[[#This Row],[Comments]])/Table1_217[[#This Row],[Impressions]]</f>
        <v>9.7700431949264685E-2</v>
      </c>
      <c r="R274" s="7">
        <f>Table1_217[[#This Row],[Likes]]+Table1_217[[#This Row],[Shares]]+Table1_217[[#This Row],[Comments]]</f>
        <v>3913</v>
      </c>
      <c r="S274" s="8"/>
    </row>
    <row r="275" spans="1:19" x14ac:dyDescent="0.3">
      <c r="A275" t="s">
        <v>527</v>
      </c>
      <c r="B275" t="s">
        <v>14</v>
      </c>
      <c r="C275" s="6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  <c r="Q275" s="8">
        <f>(Table1_217[[#This Row],[Likes]]+Table1_217[[#This Row],[Shares]]+Table1_217[[#This Row],[Comments]])/Table1_217[[#This Row],[Impressions]]</f>
        <v>7.8849599245638849E-2</v>
      </c>
      <c r="R275" s="7">
        <f>Table1_217[[#This Row],[Likes]]+Table1_217[[#This Row],[Shares]]+Table1_217[[#This Row],[Comments]]</f>
        <v>4181</v>
      </c>
      <c r="S275" s="8"/>
    </row>
    <row r="276" spans="1:19" x14ac:dyDescent="0.3">
      <c r="A276" t="s">
        <v>528</v>
      </c>
      <c r="B276" t="s">
        <v>43</v>
      </c>
      <c r="C276" s="6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  <c r="Q276" s="8">
        <f>(Table1_217[[#This Row],[Likes]]+Table1_217[[#This Row],[Shares]]+Table1_217[[#This Row],[Comments]])/Table1_217[[#This Row],[Impressions]]</f>
        <v>0.16754738655944859</v>
      </c>
      <c r="R276" s="7">
        <f>Table1_217[[#This Row],[Likes]]+Table1_217[[#This Row],[Shares]]+Table1_217[[#This Row],[Comments]]</f>
        <v>2917</v>
      </c>
      <c r="S276" s="8"/>
    </row>
    <row r="277" spans="1:19" x14ac:dyDescent="0.3">
      <c r="A277" t="s">
        <v>529</v>
      </c>
      <c r="B277" t="s">
        <v>14</v>
      </c>
      <c r="C277" s="6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  <c r="Q277" s="8">
        <f>(Table1_217[[#This Row],[Likes]]+Table1_217[[#This Row],[Shares]]+Table1_217[[#This Row],[Comments]])/Table1_217[[#This Row],[Impressions]]</f>
        <v>0.2015852613538989</v>
      </c>
      <c r="R277" s="7">
        <f>Table1_217[[#This Row],[Likes]]+Table1_217[[#This Row],[Shares]]+Table1_217[[#This Row],[Comments]]</f>
        <v>1882</v>
      </c>
      <c r="S277" s="8"/>
    </row>
    <row r="278" spans="1:19" x14ac:dyDescent="0.3">
      <c r="A278" t="s">
        <v>531</v>
      </c>
      <c r="B278" t="s">
        <v>43</v>
      </c>
      <c r="C278" s="6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  <c r="Q278" s="8">
        <f>(Table1_217[[#This Row],[Likes]]+Table1_217[[#This Row],[Shares]]+Table1_217[[#This Row],[Comments]])/Table1_217[[#This Row],[Impressions]]</f>
        <v>0.24763928234183191</v>
      </c>
      <c r="R278" s="7">
        <f>Table1_217[[#This Row],[Likes]]+Table1_217[[#This Row],[Shares]]+Table1_217[[#This Row],[Comments]]</f>
        <v>5245</v>
      </c>
      <c r="S278" s="8"/>
    </row>
    <row r="279" spans="1:19" x14ac:dyDescent="0.3">
      <c r="A279" t="s">
        <v>532</v>
      </c>
      <c r="B279" t="s">
        <v>14</v>
      </c>
      <c r="C279" s="6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  <c r="Q279" s="8">
        <f>(Table1_217[[#This Row],[Likes]]+Table1_217[[#This Row],[Shares]]+Table1_217[[#This Row],[Comments]])/Table1_217[[#This Row],[Impressions]]</f>
        <v>0.11114018842096787</v>
      </c>
      <c r="R279" s="7">
        <f>Table1_217[[#This Row],[Likes]]+Table1_217[[#This Row],[Shares]]+Table1_217[[#This Row],[Comments]]</f>
        <v>5521</v>
      </c>
      <c r="S279" s="8"/>
    </row>
    <row r="280" spans="1:19" x14ac:dyDescent="0.3">
      <c r="A280" t="s">
        <v>534</v>
      </c>
      <c r="B280" t="s">
        <v>27</v>
      </c>
      <c r="C280" s="6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  <c r="Q280" s="8">
        <f>(Table1_217[[#This Row],[Likes]]+Table1_217[[#This Row],[Shares]]+Table1_217[[#This Row],[Comments]])/Table1_217[[#This Row],[Impressions]]</f>
        <v>5.9928644240570844E-2</v>
      </c>
      <c r="R280" s="7">
        <f>Table1_217[[#This Row],[Likes]]+Table1_217[[#This Row],[Shares]]+Table1_217[[#This Row],[Comments]]</f>
        <v>5879</v>
      </c>
      <c r="S280" s="8"/>
    </row>
    <row r="281" spans="1:19" x14ac:dyDescent="0.3">
      <c r="A281" t="s">
        <v>535</v>
      </c>
      <c r="B281" t="s">
        <v>27</v>
      </c>
      <c r="C281" s="6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s="8">
        <f>(Table1_217[[#This Row],[Likes]]+Table1_217[[#This Row],[Shares]]+Table1_217[[#This Row],[Comments]])/Table1_217[[#This Row],[Impressions]]</f>
        <v>8.3274853801169585E-2</v>
      </c>
      <c r="R281" s="7">
        <f>Table1_217[[#This Row],[Likes]]+Table1_217[[#This Row],[Shares]]+Table1_217[[#This Row],[Comments]]</f>
        <v>5340</v>
      </c>
      <c r="S281" s="8"/>
    </row>
    <row r="282" spans="1:19" x14ac:dyDescent="0.3">
      <c r="A282" t="s">
        <v>536</v>
      </c>
      <c r="B282" t="s">
        <v>27</v>
      </c>
      <c r="C282" s="6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  <c r="Q282" s="8">
        <f>(Table1_217[[#This Row],[Likes]]+Table1_217[[#This Row],[Shares]]+Table1_217[[#This Row],[Comments]])/Table1_217[[#This Row],[Impressions]]</f>
        <v>6.3118551273952411E-2</v>
      </c>
      <c r="R282" s="7">
        <f>Table1_217[[#This Row],[Likes]]+Table1_217[[#This Row],[Shares]]+Table1_217[[#This Row],[Comments]]</f>
        <v>3597</v>
      </c>
      <c r="S282" s="8"/>
    </row>
    <row r="283" spans="1:19" x14ac:dyDescent="0.3">
      <c r="A283" t="s">
        <v>538</v>
      </c>
      <c r="B283" t="s">
        <v>33</v>
      </c>
      <c r="C283" s="6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  <c r="Q283" s="8">
        <f>(Table1_217[[#This Row],[Likes]]+Table1_217[[#This Row],[Shares]]+Table1_217[[#This Row],[Comments]])/Table1_217[[#This Row],[Impressions]]</f>
        <v>0.1071650124069479</v>
      </c>
      <c r="R283" s="7">
        <f>Table1_217[[#This Row],[Likes]]+Table1_217[[#This Row],[Shares]]+Table1_217[[#This Row],[Comments]]</f>
        <v>2073</v>
      </c>
      <c r="S283" s="8"/>
    </row>
    <row r="284" spans="1:19" x14ac:dyDescent="0.3">
      <c r="A284" t="s">
        <v>540</v>
      </c>
      <c r="B284" t="s">
        <v>14</v>
      </c>
      <c r="C284" s="6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  <c r="Q284" s="8">
        <f>(Table1_217[[#This Row],[Likes]]+Table1_217[[#This Row],[Shares]]+Table1_217[[#This Row],[Comments]])/Table1_217[[#This Row],[Impressions]]</f>
        <v>5.8243321401216137E-2</v>
      </c>
      <c r="R284" s="7">
        <f>Table1_217[[#This Row],[Likes]]+Table1_217[[#This Row],[Shares]]+Table1_217[[#This Row],[Comments]]</f>
        <v>3726</v>
      </c>
      <c r="S284" s="8"/>
    </row>
    <row r="285" spans="1:19" x14ac:dyDescent="0.3">
      <c r="A285" t="s">
        <v>542</v>
      </c>
      <c r="B285" t="s">
        <v>14</v>
      </c>
      <c r="C285" s="6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  <c r="Q285" s="8">
        <f>(Table1_217[[#This Row],[Likes]]+Table1_217[[#This Row],[Shares]]+Table1_217[[#This Row],[Comments]])/Table1_217[[#This Row],[Impressions]]</f>
        <v>0.11465952405480581</v>
      </c>
      <c r="R285" s="7">
        <f>Table1_217[[#This Row],[Likes]]+Table1_217[[#This Row],[Shares]]+Table1_217[[#This Row],[Comments]]</f>
        <v>1113</v>
      </c>
      <c r="S285" s="8"/>
    </row>
    <row r="286" spans="1:19" x14ac:dyDescent="0.3">
      <c r="A286" t="s">
        <v>543</v>
      </c>
      <c r="B286" t="s">
        <v>27</v>
      </c>
      <c r="C286" s="6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  <c r="Q286" s="8">
        <f>(Table1_217[[#This Row],[Likes]]+Table1_217[[#This Row],[Shares]]+Table1_217[[#This Row],[Comments]])/Table1_217[[#This Row],[Impressions]]</f>
        <v>0.13517919809886983</v>
      </c>
      <c r="R286" s="7">
        <f>Table1_217[[#This Row],[Likes]]+Table1_217[[#This Row],[Shares]]+Table1_217[[#This Row],[Comments]]</f>
        <v>4892</v>
      </c>
      <c r="S286" s="8"/>
    </row>
    <row r="287" spans="1:19" x14ac:dyDescent="0.3">
      <c r="A287" t="s">
        <v>544</v>
      </c>
      <c r="B287" t="s">
        <v>27</v>
      </c>
      <c r="C287" s="6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  <c r="Q287" s="8">
        <f>(Table1_217[[#This Row],[Likes]]+Table1_217[[#This Row],[Shares]]+Table1_217[[#This Row],[Comments]])/Table1_217[[#This Row],[Impressions]]</f>
        <v>0.19484607062063539</v>
      </c>
      <c r="R287" s="7">
        <f>Table1_217[[#This Row],[Likes]]+Table1_217[[#This Row],[Shares]]+Table1_217[[#This Row],[Comments]]</f>
        <v>3962</v>
      </c>
      <c r="S287" s="8"/>
    </row>
    <row r="288" spans="1:19" x14ac:dyDescent="0.3">
      <c r="A288" t="s">
        <v>546</v>
      </c>
      <c r="B288" t="s">
        <v>33</v>
      </c>
      <c r="C288" s="6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  <c r="Q288" s="8">
        <f>(Table1_217[[#This Row],[Likes]]+Table1_217[[#This Row],[Shares]]+Table1_217[[#This Row],[Comments]])/Table1_217[[#This Row],[Impressions]]</f>
        <v>0.30126002290950743</v>
      </c>
      <c r="R288" s="7">
        <f>Table1_217[[#This Row],[Likes]]+Table1_217[[#This Row],[Shares]]+Table1_217[[#This Row],[Comments]]</f>
        <v>2104</v>
      </c>
      <c r="S288" s="8"/>
    </row>
    <row r="289" spans="1:19" x14ac:dyDescent="0.3">
      <c r="A289" t="s">
        <v>547</v>
      </c>
      <c r="B289" t="s">
        <v>27</v>
      </c>
      <c r="C289" s="6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  <c r="Q289" s="8">
        <f>(Table1_217[[#This Row],[Likes]]+Table1_217[[#This Row],[Shares]]+Table1_217[[#This Row],[Comments]])/Table1_217[[#This Row],[Impressions]]</f>
        <v>6.800325430032543E-2</v>
      </c>
      <c r="R289" s="7">
        <f>Table1_217[[#This Row],[Likes]]+Table1_217[[#This Row],[Shares]]+Table1_217[[#This Row],[Comments]]</f>
        <v>5851</v>
      </c>
      <c r="S289" s="8"/>
    </row>
    <row r="290" spans="1:19" x14ac:dyDescent="0.3">
      <c r="A290" t="s">
        <v>549</v>
      </c>
      <c r="B290" t="s">
        <v>43</v>
      </c>
      <c r="C290" s="6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  <c r="Q290" s="8">
        <f>(Table1_217[[#This Row],[Likes]]+Table1_217[[#This Row],[Shares]]+Table1_217[[#This Row],[Comments]])/Table1_217[[#This Row],[Impressions]]</f>
        <v>7.3018902217375503E-2</v>
      </c>
      <c r="R290" s="7">
        <f>Table1_217[[#This Row],[Likes]]+Table1_217[[#This Row],[Shares]]+Table1_217[[#This Row],[Comments]]</f>
        <v>3214</v>
      </c>
      <c r="S290" s="8"/>
    </row>
    <row r="291" spans="1:19" x14ac:dyDescent="0.3">
      <c r="A291" t="s">
        <v>550</v>
      </c>
      <c r="B291" t="s">
        <v>33</v>
      </c>
      <c r="C291" s="6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  <c r="Q291" s="8">
        <f>(Table1_217[[#This Row],[Likes]]+Table1_217[[#This Row],[Shares]]+Table1_217[[#This Row],[Comments]])/Table1_217[[#This Row],[Impressions]]</f>
        <v>8.3921940869371006E-2</v>
      </c>
      <c r="R291" s="7">
        <f>Table1_217[[#This Row],[Likes]]+Table1_217[[#This Row],[Shares]]+Table1_217[[#This Row],[Comments]]</f>
        <v>3006</v>
      </c>
      <c r="S291" s="8"/>
    </row>
    <row r="292" spans="1:19" x14ac:dyDescent="0.3">
      <c r="A292" t="s">
        <v>552</v>
      </c>
      <c r="B292" t="s">
        <v>43</v>
      </c>
      <c r="C292" s="6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  <c r="Q292" s="8">
        <f>(Table1_217[[#This Row],[Likes]]+Table1_217[[#This Row],[Shares]]+Table1_217[[#This Row],[Comments]])/Table1_217[[#This Row],[Impressions]]</f>
        <v>7.1956537279290869E-2</v>
      </c>
      <c r="R292" s="7">
        <f>Table1_217[[#This Row],[Likes]]+Table1_217[[#This Row],[Shares]]+Table1_217[[#This Row],[Comments]]</f>
        <v>5033</v>
      </c>
      <c r="S292" s="8"/>
    </row>
    <row r="293" spans="1:19" x14ac:dyDescent="0.3">
      <c r="A293" t="s">
        <v>553</v>
      </c>
      <c r="B293" t="s">
        <v>43</v>
      </c>
      <c r="C293" s="6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  <c r="Q293" s="8">
        <f>(Table1_217[[#This Row],[Likes]]+Table1_217[[#This Row],[Shares]]+Table1_217[[#This Row],[Comments]])/Table1_217[[#This Row],[Impressions]]</f>
        <v>0.12353896103896105</v>
      </c>
      <c r="R293" s="7">
        <f>Table1_217[[#This Row],[Likes]]+Table1_217[[#This Row],[Shares]]+Table1_217[[#This Row],[Comments]]</f>
        <v>1522</v>
      </c>
      <c r="S293" s="8"/>
    </row>
    <row r="294" spans="1:19" x14ac:dyDescent="0.3">
      <c r="A294" t="s">
        <v>555</v>
      </c>
      <c r="B294" t="s">
        <v>43</v>
      </c>
      <c r="C294" s="6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  <c r="Q294" s="8">
        <f>(Table1_217[[#This Row],[Likes]]+Table1_217[[#This Row],[Shares]]+Table1_217[[#This Row],[Comments]])/Table1_217[[#This Row],[Impressions]]</f>
        <v>0.12428384068475185</v>
      </c>
      <c r="R294" s="7">
        <f>Table1_217[[#This Row],[Likes]]+Table1_217[[#This Row],[Shares]]+Table1_217[[#This Row],[Comments]]</f>
        <v>3601</v>
      </c>
      <c r="S294" s="8"/>
    </row>
    <row r="295" spans="1:19" x14ac:dyDescent="0.3">
      <c r="A295" t="s">
        <v>557</v>
      </c>
      <c r="B295" t="s">
        <v>43</v>
      </c>
      <c r="C295" s="6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  <c r="Q295" s="8">
        <f>(Table1_217[[#This Row],[Likes]]+Table1_217[[#This Row],[Shares]]+Table1_217[[#This Row],[Comments]])/Table1_217[[#This Row],[Impressions]]</f>
        <v>0.18248432325794406</v>
      </c>
      <c r="R295" s="7">
        <f>Table1_217[[#This Row],[Likes]]+Table1_217[[#This Row],[Shares]]+Table1_217[[#This Row],[Comments]]</f>
        <v>5180</v>
      </c>
      <c r="S295" s="8"/>
    </row>
    <row r="296" spans="1:19" x14ac:dyDescent="0.3">
      <c r="A296" t="s">
        <v>559</v>
      </c>
      <c r="B296" t="s">
        <v>14</v>
      </c>
      <c r="C296" s="6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s="8">
        <f>(Table1_217[[#This Row],[Likes]]+Table1_217[[#This Row],[Shares]]+Table1_217[[#This Row],[Comments]])/Table1_217[[#This Row],[Impressions]]</f>
        <v>0.16540727459016394</v>
      </c>
      <c r="R296" s="7">
        <f>Table1_217[[#This Row],[Likes]]+Table1_217[[#This Row],[Shares]]+Table1_217[[#This Row],[Comments]]</f>
        <v>2583</v>
      </c>
      <c r="S296" s="8"/>
    </row>
    <row r="297" spans="1:19" x14ac:dyDescent="0.3">
      <c r="A297" t="s">
        <v>560</v>
      </c>
      <c r="B297" t="s">
        <v>14</v>
      </c>
      <c r="C297" s="6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  <c r="Q297" s="8">
        <f>(Table1_217[[#This Row],[Likes]]+Table1_217[[#This Row],[Shares]]+Table1_217[[#This Row],[Comments]])/Table1_217[[#This Row],[Impressions]]</f>
        <v>5.9387824897400819E-2</v>
      </c>
      <c r="R297" s="7">
        <f>Table1_217[[#This Row],[Likes]]+Table1_217[[#This Row],[Shares]]+Table1_217[[#This Row],[Comments]]</f>
        <v>3473</v>
      </c>
      <c r="S297" s="8"/>
    </row>
    <row r="298" spans="1:19" x14ac:dyDescent="0.3">
      <c r="A298" t="s">
        <v>562</v>
      </c>
      <c r="B298" t="s">
        <v>14</v>
      </c>
      <c r="C298" s="6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  <c r="Q298" s="8">
        <f>(Table1_217[[#This Row],[Likes]]+Table1_217[[#This Row],[Shares]]+Table1_217[[#This Row],[Comments]])/Table1_217[[#This Row],[Impressions]]</f>
        <v>0.24349030470914126</v>
      </c>
      <c r="R298" s="7">
        <f>Table1_217[[#This Row],[Likes]]+Table1_217[[#This Row],[Shares]]+Table1_217[[#This Row],[Comments]]</f>
        <v>2637</v>
      </c>
      <c r="S298" s="8"/>
    </row>
    <row r="299" spans="1:19" x14ac:dyDescent="0.3">
      <c r="A299" t="s">
        <v>564</v>
      </c>
      <c r="B299" t="s">
        <v>43</v>
      </c>
      <c r="C299" s="6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  <c r="Q299" s="8">
        <f>(Table1_217[[#This Row],[Likes]]+Table1_217[[#This Row],[Shares]]+Table1_217[[#This Row],[Comments]])/Table1_217[[#This Row],[Impressions]]</f>
        <v>5.8563792702765516E-2</v>
      </c>
      <c r="R299" s="7">
        <f>Table1_217[[#This Row],[Likes]]+Table1_217[[#This Row],[Shares]]+Table1_217[[#This Row],[Comments]]</f>
        <v>5040</v>
      </c>
      <c r="S299" s="8"/>
    </row>
    <row r="300" spans="1:19" x14ac:dyDescent="0.3">
      <c r="A300" t="s">
        <v>565</v>
      </c>
      <c r="B300" t="s">
        <v>43</v>
      </c>
      <c r="C300" s="6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  <c r="Q300" s="8">
        <f>(Table1_217[[#This Row],[Likes]]+Table1_217[[#This Row],[Shares]]+Table1_217[[#This Row],[Comments]])/Table1_217[[#This Row],[Impressions]]</f>
        <v>0.13840458048129492</v>
      </c>
      <c r="R300" s="7">
        <f>Table1_217[[#This Row],[Likes]]+Table1_217[[#This Row],[Shares]]+Table1_217[[#This Row],[Comments]]</f>
        <v>3215</v>
      </c>
      <c r="S300" s="8"/>
    </row>
    <row r="301" spans="1:19" x14ac:dyDescent="0.3">
      <c r="A301" t="s">
        <v>566</v>
      </c>
      <c r="B301" t="s">
        <v>14</v>
      </c>
      <c r="C301" s="6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s="8">
        <f>(Table1_217[[#This Row],[Likes]]+Table1_217[[#This Row],[Shares]]+Table1_217[[#This Row],[Comments]])/Table1_217[[#This Row],[Impressions]]</f>
        <v>8.3539958039290485E-2</v>
      </c>
      <c r="R301" s="7">
        <f>Table1_217[[#This Row],[Likes]]+Table1_217[[#This Row],[Shares]]+Table1_217[[#This Row],[Comments]]</f>
        <v>5256</v>
      </c>
      <c r="S301" s="8"/>
    </row>
  </sheetData>
  <pageMargins left="0.7" right="0.7" top="0.75" bottom="0.75" header="0.3" footer="0.3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D49EA-8BD9-4B05-928B-0A7C2CE83879}">
  <dimension ref="A1:U340"/>
  <sheetViews>
    <sheetView topLeftCell="L1" workbookViewId="0">
      <selection activeCell="P14" sqref="P14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7.10937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3.21875" bestFit="1" customWidth="1"/>
    <col min="13" max="13" width="18.109375" bestFit="1" customWidth="1"/>
    <col min="14" max="14" width="20.21875" bestFit="1" customWidth="1"/>
    <col min="16" max="16" width="20.21875" bestFit="1" customWidth="1"/>
    <col min="17" max="17" width="25.77734375" style="38" bestFit="1" customWidth="1"/>
    <col min="18" max="18" width="9.44140625" bestFit="1" customWidth="1"/>
    <col min="19" max="19" width="7" bestFit="1" customWidth="1"/>
    <col min="20" max="20" width="8.44140625" bestFit="1" customWidth="1"/>
    <col min="21" max="21" width="10.7773437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618</v>
      </c>
      <c r="M1" t="s">
        <v>617</v>
      </c>
      <c r="N1" t="s">
        <v>619</v>
      </c>
    </row>
    <row r="2" spans="1:21" x14ac:dyDescent="0.3">
      <c r="A2" t="s">
        <v>13</v>
      </c>
      <c r="B2" t="s">
        <v>14</v>
      </c>
      <c r="C2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>
        <v>9.0759753593429152E-2</v>
      </c>
      <c r="N2" t="s">
        <v>62</v>
      </c>
      <c r="P2" s="9" t="s">
        <v>619</v>
      </c>
      <c r="Q2" s="38" t="s">
        <v>626</v>
      </c>
    </row>
    <row r="3" spans="1:21" x14ac:dyDescent="0.3">
      <c r="A3" t="s">
        <v>13</v>
      </c>
      <c r="B3" t="s">
        <v>14</v>
      </c>
      <c r="C3">
        <v>45649</v>
      </c>
      <c r="D3" t="s">
        <v>16</v>
      </c>
      <c r="E3" t="s">
        <v>17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19</v>
      </c>
      <c r="M3">
        <v>9.0759753593429152E-2</v>
      </c>
      <c r="N3" t="s">
        <v>615</v>
      </c>
      <c r="P3" s="10" t="s">
        <v>615</v>
      </c>
      <c r="Q3" s="38">
        <v>0.11636073778371317</v>
      </c>
    </row>
    <row r="4" spans="1:21" x14ac:dyDescent="0.3">
      <c r="A4" t="s">
        <v>20</v>
      </c>
      <c r="B4" t="s">
        <v>14</v>
      </c>
      <c r="C4">
        <v>45750</v>
      </c>
      <c r="D4" t="s">
        <v>22</v>
      </c>
      <c r="E4" t="s">
        <v>23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25</v>
      </c>
      <c r="M4">
        <v>7.6097681302417369E-2</v>
      </c>
      <c r="N4" t="s">
        <v>30</v>
      </c>
      <c r="P4" s="10" t="s">
        <v>616</v>
      </c>
      <c r="Q4" s="38">
        <v>0.12589594685729985</v>
      </c>
    </row>
    <row r="5" spans="1:21" x14ac:dyDescent="0.3">
      <c r="A5" t="s">
        <v>20</v>
      </c>
      <c r="B5" t="s">
        <v>14</v>
      </c>
      <c r="C5">
        <v>45750</v>
      </c>
      <c r="D5" t="s">
        <v>22</v>
      </c>
      <c r="E5" t="s">
        <v>23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25</v>
      </c>
      <c r="M5">
        <v>7.6097681302417369E-2</v>
      </c>
      <c r="N5" t="s">
        <v>616</v>
      </c>
      <c r="P5" s="10" t="s">
        <v>37</v>
      </c>
      <c r="Q5" s="38">
        <v>0.15386132749296613</v>
      </c>
    </row>
    <row r="6" spans="1:21" x14ac:dyDescent="0.3">
      <c r="A6" t="s">
        <v>26</v>
      </c>
      <c r="B6" t="s">
        <v>27</v>
      </c>
      <c r="C6">
        <v>45789</v>
      </c>
      <c r="D6" t="s">
        <v>16</v>
      </c>
      <c r="E6" t="s">
        <v>29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31</v>
      </c>
      <c r="M6">
        <v>5.5531494209584788E-2</v>
      </c>
      <c r="N6" t="s">
        <v>30</v>
      </c>
      <c r="P6" s="10" t="s">
        <v>62</v>
      </c>
      <c r="Q6" s="38">
        <v>0.14123247081320281</v>
      </c>
    </row>
    <row r="7" spans="1:21" x14ac:dyDescent="0.3">
      <c r="A7" t="s">
        <v>32</v>
      </c>
      <c r="B7" t="s">
        <v>33</v>
      </c>
      <c r="C7">
        <v>45516</v>
      </c>
      <c r="D7" t="s">
        <v>35</v>
      </c>
      <c r="E7" t="s">
        <v>36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38</v>
      </c>
      <c r="M7">
        <v>0.15105033277870217</v>
      </c>
      <c r="N7" t="s">
        <v>37</v>
      </c>
      <c r="P7" s="10" t="s">
        <v>607</v>
      </c>
      <c r="Q7" s="38">
        <v>0.11481753670769271</v>
      </c>
    </row>
    <row r="8" spans="1:21" x14ac:dyDescent="0.3">
      <c r="A8" t="s">
        <v>39</v>
      </c>
      <c r="B8" t="s">
        <v>27</v>
      </c>
      <c r="C8">
        <v>45469</v>
      </c>
      <c r="D8" t="s">
        <v>16</v>
      </c>
      <c r="E8" t="s">
        <v>29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19</v>
      </c>
      <c r="M8">
        <v>6.5617093055946027E-2</v>
      </c>
      <c r="N8" t="s">
        <v>37</v>
      </c>
      <c r="P8" s="10" t="s">
        <v>30</v>
      </c>
      <c r="Q8" s="38">
        <v>0.14515321153500599</v>
      </c>
    </row>
    <row r="9" spans="1:21" x14ac:dyDescent="0.3">
      <c r="A9" t="s">
        <v>39</v>
      </c>
      <c r="B9" t="s">
        <v>27</v>
      </c>
      <c r="C9">
        <v>45469</v>
      </c>
      <c r="D9" t="s">
        <v>16</v>
      </c>
      <c r="E9" t="s">
        <v>29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19</v>
      </c>
      <c r="M9">
        <v>6.5617093055946027E-2</v>
      </c>
      <c r="N9" t="s">
        <v>30</v>
      </c>
      <c r="P9" s="10" t="s">
        <v>625</v>
      </c>
      <c r="Q9" s="38">
        <v>0.14446302038520153</v>
      </c>
    </row>
    <row r="10" spans="1:21" x14ac:dyDescent="0.3">
      <c r="A10" t="s">
        <v>42</v>
      </c>
      <c r="B10" t="s">
        <v>43</v>
      </c>
      <c r="C10">
        <v>45596</v>
      </c>
      <c r="D10" t="s">
        <v>45</v>
      </c>
      <c r="E10" t="s">
        <v>46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25</v>
      </c>
      <c r="M10">
        <v>0.17954159592529711</v>
      </c>
      <c r="N10" t="s">
        <v>30</v>
      </c>
    </row>
    <row r="11" spans="1:21" x14ac:dyDescent="0.3">
      <c r="A11" t="s">
        <v>47</v>
      </c>
      <c r="B11" t="s">
        <v>14</v>
      </c>
      <c r="C11">
        <v>45467</v>
      </c>
      <c r="D11" t="s">
        <v>45</v>
      </c>
      <c r="E11" t="s">
        <v>49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25</v>
      </c>
      <c r="M11">
        <v>7.0272020725388601E-2</v>
      </c>
      <c r="N11" t="s">
        <v>30</v>
      </c>
    </row>
    <row r="12" spans="1:21" x14ac:dyDescent="0.3">
      <c r="A12" t="s">
        <v>50</v>
      </c>
      <c r="B12" t="s">
        <v>27</v>
      </c>
      <c r="C12">
        <v>45486</v>
      </c>
      <c r="D12" t="s">
        <v>52</v>
      </c>
      <c r="E12" t="s">
        <v>53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38</v>
      </c>
      <c r="M12">
        <v>0.10340359564080613</v>
      </c>
      <c r="N12" t="s">
        <v>37</v>
      </c>
    </row>
    <row r="13" spans="1:21" x14ac:dyDescent="0.3">
      <c r="A13" t="s">
        <v>54</v>
      </c>
      <c r="B13" t="s">
        <v>43</v>
      </c>
      <c r="C13">
        <v>45534</v>
      </c>
      <c r="D13" t="s">
        <v>22</v>
      </c>
      <c r="E13" t="s">
        <v>56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25</v>
      </c>
      <c r="M13">
        <v>8.8019732205778717E-2</v>
      </c>
      <c r="N13" t="s">
        <v>30</v>
      </c>
    </row>
    <row r="14" spans="1:21" x14ac:dyDescent="0.3">
      <c r="A14" t="s">
        <v>57</v>
      </c>
      <c r="B14" t="s">
        <v>43</v>
      </c>
      <c r="C14">
        <v>45727</v>
      </c>
      <c r="D14" t="s">
        <v>52</v>
      </c>
      <c r="E14" t="s">
        <v>59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25</v>
      </c>
      <c r="M14">
        <v>7.198635172059864E-2</v>
      </c>
      <c r="N14" t="s">
        <v>30</v>
      </c>
      <c r="P14" s="9" t="s">
        <v>626</v>
      </c>
      <c r="Q14" s="9" t="s">
        <v>627</v>
      </c>
    </row>
    <row r="15" spans="1:21" x14ac:dyDescent="0.3">
      <c r="A15" t="s">
        <v>60</v>
      </c>
      <c r="B15" t="s">
        <v>33</v>
      </c>
      <c r="C15">
        <v>45690</v>
      </c>
      <c r="D15" t="s">
        <v>35</v>
      </c>
      <c r="E15" t="s">
        <v>36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38</v>
      </c>
      <c r="M15">
        <v>0.11571269132653061</v>
      </c>
      <c r="N15" t="s">
        <v>62</v>
      </c>
      <c r="P15" s="9" t="s">
        <v>640</v>
      </c>
      <c r="Q15" t="s">
        <v>43</v>
      </c>
      <c r="R15" t="s">
        <v>33</v>
      </c>
      <c r="S15" t="s">
        <v>14</v>
      </c>
      <c r="T15" t="s">
        <v>27</v>
      </c>
      <c r="U15" t="s">
        <v>625</v>
      </c>
    </row>
    <row r="16" spans="1:21" x14ac:dyDescent="0.3">
      <c r="A16" t="s">
        <v>63</v>
      </c>
      <c r="B16" t="s">
        <v>43</v>
      </c>
      <c r="C16">
        <v>45494</v>
      </c>
      <c r="D16" t="s">
        <v>16</v>
      </c>
      <c r="E16" t="s">
        <v>65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31</v>
      </c>
      <c r="M16">
        <v>0.12885405960945528</v>
      </c>
      <c r="N16" t="s">
        <v>62</v>
      </c>
      <c r="P16" s="10" t="s">
        <v>45</v>
      </c>
      <c r="Q16" s="38">
        <v>0.11820589815604367</v>
      </c>
      <c r="R16" s="38">
        <v>0.14358583471485059</v>
      </c>
      <c r="S16" s="38">
        <v>0.14537054868993238</v>
      </c>
      <c r="T16" s="38">
        <v>0.1904560601657018</v>
      </c>
      <c r="U16" s="38">
        <v>0.14726325711841351</v>
      </c>
    </row>
    <row r="17" spans="1:21" x14ac:dyDescent="0.3">
      <c r="A17" t="s">
        <v>66</v>
      </c>
      <c r="B17" t="s">
        <v>27</v>
      </c>
      <c r="C17">
        <v>45614</v>
      </c>
      <c r="D17" t="s">
        <v>45</v>
      </c>
      <c r="E17" t="s">
        <v>68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19</v>
      </c>
      <c r="M17">
        <v>7.5868578363072495E-2</v>
      </c>
      <c r="N17" t="s">
        <v>37</v>
      </c>
      <c r="P17" s="10" t="s">
        <v>52</v>
      </c>
      <c r="Q17" s="38">
        <v>0.11745424528332371</v>
      </c>
      <c r="R17" s="38">
        <v>0.1347559439447894</v>
      </c>
      <c r="S17" s="38">
        <v>0.14530582715944351</v>
      </c>
      <c r="T17" s="38">
        <v>0.15035567844671383</v>
      </c>
      <c r="U17" s="38">
        <v>0.13320104781588202</v>
      </c>
    </row>
    <row r="18" spans="1:21" x14ac:dyDescent="0.3">
      <c r="A18" t="s">
        <v>69</v>
      </c>
      <c r="B18" t="s">
        <v>43</v>
      </c>
      <c r="C18">
        <v>45704</v>
      </c>
      <c r="D18" t="s">
        <v>35</v>
      </c>
      <c r="E18" t="s">
        <v>71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38</v>
      </c>
      <c r="M18">
        <v>0.14521452145214522</v>
      </c>
      <c r="N18" t="s">
        <v>62</v>
      </c>
      <c r="P18" s="10" t="s">
        <v>16</v>
      </c>
      <c r="Q18" s="38">
        <v>0.10986859810690117</v>
      </c>
      <c r="R18" s="38">
        <v>0.26004033206333965</v>
      </c>
      <c r="S18" s="38">
        <v>0.12148739385254119</v>
      </c>
      <c r="T18" s="38">
        <v>0.12032962245098325</v>
      </c>
      <c r="U18" s="38">
        <v>0.15209713454460924</v>
      </c>
    </row>
    <row r="19" spans="1:21" x14ac:dyDescent="0.3">
      <c r="A19" t="s">
        <v>72</v>
      </c>
      <c r="B19" t="s">
        <v>43</v>
      </c>
      <c r="C19">
        <v>45589</v>
      </c>
      <c r="D19" t="s">
        <v>74</v>
      </c>
      <c r="E19" t="s">
        <v>75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19</v>
      </c>
      <c r="M19">
        <v>5.941358024691358E-2</v>
      </c>
      <c r="N19" t="s">
        <v>62</v>
      </c>
      <c r="P19" s="10" t="s">
        <v>35</v>
      </c>
      <c r="Q19" s="38">
        <v>0.15898977777988452</v>
      </c>
      <c r="R19" s="38">
        <v>0.22896900915543306</v>
      </c>
      <c r="S19" s="38">
        <v>0.18859716943319416</v>
      </c>
      <c r="T19" s="38">
        <v>9.4965330348360799E-2</v>
      </c>
      <c r="U19" s="38">
        <v>0.18023669224095737</v>
      </c>
    </row>
    <row r="20" spans="1:21" x14ac:dyDescent="0.3">
      <c r="A20" t="s">
        <v>76</v>
      </c>
      <c r="B20" t="s">
        <v>43</v>
      </c>
      <c r="C20">
        <v>45530</v>
      </c>
      <c r="D20" t="s">
        <v>22</v>
      </c>
      <c r="E20" t="s">
        <v>56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31</v>
      </c>
      <c r="M20">
        <v>7.5843713789107758E-2</v>
      </c>
      <c r="N20" t="s">
        <v>62</v>
      </c>
      <c r="P20" s="10" t="s">
        <v>22</v>
      </c>
      <c r="Q20" s="38">
        <v>0.11119518464556616</v>
      </c>
      <c r="R20" s="38">
        <v>0.12920449104190176</v>
      </c>
      <c r="S20" s="38">
        <v>0.11715705838352779</v>
      </c>
      <c r="T20" s="38">
        <v>0.11358051151819019</v>
      </c>
      <c r="U20" s="38">
        <v>0.11693453501108979</v>
      </c>
    </row>
    <row r="21" spans="1:21" x14ac:dyDescent="0.3">
      <c r="A21" t="s">
        <v>78</v>
      </c>
      <c r="B21" t="s">
        <v>43</v>
      </c>
      <c r="C21">
        <v>45782</v>
      </c>
      <c r="D21" t="s">
        <v>22</v>
      </c>
      <c r="E21" t="s">
        <v>56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38</v>
      </c>
      <c r="M21">
        <v>9.4235532537716729E-2</v>
      </c>
      <c r="N21" t="s">
        <v>37</v>
      </c>
      <c r="P21" s="10" t="s">
        <v>74</v>
      </c>
      <c r="Q21" s="38">
        <v>0.12378368203470033</v>
      </c>
      <c r="R21" s="38">
        <v>0.20035941736166224</v>
      </c>
      <c r="S21" s="38">
        <v>0.11228206701664242</v>
      </c>
      <c r="T21" s="38">
        <v>0.12194862777363848</v>
      </c>
      <c r="U21" s="38">
        <v>0.14098986670477592</v>
      </c>
    </row>
    <row r="22" spans="1:21" x14ac:dyDescent="0.3">
      <c r="A22" t="s">
        <v>80</v>
      </c>
      <c r="B22" t="s">
        <v>33</v>
      </c>
      <c r="C22">
        <v>45523</v>
      </c>
      <c r="D22" t="s">
        <v>16</v>
      </c>
      <c r="E22" t="s">
        <v>82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19</v>
      </c>
      <c r="M22">
        <v>0.10297222222222223</v>
      </c>
      <c r="N22" t="s">
        <v>62</v>
      </c>
      <c r="P22" s="10" t="s">
        <v>625</v>
      </c>
      <c r="Q22" s="38">
        <v>0.12094203382654929</v>
      </c>
      <c r="R22" s="38">
        <v>0.18531784517185629</v>
      </c>
      <c r="S22" s="38">
        <v>0.13739368723551609</v>
      </c>
      <c r="T22" s="38">
        <v>0.13298735096853667</v>
      </c>
      <c r="U22" s="38">
        <v>0.14446302038520156</v>
      </c>
    </row>
    <row r="23" spans="1:21" x14ac:dyDescent="0.3">
      <c r="A23" t="s">
        <v>83</v>
      </c>
      <c r="B23" t="s">
        <v>33</v>
      </c>
      <c r="C23">
        <v>45466</v>
      </c>
      <c r="D23" t="s">
        <v>74</v>
      </c>
      <c r="E23" t="s">
        <v>85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38</v>
      </c>
      <c r="M23">
        <v>0.10034235916588857</v>
      </c>
      <c r="N23" t="s">
        <v>30</v>
      </c>
    </row>
    <row r="24" spans="1:21" x14ac:dyDescent="0.3">
      <c r="A24" t="s">
        <v>86</v>
      </c>
      <c r="B24" t="s">
        <v>33</v>
      </c>
      <c r="C24">
        <v>45544</v>
      </c>
      <c r="D24" t="s">
        <v>45</v>
      </c>
      <c r="E24" t="s">
        <v>88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19</v>
      </c>
      <c r="M24">
        <v>6.3809622724794221E-2</v>
      </c>
      <c r="N24" t="s">
        <v>30</v>
      </c>
    </row>
    <row r="25" spans="1:21" x14ac:dyDescent="0.3">
      <c r="A25" t="s">
        <v>89</v>
      </c>
      <c r="B25" t="s">
        <v>33</v>
      </c>
      <c r="C25">
        <v>45661</v>
      </c>
      <c r="D25" t="s">
        <v>16</v>
      </c>
      <c r="E25" t="s">
        <v>82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38</v>
      </c>
      <c r="M25">
        <v>7.7249552156538517E-2</v>
      </c>
      <c r="N25" t="s">
        <v>62</v>
      </c>
    </row>
    <row r="26" spans="1:21" x14ac:dyDescent="0.3">
      <c r="A26" t="s">
        <v>91</v>
      </c>
      <c r="B26" t="s">
        <v>43</v>
      </c>
      <c r="C26">
        <v>45715</v>
      </c>
      <c r="D26" t="s">
        <v>22</v>
      </c>
      <c r="E26" t="s">
        <v>56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38</v>
      </c>
      <c r="M26">
        <v>8.0294585987261149E-2</v>
      </c>
      <c r="N26" t="s">
        <v>30</v>
      </c>
    </row>
    <row r="27" spans="1:21" x14ac:dyDescent="0.3">
      <c r="A27" t="s">
        <v>93</v>
      </c>
      <c r="B27" t="s">
        <v>43</v>
      </c>
      <c r="C27">
        <v>45602</v>
      </c>
      <c r="D27" t="s">
        <v>74</v>
      </c>
      <c r="E27" t="s">
        <v>75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25</v>
      </c>
      <c r="M27">
        <v>7.6867995018679955E-2</v>
      </c>
      <c r="N27" t="s">
        <v>30</v>
      </c>
    </row>
    <row r="28" spans="1:21" x14ac:dyDescent="0.3">
      <c r="A28" t="s">
        <v>93</v>
      </c>
      <c r="B28" t="s">
        <v>43</v>
      </c>
      <c r="C28">
        <v>45602</v>
      </c>
      <c r="D28" t="s">
        <v>74</v>
      </c>
      <c r="E28" t="s">
        <v>75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25</v>
      </c>
      <c r="M28">
        <v>7.6867995018679955E-2</v>
      </c>
      <c r="N28" t="s">
        <v>615</v>
      </c>
    </row>
    <row r="29" spans="1:21" x14ac:dyDescent="0.3">
      <c r="A29" t="s">
        <v>96</v>
      </c>
      <c r="B29" t="s">
        <v>43</v>
      </c>
      <c r="C29">
        <v>45680</v>
      </c>
      <c r="D29" t="s">
        <v>74</v>
      </c>
      <c r="E29" t="s">
        <v>75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31</v>
      </c>
      <c r="M29">
        <v>7.2070332803659209E-2</v>
      </c>
      <c r="N29" t="s">
        <v>62</v>
      </c>
    </row>
    <row r="30" spans="1:21" x14ac:dyDescent="0.3">
      <c r="A30" t="s">
        <v>98</v>
      </c>
      <c r="B30" t="s">
        <v>14</v>
      </c>
      <c r="C30">
        <v>45757</v>
      </c>
      <c r="D30" t="s">
        <v>45</v>
      </c>
      <c r="E30" t="s">
        <v>49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19</v>
      </c>
      <c r="M30">
        <v>5.9496567505720827E-2</v>
      </c>
      <c r="N30" t="s">
        <v>37</v>
      </c>
    </row>
    <row r="31" spans="1:21" x14ac:dyDescent="0.3">
      <c r="A31" t="s">
        <v>100</v>
      </c>
      <c r="B31" t="s">
        <v>27</v>
      </c>
      <c r="C31">
        <v>45752</v>
      </c>
      <c r="D31" t="s">
        <v>16</v>
      </c>
      <c r="E31" t="s">
        <v>29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25</v>
      </c>
      <c r="M31">
        <v>8.9730807577268201E-2</v>
      </c>
      <c r="N31" t="s">
        <v>62</v>
      </c>
    </row>
    <row r="32" spans="1:21" x14ac:dyDescent="0.3">
      <c r="A32" t="s">
        <v>102</v>
      </c>
      <c r="B32" t="s">
        <v>27</v>
      </c>
      <c r="C32">
        <v>45552</v>
      </c>
      <c r="D32" t="s">
        <v>22</v>
      </c>
      <c r="E32" t="s">
        <v>104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38</v>
      </c>
      <c r="M32">
        <v>7.1501685934489398E-2</v>
      </c>
      <c r="N32" t="s">
        <v>62</v>
      </c>
    </row>
    <row r="33" spans="1:14" x14ac:dyDescent="0.3">
      <c r="A33" t="s">
        <v>105</v>
      </c>
      <c r="B33" t="s">
        <v>33</v>
      </c>
      <c r="C33">
        <v>45720</v>
      </c>
      <c r="D33" t="s">
        <v>74</v>
      </c>
      <c r="E33" t="s">
        <v>85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38</v>
      </c>
      <c r="M33">
        <v>0.17057291666666666</v>
      </c>
      <c r="N33" t="s">
        <v>62</v>
      </c>
    </row>
    <row r="34" spans="1:14" x14ac:dyDescent="0.3">
      <c r="A34" t="s">
        <v>107</v>
      </c>
      <c r="B34" t="s">
        <v>33</v>
      </c>
      <c r="C34">
        <v>45688</v>
      </c>
      <c r="D34" t="s">
        <v>45</v>
      </c>
      <c r="E34" t="s">
        <v>88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31</v>
      </c>
      <c r="M34">
        <v>0.21208106001558846</v>
      </c>
      <c r="N34" t="s">
        <v>62</v>
      </c>
    </row>
    <row r="35" spans="1:14" x14ac:dyDescent="0.3">
      <c r="A35" t="s">
        <v>109</v>
      </c>
      <c r="B35" t="s">
        <v>33</v>
      </c>
      <c r="C35">
        <v>45713</v>
      </c>
      <c r="D35" t="s">
        <v>74</v>
      </c>
      <c r="E35" t="s">
        <v>85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19</v>
      </c>
      <c r="M35">
        <v>5.7655717106444085E-2</v>
      </c>
      <c r="N35" t="s">
        <v>37</v>
      </c>
    </row>
    <row r="36" spans="1:14" x14ac:dyDescent="0.3">
      <c r="A36" t="s">
        <v>111</v>
      </c>
      <c r="B36" t="s">
        <v>33</v>
      </c>
      <c r="C36">
        <v>45642</v>
      </c>
      <c r="D36" t="s">
        <v>22</v>
      </c>
      <c r="E36" t="s">
        <v>113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25</v>
      </c>
      <c r="M36">
        <v>0.28245270711024134</v>
      </c>
      <c r="N36" t="s">
        <v>30</v>
      </c>
    </row>
    <row r="37" spans="1:14" x14ac:dyDescent="0.3">
      <c r="A37" t="s">
        <v>114</v>
      </c>
      <c r="B37" t="s">
        <v>14</v>
      </c>
      <c r="C37">
        <v>45504</v>
      </c>
      <c r="D37" t="s">
        <v>45</v>
      </c>
      <c r="E37" t="s">
        <v>49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19</v>
      </c>
      <c r="M37">
        <v>0.19088381621305239</v>
      </c>
      <c r="N37" t="s">
        <v>37</v>
      </c>
    </row>
    <row r="38" spans="1:14" x14ac:dyDescent="0.3">
      <c r="A38" t="s">
        <v>116</v>
      </c>
      <c r="B38" t="s">
        <v>43</v>
      </c>
      <c r="C38">
        <v>45525</v>
      </c>
      <c r="D38" t="s">
        <v>52</v>
      </c>
      <c r="E38" t="s">
        <v>59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19</v>
      </c>
      <c r="M38">
        <v>0.12781331438047855</v>
      </c>
      <c r="N38" t="s">
        <v>30</v>
      </c>
    </row>
    <row r="39" spans="1:14" x14ac:dyDescent="0.3">
      <c r="A39" t="s">
        <v>118</v>
      </c>
      <c r="B39" t="s">
        <v>43</v>
      </c>
      <c r="C39">
        <v>45742</v>
      </c>
      <c r="D39" t="s">
        <v>22</v>
      </c>
      <c r="E39" t="s">
        <v>56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31</v>
      </c>
      <c r="M39">
        <v>7.055421038471886E-2</v>
      </c>
      <c r="N39" t="s">
        <v>30</v>
      </c>
    </row>
    <row r="40" spans="1:14" x14ac:dyDescent="0.3">
      <c r="A40" t="s">
        <v>120</v>
      </c>
      <c r="B40" t="s">
        <v>33</v>
      </c>
      <c r="C40">
        <v>45626</v>
      </c>
      <c r="D40" t="s">
        <v>74</v>
      </c>
      <c r="E40" t="s">
        <v>85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25</v>
      </c>
      <c r="M40">
        <v>0.11861662987490802</v>
      </c>
      <c r="N40" t="s">
        <v>62</v>
      </c>
    </row>
    <row r="41" spans="1:14" x14ac:dyDescent="0.3">
      <c r="A41" t="s">
        <v>122</v>
      </c>
      <c r="B41" t="s">
        <v>33</v>
      </c>
      <c r="C41">
        <v>45766</v>
      </c>
      <c r="D41" t="s">
        <v>35</v>
      </c>
      <c r="E41" t="s">
        <v>36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25</v>
      </c>
      <c r="M41">
        <v>7.6523535487678915E-2</v>
      </c>
      <c r="N41" t="s">
        <v>37</v>
      </c>
    </row>
    <row r="42" spans="1:14" x14ac:dyDescent="0.3">
      <c r="A42" t="s">
        <v>124</v>
      </c>
      <c r="B42" t="s">
        <v>43</v>
      </c>
      <c r="C42">
        <v>45663</v>
      </c>
      <c r="D42" t="s">
        <v>45</v>
      </c>
      <c r="E42" t="s">
        <v>46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25</v>
      </c>
      <c r="M42">
        <v>0.17770337301587302</v>
      </c>
      <c r="N42" t="s">
        <v>37</v>
      </c>
    </row>
    <row r="43" spans="1:14" x14ac:dyDescent="0.3">
      <c r="A43" t="s">
        <v>126</v>
      </c>
      <c r="B43" t="s">
        <v>27</v>
      </c>
      <c r="C43">
        <v>45705</v>
      </c>
      <c r="D43" t="s">
        <v>16</v>
      </c>
      <c r="E43" t="s">
        <v>29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38</v>
      </c>
      <c r="M43">
        <v>0.12577012959422137</v>
      </c>
      <c r="N43" t="s">
        <v>30</v>
      </c>
    </row>
    <row r="44" spans="1:14" x14ac:dyDescent="0.3">
      <c r="A44" t="s">
        <v>128</v>
      </c>
      <c r="B44" t="s">
        <v>43</v>
      </c>
      <c r="C44">
        <v>45621</v>
      </c>
      <c r="D44" t="s">
        <v>52</v>
      </c>
      <c r="E44" t="s">
        <v>59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25</v>
      </c>
      <c r="M44">
        <v>7.2126493695121141E-2</v>
      </c>
      <c r="N44" t="s">
        <v>30</v>
      </c>
    </row>
    <row r="45" spans="1:14" x14ac:dyDescent="0.3">
      <c r="A45" t="s">
        <v>130</v>
      </c>
      <c r="B45" t="s">
        <v>14</v>
      </c>
      <c r="C45">
        <v>45723</v>
      </c>
      <c r="D45" t="s">
        <v>52</v>
      </c>
      <c r="E45" t="s">
        <v>132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38</v>
      </c>
      <c r="M45">
        <v>0.13989473684210527</v>
      </c>
      <c r="N45" t="s">
        <v>37</v>
      </c>
    </row>
    <row r="46" spans="1:14" x14ac:dyDescent="0.3">
      <c r="A46" t="s">
        <v>133</v>
      </c>
      <c r="B46" t="s">
        <v>33</v>
      </c>
      <c r="C46">
        <v>45724</v>
      </c>
      <c r="D46" t="s">
        <v>16</v>
      </c>
      <c r="E46" t="s">
        <v>82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38</v>
      </c>
      <c r="M46">
        <v>0.18433235867446393</v>
      </c>
      <c r="N46" t="s">
        <v>62</v>
      </c>
    </row>
    <row r="47" spans="1:14" x14ac:dyDescent="0.3">
      <c r="A47" t="s">
        <v>135</v>
      </c>
      <c r="B47" t="s">
        <v>27</v>
      </c>
      <c r="C47">
        <v>45721</v>
      </c>
      <c r="D47" t="s">
        <v>16</v>
      </c>
      <c r="E47" t="s">
        <v>29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19</v>
      </c>
      <c r="M47">
        <v>0.21840570317563188</v>
      </c>
      <c r="N47" t="s">
        <v>37</v>
      </c>
    </row>
    <row r="48" spans="1:14" x14ac:dyDescent="0.3">
      <c r="A48" t="s">
        <v>137</v>
      </c>
      <c r="B48" t="s">
        <v>33</v>
      </c>
      <c r="C48">
        <v>45640</v>
      </c>
      <c r="D48" t="s">
        <v>45</v>
      </c>
      <c r="E48" t="s">
        <v>88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31</v>
      </c>
      <c r="M48">
        <v>0.21826126954921804</v>
      </c>
      <c r="N48" t="s">
        <v>30</v>
      </c>
    </row>
    <row r="49" spans="1:14" x14ac:dyDescent="0.3">
      <c r="A49" t="s">
        <v>139</v>
      </c>
      <c r="B49" t="s">
        <v>14</v>
      </c>
      <c r="C49">
        <v>45718</v>
      </c>
      <c r="D49" t="s">
        <v>52</v>
      </c>
      <c r="E49" t="s">
        <v>132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25</v>
      </c>
      <c r="M49">
        <v>9.8558100084817649E-2</v>
      </c>
      <c r="N49" t="s">
        <v>30</v>
      </c>
    </row>
    <row r="50" spans="1:14" x14ac:dyDescent="0.3">
      <c r="A50" t="s">
        <v>141</v>
      </c>
      <c r="B50" t="s">
        <v>43</v>
      </c>
      <c r="C50">
        <v>45597</v>
      </c>
      <c r="D50" t="s">
        <v>74</v>
      </c>
      <c r="E50" t="s">
        <v>75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19</v>
      </c>
      <c r="M50">
        <v>7.5229902106199939E-2</v>
      </c>
      <c r="N50" t="s">
        <v>62</v>
      </c>
    </row>
    <row r="51" spans="1:14" x14ac:dyDescent="0.3">
      <c r="A51" t="s">
        <v>143</v>
      </c>
      <c r="B51" t="s">
        <v>14</v>
      </c>
      <c r="C51">
        <v>45779</v>
      </c>
      <c r="D51" t="s">
        <v>74</v>
      </c>
      <c r="E51" t="s">
        <v>145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38</v>
      </c>
      <c r="M51">
        <v>0.16888537906137185</v>
      </c>
      <c r="N51" t="s">
        <v>30</v>
      </c>
    </row>
    <row r="52" spans="1:14" x14ac:dyDescent="0.3">
      <c r="A52" t="s">
        <v>146</v>
      </c>
      <c r="B52" t="s">
        <v>14</v>
      </c>
      <c r="C52">
        <v>45712</v>
      </c>
      <c r="D52" t="s">
        <v>45</v>
      </c>
      <c r="E52" t="s">
        <v>49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38</v>
      </c>
      <c r="M52">
        <v>0.16683616863905326</v>
      </c>
      <c r="N52" t="s">
        <v>62</v>
      </c>
    </row>
    <row r="53" spans="1:14" x14ac:dyDescent="0.3">
      <c r="A53" t="s">
        <v>148</v>
      </c>
      <c r="B53" t="s">
        <v>14</v>
      </c>
      <c r="C53">
        <v>45727</v>
      </c>
      <c r="D53" t="s">
        <v>35</v>
      </c>
      <c r="E53" t="s">
        <v>149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25</v>
      </c>
      <c r="M53">
        <v>7.349527665317139E-2</v>
      </c>
      <c r="N53" t="s">
        <v>30</v>
      </c>
    </row>
    <row r="54" spans="1:14" x14ac:dyDescent="0.3">
      <c r="A54" t="s">
        <v>150</v>
      </c>
      <c r="B54" t="s">
        <v>14</v>
      </c>
      <c r="C54">
        <v>45453</v>
      </c>
      <c r="D54" t="s">
        <v>35</v>
      </c>
      <c r="E54" t="s">
        <v>149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38</v>
      </c>
      <c r="M54">
        <v>0.10617801791554102</v>
      </c>
      <c r="N54" t="s">
        <v>30</v>
      </c>
    </row>
    <row r="55" spans="1:14" x14ac:dyDescent="0.3">
      <c r="A55" t="s">
        <v>152</v>
      </c>
      <c r="B55" t="s">
        <v>27</v>
      </c>
      <c r="C55">
        <v>45476</v>
      </c>
      <c r="D55" t="s">
        <v>35</v>
      </c>
      <c r="E55" t="s">
        <v>154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31</v>
      </c>
      <c r="M55">
        <v>0.13498547567175018</v>
      </c>
      <c r="N55" t="s">
        <v>30</v>
      </c>
    </row>
    <row r="56" spans="1:14" x14ac:dyDescent="0.3">
      <c r="A56" t="s">
        <v>155</v>
      </c>
      <c r="B56" t="s">
        <v>43</v>
      </c>
      <c r="C56">
        <v>45456</v>
      </c>
      <c r="D56" t="s">
        <v>45</v>
      </c>
      <c r="E56" t="s">
        <v>46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25</v>
      </c>
      <c r="M56">
        <v>7.8689839572192513E-2</v>
      </c>
      <c r="N56" t="s">
        <v>62</v>
      </c>
    </row>
    <row r="57" spans="1:14" x14ac:dyDescent="0.3">
      <c r="A57" t="s">
        <v>157</v>
      </c>
      <c r="B57" t="s">
        <v>43</v>
      </c>
      <c r="C57">
        <v>45660</v>
      </c>
      <c r="D57" t="s">
        <v>52</v>
      </c>
      <c r="E57" t="s">
        <v>59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38</v>
      </c>
      <c r="M57">
        <v>0.1569549774407219</v>
      </c>
      <c r="N57" t="s">
        <v>30</v>
      </c>
    </row>
    <row r="58" spans="1:14" x14ac:dyDescent="0.3">
      <c r="A58" t="s">
        <v>159</v>
      </c>
      <c r="B58" t="s">
        <v>27</v>
      </c>
      <c r="C58">
        <v>45712</v>
      </c>
      <c r="D58" t="s">
        <v>45</v>
      </c>
      <c r="E58" t="s">
        <v>68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19</v>
      </c>
      <c r="M58">
        <v>0.36965174129353234</v>
      </c>
      <c r="N58" t="s">
        <v>37</v>
      </c>
    </row>
    <row r="59" spans="1:14" x14ac:dyDescent="0.3">
      <c r="A59" t="s">
        <v>159</v>
      </c>
      <c r="B59" t="s">
        <v>27</v>
      </c>
      <c r="C59">
        <v>45712</v>
      </c>
      <c r="D59" t="s">
        <v>45</v>
      </c>
      <c r="E59" t="s">
        <v>68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19</v>
      </c>
      <c r="M59">
        <v>0.36965174129353234</v>
      </c>
      <c r="N59" t="s">
        <v>616</v>
      </c>
    </row>
    <row r="60" spans="1:14" x14ac:dyDescent="0.3">
      <c r="A60" t="s">
        <v>161</v>
      </c>
      <c r="B60" t="s">
        <v>27</v>
      </c>
      <c r="C60">
        <v>45729</v>
      </c>
      <c r="D60" t="s">
        <v>45</v>
      </c>
      <c r="E60" t="s">
        <v>68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25</v>
      </c>
      <c r="M60">
        <v>0.16510298716704411</v>
      </c>
      <c r="N60" t="s">
        <v>62</v>
      </c>
    </row>
    <row r="61" spans="1:14" x14ac:dyDescent="0.3">
      <c r="A61" t="s">
        <v>163</v>
      </c>
      <c r="B61" t="s">
        <v>43</v>
      </c>
      <c r="C61">
        <v>45460</v>
      </c>
      <c r="D61" t="s">
        <v>52</v>
      </c>
      <c r="E61" t="s">
        <v>59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38</v>
      </c>
      <c r="M61">
        <v>9.1897770527460579E-2</v>
      </c>
      <c r="N61" t="s">
        <v>37</v>
      </c>
    </row>
    <row r="62" spans="1:14" x14ac:dyDescent="0.3">
      <c r="A62" t="s">
        <v>165</v>
      </c>
      <c r="B62" t="s">
        <v>43</v>
      </c>
      <c r="C62">
        <v>45644</v>
      </c>
      <c r="D62" t="s">
        <v>45</v>
      </c>
      <c r="E62" t="s">
        <v>46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31</v>
      </c>
      <c r="M62">
        <v>0.12936184657162253</v>
      </c>
      <c r="N62" t="s">
        <v>62</v>
      </c>
    </row>
    <row r="63" spans="1:14" x14ac:dyDescent="0.3">
      <c r="A63" t="s">
        <v>167</v>
      </c>
      <c r="B63" t="s">
        <v>14</v>
      </c>
      <c r="C63">
        <v>45586</v>
      </c>
      <c r="D63" t="s">
        <v>74</v>
      </c>
      <c r="E63" t="s">
        <v>145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19</v>
      </c>
      <c r="M63">
        <v>8.0862831858407078E-2</v>
      </c>
      <c r="N63" t="s">
        <v>30</v>
      </c>
    </row>
    <row r="64" spans="1:14" x14ac:dyDescent="0.3">
      <c r="A64" t="s">
        <v>169</v>
      </c>
      <c r="B64" t="s">
        <v>33</v>
      </c>
      <c r="C64">
        <v>45762</v>
      </c>
      <c r="D64" t="s">
        <v>16</v>
      </c>
      <c r="E64" t="s">
        <v>82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38</v>
      </c>
      <c r="M64">
        <v>0.86601941747572819</v>
      </c>
      <c r="N64" t="s">
        <v>30</v>
      </c>
    </row>
    <row r="65" spans="1:14" x14ac:dyDescent="0.3">
      <c r="A65" t="s">
        <v>171</v>
      </c>
      <c r="B65" t="s">
        <v>33</v>
      </c>
      <c r="C65">
        <v>45465</v>
      </c>
      <c r="D65" t="s">
        <v>22</v>
      </c>
      <c r="E65" t="s">
        <v>113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19</v>
      </c>
      <c r="M65">
        <v>9.2726081258191345E-2</v>
      </c>
      <c r="N65" t="s">
        <v>37</v>
      </c>
    </row>
    <row r="66" spans="1:14" x14ac:dyDescent="0.3">
      <c r="A66" t="s">
        <v>173</v>
      </c>
      <c r="B66" t="s">
        <v>33</v>
      </c>
      <c r="C66">
        <v>45685</v>
      </c>
      <c r="D66" t="s">
        <v>74</v>
      </c>
      <c r="E66" t="s">
        <v>85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31</v>
      </c>
      <c r="M66">
        <v>0.1650782845473111</v>
      </c>
      <c r="N66" t="s">
        <v>37</v>
      </c>
    </row>
    <row r="67" spans="1:14" x14ac:dyDescent="0.3">
      <c r="A67" t="s">
        <v>173</v>
      </c>
      <c r="B67" t="s">
        <v>33</v>
      </c>
      <c r="C67">
        <v>45685</v>
      </c>
      <c r="D67" t="s">
        <v>74</v>
      </c>
      <c r="E67" t="s">
        <v>85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31</v>
      </c>
      <c r="M67">
        <v>0.1650782845473111</v>
      </c>
      <c r="N67" t="s">
        <v>30</v>
      </c>
    </row>
    <row r="68" spans="1:14" x14ac:dyDescent="0.3">
      <c r="A68" t="s">
        <v>173</v>
      </c>
      <c r="B68" t="s">
        <v>33</v>
      </c>
      <c r="C68">
        <v>45685</v>
      </c>
      <c r="D68" t="s">
        <v>74</v>
      </c>
      <c r="E68" t="s">
        <v>85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31</v>
      </c>
      <c r="M68">
        <v>0.1650782845473111</v>
      </c>
      <c r="N68" t="s">
        <v>615</v>
      </c>
    </row>
    <row r="69" spans="1:14" x14ac:dyDescent="0.3">
      <c r="A69" t="s">
        <v>176</v>
      </c>
      <c r="B69" t="s">
        <v>14</v>
      </c>
      <c r="C69">
        <v>45540</v>
      </c>
      <c r="D69" t="s">
        <v>74</v>
      </c>
      <c r="E69" t="s">
        <v>145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19</v>
      </c>
      <c r="M69">
        <v>0.14276618001546368</v>
      </c>
      <c r="N69" t="s">
        <v>30</v>
      </c>
    </row>
    <row r="70" spans="1:14" x14ac:dyDescent="0.3">
      <c r="A70" t="s">
        <v>178</v>
      </c>
      <c r="B70" t="s">
        <v>14</v>
      </c>
      <c r="C70">
        <v>45618</v>
      </c>
      <c r="D70" t="s">
        <v>45</v>
      </c>
      <c r="E70" t="s">
        <v>49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31</v>
      </c>
      <c r="M70">
        <v>0.53773584905660377</v>
      </c>
      <c r="N70" t="s">
        <v>30</v>
      </c>
    </row>
    <row r="71" spans="1:14" x14ac:dyDescent="0.3">
      <c r="A71" t="s">
        <v>180</v>
      </c>
      <c r="B71" t="s">
        <v>14</v>
      </c>
      <c r="C71">
        <v>45504</v>
      </c>
      <c r="D71" t="s">
        <v>45</v>
      </c>
      <c r="E71" t="s">
        <v>49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31</v>
      </c>
      <c r="M71">
        <v>5.2551586421122697E-2</v>
      </c>
      <c r="N71" t="s">
        <v>62</v>
      </c>
    </row>
    <row r="72" spans="1:14" x14ac:dyDescent="0.3">
      <c r="A72" t="s">
        <v>181</v>
      </c>
      <c r="B72" t="s">
        <v>43</v>
      </c>
      <c r="C72">
        <v>45521</v>
      </c>
      <c r="D72" t="s">
        <v>52</v>
      </c>
      <c r="E72" t="s">
        <v>59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31</v>
      </c>
      <c r="M72">
        <v>8.2047718322909427E-2</v>
      </c>
      <c r="N72" t="s">
        <v>62</v>
      </c>
    </row>
    <row r="73" spans="1:14" x14ac:dyDescent="0.3">
      <c r="A73" t="s">
        <v>183</v>
      </c>
      <c r="B73" t="s">
        <v>33</v>
      </c>
      <c r="C73">
        <v>45744</v>
      </c>
      <c r="D73" t="s">
        <v>35</v>
      </c>
      <c r="E73" t="s">
        <v>36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19</v>
      </c>
      <c r="M73">
        <v>0.11990720603160794</v>
      </c>
      <c r="N73" t="s">
        <v>37</v>
      </c>
    </row>
    <row r="74" spans="1:14" x14ac:dyDescent="0.3">
      <c r="A74" t="s">
        <v>185</v>
      </c>
      <c r="B74" t="s">
        <v>14</v>
      </c>
      <c r="C74">
        <v>45499</v>
      </c>
      <c r="D74" t="s">
        <v>45</v>
      </c>
      <c r="E74" t="s">
        <v>49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19</v>
      </c>
      <c r="M74">
        <v>0.29199735449735448</v>
      </c>
      <c r="N74" t="s">
        <v>37</v>
      </c>
    </row>
    <row r="75" spans="1:14" x14ac:dyDescent="0.3">
      <c r="A75" t="s">
        <v>187</v>
      </c>
      <c r="B75" t="s">
        <v>43</v>
      </c>
      <c r="C75">
        <v>45745</v>
      </c>
      <c r="D75" t="s">
        <v>45</v>
      </c>
      <c r="E75" t="s">
        <v>46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31</v>
      </c>
      <c r="M75">
        <v>6.3749764195434822E-2</v>
      </c>
      <c r="N75" t="s">
        <v>37</v>
      </c>
    </row>
    <row r="76" spans="1:14" x14ac:dyDescent="0.3">
      <c r="A76" t="s">
        <v>189</v>
      </c>
      <c r="B76" t="s">
        <v>33</v>
      </c>
      <c r="C76">
        <v>45634</v>
      </c>
      <c r="D76" t="s">
        <v>35</v>
      </c>
      <c r="E76" t="s">
        <v>36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19</v>
      </c>
      <c r="M76">
        <v>0.19310344827586207</v>
      </c>
      <c r="N76" t="s">
        <v>37</v>
      </c>
    </row>
    <row r="77" spans="1:14" x14ac:dyDescent="0.3">
      <c r="A77" t="s">
        <v>191</v>
      </c>
      <c r="B77" t="s">
        <v>14</v>
      </c>
      <c r="C77">
        <v>45724</v>
      </c>
      <c r="D77" t="s">
        <v>22</v>
      </c>
      <c r="E77" t="s">
        <v>23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31</v>
      </c>
      <c r="M77">
        <v>9.3421052631578946E-2</v>
      </c>
      <c r="N77" t="s">
        <v>62</v>
      </c>
    </row>
    <row r="78" spans="1:14" x14ac:dyDescent="0.3">
      <c r="A78" t="s">
        <v>192</v>
      </c>
      <c r="B78" t="s">
        <v>43</v>
      </c>
      <c r="C78">
        <v>45749</v>
      </c>
      <c r="D78" t="s">
        <v>74</v>
      </c>
      <c r="E78" t="s">
        <v>75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25</v>
      </c>
      <c r="M78">
        <v>0.38274706867671693</v>
      </c>
      <c r="N78" t="s">
        <v>30</v>
      </c>
    </row>
    <row r="79" spans="1:14" x14ac:dyDescent="0.3">
      <c r="A79" t="s">
        <v>194</v>
      </c>
      <c r="B79" t="s">
        <v>27</v>
      </c>
      <c r="C79">
        <v>45537</v>
      </c>
      <c r="D79" t="s">
        <v>45</v>
      </c>
      <c r="E79" t="s">
        <v>68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25</v>
      </c>
      <c r="M79">
        <v>0.1199202926956749</v>
      </c>
      <c r="N79" t="s">
        <v>30</v>
      </c>
    </row>
    <row r="80" spans="1:14" x14ac:dyDescent="0.3">
      <c r="A80" t="s">
        <v>196</v>
      </c>
      <c r="B80" t="s">
        <v>27</v>
      </c>
      <c r="C80">
        <v>45719</v>
      </c>
      <c r="D80" t="s">
        <v>16</v>
      </c>
      <c r="E80" t="s">
        <v>29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25</v>
      </c>
      <c r="M80">
        <v>8.837126600284495E-2</v>
      </c>
      <c r="N80" t="s">
        <v>37</v>
      </c>
    </row>
    <row r="81" spans="1:14" x14ac:dyDescent="0.3">
      <c r="A81" t="s">
        <v>198</v>
      </c>
      <c r="B81" t="s">
        <v>43</v>
      </c>
      <c r="C81">
        <v>45583</v>
      </c>
      <c r="D81" t="s">
        <v>35</v>
      </c>
      <c r="E81" t="s">
        <v>71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38</v>
      </c>
      <c r="M81">
        <v>6.4265122330790625E-2</v>
      </c>
      <c r="N81" t="s">
        <v>62</v>
      </c>
    </row>
    <row r="82" spans="1:14" x14ac:dyDescent="0.3">
      <c r="A82" t="s">
        <v>200</v>
      </c>
      <c r="B82" t="s">
        <v>27</v>
      </c>
      <c r="C82">
        <v>45593</v>
      </c>
      <c r="D82" t="s">
        <v>16</v>
      </c>
      <c r="E82" t="s">
        <v>29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31</v>
      </c>
      <c r="M82">
        <v>0.13351302785265048</v>
      </c>
      <c r="N82" t="s">
        <v>30</v>
      </c>
    </row>
    <row r="83" spans="1:14" x14ac:dyDescent="0.3">
      <c r="A83" t="s">
        <v>202</v>
      </c>
      <c r="B83" t="s">
        <v>33</v>
      </c>
      <c r="C83">
        <v>45505</v>
      </c>
      <c r="D83" t="s">
        <v>16</v>
      </c>
      <c r="E83" t="s">
        <v>82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38</v>
      </c>
      <c r="M83">
        <v>0.12131237937689551</v>
      </c>
      <c r="N83" t="s">
        <v>30</v>
      </c>
    </row>
    <row r="84" spans="1:14" x14ac:dyDescent="0.3">
      <c r="A84" t="s">
        <v>204</v>
      </c>
      <c r="B84" t="s">
        <v>14</v>
      </c>
      <c r="C84">
        <v>45603</v>
      </c>
      <c r="D84" t="s">
        <v>35</v>
      </c>
      <c r="E84" t="s">
        <v>149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38</v>
      </c>
      <c r="M84">
        <v>8.1177520071364848E-2</v>
      </c>
      <c r="N84" t="s">
        <v>30</v>
      </c>
    </row>
    <row r="85" spans="1:14" x14ac:dyDescent="0.3">
      <c r="A85" t="s">
        <v>206</v>
      </c>
      <c r="B85" t="s">
        <v>43</v>
      </c>
      <c r="C85">
        <v>45720</v>
      </c>
      <c r="D85" t="s">
        <v>35</v>
      </c>
      <c r="E85" t="s">
        <v>71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25</v>
      </c>
      <c r="M85">
        <v>0.20416333066453163</v>
      </c>
      <c r="N85" t="s">
        <v>30</v>
      </c>
    </row>
    <row r="86" spans="1:14" x14ac:dyDescent="0.3">
      <c r="A86" t="s">
        <v>207</v>
      </c>
      <c r="B86" t="s">
        <v>14</v>
      </c>
      <c r="C86">
        <v>45460</v>
      </c>
      <c r="D86" t="s">
        <v>52</v>
      </c>
      <c r="E86" t="s">
        <v>132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38</v>
      </c>
      <c r="M86">
        <v>8.2075471698113203E-2</v>
      </c>
      <c r="N86" t="s">
        <v>62</v>
      </c>
    </row>
    <row r="87" spans="1:14" x14ac:dyDescent="0.3">
      <c r="A87" t="s">
        <v>208</v>
      </c>
      <c r="B87" t="s">
        <v>33</v>
      </c>
      <c r="C87">
        <v>45574</v>
      </c>
      <c r="D87" t="s">
        <v>45</v>
      </c>
      <c r="E87" t="s">
        <v>88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25</v>
      </c>
      <c r="M87">
        <v>8.860696018453515E-2</v>
      </c>
      <c r="N87" t="s">
        <v>37</v>
      </c>
    </row>
    <row r="88" spans="1:14" x14ac:dyDescent="0.3">
      <c r="A88" t="s">
        <v>210</v>
      </c>
      <c r="B88" t="s">
        <v>33</v>
      </c>
      <c r="C88">
        <v>45456</v>
      </c>
      <c r="D88" t="s">
        <v>35</v>
      </c>
      <c r="E88" t="s">
        <v>36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38</v>
      </c>
      <c r="M88">
        <v>7.7533348349475686E-2</v>
      </c>
      <c r="N88" t="s">
        <v>62</v>
      </c>
    </row>
    <row r="89" spans="1:14" x14ac:dyDescent="0.3">
      <c r="A89" t="s">
        <v>211</v>
      </c>
      <c r="B89" t="s">
        <v>33</v>
      </c>
      <c r="C89">
        <v>45584</v>
      </c>
      <c r="D89" t="s">
        <v>35</v>
      </c>
      <c r="E89" t="s">
        <v>36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31</v>
      </c>
      <c r="M89">
        <v>9.4413295955146179E-2</v>
      </c>
      <c r="N89" t="s">
        <v>30</v>
      </c>
    </row>
    <row r="90" spans="1:14" x14ac:dyDescent="0.3">
      <c r="A90" t="s">
        <v>213</v>
      </c>
      <c r="B90" t="s">
        <v>33</v>
      </c>
      <c r="C90">
        <v>45497</v>
      </c>
      <c r="D90" t="s">
        <v>52</v>
      </c>
      <c r="E90" t="s">
        <v>215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31</v>
      </c>
      <c r="M90">
        <v>8.558620689655172E-2</v>
      </c>
      <c r="N90" t="s">
        <v>62</v>
      </c>
    </row>
    <row r="91" spans="1:14" x14ac:dyDescent="0.3">
      <c r="A91" t="s">
        <v>213</v>
      </c>
      <c r="B91" t="s">
        <v>33</v>
      </c>
      <c r="C91">
        <v>45497</v>
      </c>
      <c r="D91" t="s">
        <v>52</v>
      </c>
      <c r="E91" t="s">
        <v>215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31</v>
      </c>
      <c r="M91">
        <v>8.558620689655172E-2</v>
      </c>
      <c r="N91" t="s">
        <v>30</v>
      </c>
    </row>
    <row r="92" spans="1:14" x14ac:dyDescent="0.3">
      <c r="A92" t="s">
        <v>213</v>
      </c>
      <c r="B92" t="s">
        <v>33</v>
      </c>
      <c r="C92">
        <v>45497</v>
      </c>
      <c r="D92" t="s">
        <v>52</v>
      </c>
      <c r="E92" t="s">
        <v>215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31</v>
      </c>
      <c r="M92">
        <v>8.558620689655172E-2</v>
      </c>
      <c r="N92" t="s">
        <v>615</v>
      </c>
    </row>
    <row r="93" spans="1:14" x14ac:dyDescent="0.3">
      <c r="A93" t="s">
        <v>217</v>
      </c>
      <c r="B93" t="s">
        <v>27</v>
      </c>
      <c r="C93">
        <v>45580</v>
      </c>
      <c r="D93" t="s">
        <v>74</v>
      </c>
      <c r="E93" t="s">
        <v>219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19</v>
      </c>
      <c r="M93">
        <v>0.16118220597196831</v>
      </c>
      <c r="N93" t="s">
        <v>37</v>
      </c>
    </row>
    <row r="94" spans="1:14" x14ac:dyDescent="0.3">
      <c r="A94" t="s">
        <v>220</v>
      </c>
      <c r="B94" t="s">
        <v>43</v>
      </c>
      <c r="C94">
        <v>45635</v>
      </c>
      <c r="D94" t="s">
        <v>52</v>
      </c>
      <c r="E94" t="s">
        <v>59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38</v>
      </c>
      <c r="M94">
        <v>8.6737756939878216E-2</v>
      </c>
      <c r="N94" t="s">
        <v>62</v>
      </c>
    </row>
    <row r="95" spans="1:14" x14ac:dyDescent="0.3">
      <c r="A95" t="s">
        <v>222</v>
      </c>
      <c r="B95" t="s">
        <v>33</v>
      </c>
      <c r="C95">
        <v>45766</v>
      </c>
      <c r="D95" t="s">
        <v>52</v>
      </c>
      <c r="E95" t="s">
        <v>215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19</v>
      </c>
      <c r="M95">
        <v>0.19156491900087783</v>
      </c>
      <c r="N95" t="s">
        <v>62</v>
      </c>
    </row>
    <row r="96" spans="1:14" x14ac:dyDescent="0.3">
      <c r="A96" t="s">
        <v>223</v>
      </c>
      <c r="B96" t="s">
        <v>27</v>
      </c>
      <c r="C96">
        <v>45684</v>
      </c>
      <c r="D96" t="s">
        <v>22</v>
      </c>
      <c r="E96" t="s">
        <v>104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38</v>
      </c>
      <c r="M96">
        <v>6.5515821264328367E-2</v>
      </c>
      <c r="N96" t="s">
        <v>37</v>
      </c>
    </row>
    <row r="97" spans="1:14" x14ac:dyDescent="0.3">
      <c r="A97" t="s">
        <v>223</v>
      </c>
      <c r="B97" t="s">
        <v>27</v>
      </c>
      <c r="C97">
        <v>45684</v>
      </c>
      <c r="D97" t="s">
        <v>22</v>
      </c>
      <c r="E97" t="s">
        <v>104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38</v>
      </c>
      <c r="M97">
        <v>6.5515821264328367E-2</v>
      </c>
      <c r="N97" t="s">
        <v>616</v>
      </c>
    </row>
    <row r="98" spans="1:14" x14ac:dyDescent="0.3">
      <c r="A98" t="s">
        <v>225</v>
      </c>
      <c r="B98" t="s">
        <v>14</v>
      </c>
      <c r="C98">
        <v>45449</v>
      </c>
      <c r="D98" t="s">
        <v>74</v>
      </c>
      <c r="E98" t="s">
        <v>145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31</v>
      </c>
      <c r="M98">
        <v>0.20868152274837512</v>
      </c>
      <c r="N98" t="s">
        <v>62</v>
      </c>
    </row>
    <row r="99" spans="1:14" x14ac:dyDescent="0.3">
      <c r="A99" t="s">
        <v>227</v>
      </c>
      <c r="B99" t="s">
        <v>43</v>
      </c>
      <c r="C99">
        <v>45480</v>
      </c>
      <c r="D99" t="s">
        <v>35</v>
      </c>
      <c r="E99" t="s">
        <v>71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38</v>
      </c>
      <c r="M99">
        <v>0.13576158940397351</v>
      </c>
      <c r="N99" t="s">
        <v>30</v>
      </c>
    </row>
    <row r="100" spans="1:14" x14ac:dyDescent="0.3">
      <c r="A100" t="s">
        <v>229</v>
      </c>
      <c r="B100" t="s">
        <v>14</v>
      </c>
      <c r="C100">
        <v>45667</v>
      </c>
      <c r="D100" t="s">
        <v>52</v>
      </c>
      <c r="E100" t="s">
        <v>132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19</v>
      </c>
      <c r="M100">
        <v>0.16873144921925409</v>
      </c>
      <c r="N100" t="s">
        <v>37</v>
      </c>
    </row>
    <row r="101" spans="1:14" x14ac:dyDescent="0.3">
      <c r="A101" t="s">
        <v>231</v>
      </c>
      <c r="B101" t="s">
        <v>33</v>
      </c>
      <c r="C101">
        <v>45446</v>
      </c>
      <c r="D101" t="s">
        <v>52</v>
      </c>
      <c r="E101" t="s">
        <v>215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38</v>
      </c>
      <c r="M101">
        <v>7.0822181933293038E-2</v>
      </c>
      <c r="N101" t="s">
        <v>30</v>
      </c>
    </row>
    <row r="102" spans="1:14" x14ac:dyDescent="0.3">
      <c r="A102" t="s">
        <v>233</v>
      </c>
      <c r="B102" t="s">
        <v>43</v>
      </c>
      <c r="C102">
        <v>45740</v>
      </c>
      <c r="D102" t="s">
        <v>52</v>
      </c>
      <c r="E102" t="s">
        <v>59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38</v>
      </c>
      <c r="M102">
        <v>7.984956452889945E-2</v>
      </c>
      <c r="N102" t="s">
        <v>37</v>
      </c>
    </row>
    <row r="103" spans="1:14" x14ac:dyDescent="0.3">
      <c r="A103" t="s">
        <v>235</v>
      </c>
      <c r="B103" t="s">
        <v>14</v>
      </c>
      <c r="C103">
        <v>45586</v>
      </c>
      <c r="D103" t="s">
        <v>35</v>
      </c>
      <c r="E103" t="s">
        <v>149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31</v>
      </c>
      <c r="M103">
        <v>0.13599052880820836</v>
      </c>
      <c r="N103" t="s">
        <v>62</v>
      </c>
    </row>
    <row r="104" spans="1:14" x14ac:dyDescent="0.3">
      <c r="A104" t="s">
        <v>236</v>
      </c>
      <c r="B104" t="s">
        <v>33</v>
      </c>
      <c r="C104">
        <v>45637</v>
      </c>
      <c r="D104" t="s">
        <v>74</v>
      </c>
      <c r="E104" t="s">
        <v>85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31</v>
      </c>
      <c r="M104">
        <v>0.28045655718611695</v>
      </c>
      <c r="N104" t="s">
        <v>37</v>
      </c>
    </row>
    <row r="105" spans="1:14" x14ac:dyDescent="0.3">
      <c r="A105" t="s">
        <v>238</v>
      </c>
      <c r="B105" t="s">
        <v>33</v>
      </c>
      <c r="C105">
        <v>45603</v>
      </c>
      <c r="D105" t="s">
        <v>52</v>
      </c>
      <c r="E105" t="s">
        <v>215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31</v>
      </c>
      <c r="M105">
        <v>0.16843866371633656</v>
      </c>
      <c r="N105" t="s">
        <v>62</v>
      </c>
    </row>
    <row r="106" spans="1:14" x14ac:dyDescent="0.3">
      <c r="A106" t="s">
        <v>239</v>
      </c>
      <c r="B106" t="s">
        <v>33</v>
      </c>
      <c r="C106">
        <v>45604</v>
      </c>
      <c r="D106" t="s">
        <v>22</v>
      </c>
      <c r="E106" t="s">
        <v>113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38</v>
      </c>
      <c r="M106">
        <v>6.8108806480899509E-2</v>
      </c>
      <c r="N106" t="s">
        <v>62</v>
      </c>
    </row>
    <row r="107" spans="1:14" x14ac:dyDescent="0.3">
      <c r="A107" t="s">
        <v>241</v>
      </c>
      <c r="B107" t="s">
        <v>14</v>
      </c>
      <c r="C107">
        <v>45545</v>
      </c>
      <c r="D107" t="s">
        <v>52</v>
      </c>
      <c r="E107" t="s">
        <v>132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38</v>
      </c>
      <c r="M107">
        <v>0.10339256865912763</v>
      </c>
      <c r="N107" t="s">
        <v>62</v>
      </c>
    </row>
    <row r="108" spans="1:14" x14ac:dyDescent="0.3">
      <c r="A108" t="s">
        <v>243</v>
      </c>
      <c r="B108" t="s">
        <v>33</v>
      </c>
      <c r="C108">
        <v>45517</v>
      </c>
      <c r="D108" t="s">
        <v>52</v>
      </c>
      <c r="E108" t="s">
        <v>215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25</v>
      </c>
      <c r="M108">
        <v>8.7668609086629767E-2</v>
      </c>
      <c r="N108" t="s">
        <v>30</v>
      </c>
    </row>
    <row r="109" spans="1:14" x14ac:dyDescent="0.3">
      <c r="A109" t="s">
        <v>243</v>
      </c>
      <c r="B109" t="s">
        <v>33</v>
      </c>
      <c r="C109">
        <v>45517</v>
      </c>
      <c r="D109" t="s">
        <v>52</v>
      </c>
      <c r="E109" t="s">
        <v>215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25</v>
      </c>
      <c r="M109">
        <v>8.7668609086629767E-2</v>
      </c>
      <c r="N109" t="s">
        <v>615</v>
      </c>
    </row>
    <row r="110" spans="1:14" x14ac:dyDescent="0.3">
      <c r="A110" t="s">
        <v>245</v>
      </c>
      <c r="B110" t="s">
        <v>14</v>
      </c>
      <c r="C110">
        <v>45453</v>
      </c>
      <c r="D110" t="s">
        <v>35</v>
      </c>
      <c r="E110" t="s">
        <v>149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38</v>
      </c>
      <c r="M110">
        <v>0.11238095238095239</v>
      </c>
      <c r="N110" t="s">
        <v>62</v>
      </c>
    </row>
    <row r="111" spans="1:14" x14ac:dyDescent="0.3">
      <c r="A111" t="s">
        <v>246</v>
      </c>
      <c r="B111" t="s">
        <v>27</v>
      </c>
      <c r="C111">
        <v>45475</v>
      </c>
      <c r="D111" t="s">
        <v>45</v>
      </c>
      <c r="E111" t="s">
        <v>68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31</v>
      </c>
      <c r="M111">
        <v>7.2000119875329657E-2</v>
      </c>
      <c r="N111" t="s">
        <v>62</v>
      </c>
    </row>
    <row r="112" spans="1:14" x14ac:dyDescent="0.3">
      <c r="A112" t="s">
        <v>248</v>
      </c>
      <c r="B112" t="s">
        <v>27</v>
      </c>
      <c r="C112">
        <v>45698</v>
      </c>
      <c r="D112" t="s">
        <v>74</v>
      </c>
      <c r="E112" t="s">
        <v>219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19</v>
      </c>
      <c r="M112">
        <v>9.2298980747451867E-2</v>
      </c>
      <c r="N112" t="s">
        <v>37</v>
      </c>
    </row>
    <row r="113" spans="1:14" x14ac:dyDescent="0.3">
      <c r="A113" t="s">
        <v>250</v>
      </c>
      <c r="B113" t="s">
        <v>27</v>
      </c>
      <c r="C113">
        <v>45583</v>
      </c>
      <c r="D113" t="s">
        <v>74</v>
      </c>
      <c r="E113" t="s">
        <v>219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31</v>
      </c>
      <c r="M113">
        <v>7.3707865168539333E-2</v>
      </c>
      <c r="N113" t="s">
        <v>62</v>
      </c>
    </row>
    <row r="114" spans="1:14" x14ac:dyDescent="0.3">
      <c r="A114" t="s">
        <v>251</v>
      </c>
      <c r="B114" t="s">
        <v>14</v>
      </c>
      <c r="C114">
        <v>45553</v>
      </c>
      <c r="D114" t="s">
        <v>16</v>
      </c>
      <c r="E114" t="s">
        <v>17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25</v>
      </c>
      <c r="M114">
        <v>0.35666666666666669</v>
      </c>
      <c r="N114" t="s">
        <v>37</v>
      </c>
    </row>
    <row r="115" spans="1:14" x14ac:dyDescent="0.3">
      <c r="A115" t="s">
        <v>253</v>
      </c>
      <c r="B115" t="s">
        <v>43</v>
      </c>
      <c r="C115">
        <v>45454</v>
      </c>
      <c r="D115" t="s">
        <v>52</v>
      </c>
      <c r="E115" t="s">
        <v>59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25</v>
      </c>
      <c r="M115">
        <v>9.9632815002833983E-2</v>
      </c>
      <c r="N115" t="s">
        <v>37</v>
      </c>
    </row>
    <row r="116" spans="1:14" x14ac:dyDescent="0.3">
      <c r="A116" t="s">
        <v>255</v>
      </c>
      <c r="B116" t="s">
        <v>27</v>
      </c>
      <c r="C116">
        <v>45739</v>
      </c>
      <c r="D116" t="s">
        <v>35</v>
      </c>
      <c r="E116" t="s">
        <v>154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31</v>
      </c>
      <c r="M116">
        <v>0.13707250341997265</v>
      </c>
      <c r="N116" t="s">
        <v>30</v>
      </c>
    </row>
    <row r="117" spans="1:14" x14ac:dyDescent="0.3">
      <c r="A117" t="s">
        <v>257</v>
      </c>
      <c r="B117" t="s">
        <v>33</v>
      </c>
      <c r="C117">
        <v>45457</v>
      </c>
      <c r="D117" t="s">
        <v>45</v>
      </c>
      <c r="E117" t="s">
        <v>88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19</v>
      </c>
      <c r="M117">
        <v>0.12896028558679162</v>
      </c>
      <c r="N117" t="s">
        <v>62</v>
      </c>
    </row>
    <row r="118" spans="1:14" x14ac:dyDescent="0.3">
      <c r="A118" t="s">
        <v>259</v>
      </c>
      <c r="B118" t="s">
        <v>33</v>
      </c>
      <c r="C118">
        <v>45692</v>
      </c>
      <c r="D118" t="s">
        <v>52</v>
      </c>
      <c r="E118" t="s">
        <v>215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38</v>
      </c>
      <c r="M118">
        <v>8.5718409468138843E-2</v>
      </c>
      <c r="N118" t="s">
        <v>30</v>
      </c>
    </row>
    <row r="119" spans="1:14" x14ac:dyDescent="0.3">
      <c r="A119" t="s">
        <v>261</v>
      </c>
      <c r="B119" t="s">
        <v>27</v>
      </c>
      <c r="C119">
        <v>45464</v>
      </c>
      <c r="D119" t="s">
        <v>52</v>
      </c>
      <c r="E119" t="s">
        <v>53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25</v>
      </c>
      <c r="M119">
        <v>6.2467323109097243E-2</v>
      </c>
      <c r="N119" t="s">
        <v>30</v>
      </c>
    </row>
    <row r="120" spans="1:14" x14ac:dyDescent="0.3">
      <c r="A120" t="s">
        <v>263</v>
      </c>
      <c r="B120" t="s">
        <v>14</v>
      </c>
      <c r="C120">
        <v>45741</v>
      </c>
      <c r="D120" t="s">
        <v>74</v>
      </c>
      <c r="E120" t="s">
        <v>145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25</v>
      </c>
      <c r="M120">
        <v>0.10005698005698006</v>
      </c>
      <c r="N120" t="s">
        <v>30</v>
      </c>
    </row>
    <row r="121" spans="1:14" x14ac:dyDescent="0.3">
      <c r="A121" t="s">
        <v>265</v>
      </c>
      <c r="B121" t="s">
        <v>14</v>
      </c>
      <c r="C121">
        <v>45512</v>
      </c>
      <c r="D121" t="s">
        <v>35</v>
      </c>
      <c r="E121" t="s">
        <v>149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31</v>
      </c>
      <c r="M121">
        <v>0.16744313510550835</v>
      </c>
      <c r="N121" t="s">
        <v>62</v>
      </c>
    </row>
    <row r="122" spans="1:14" x14ac:dyDescent="0.3">
      <c r="A122" t="s">
        <v>267</v>
      </c>
      <c r="B122" t="s">
        <v>33</v>
      </c>
      <c r="C122">
        <v>45502</v>
      </c>
      <c r="D122" t="s">
        <v>16</v>
      </c>
      <c r="E122" t="s">
        <v>82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25</v>
      </c>
      <c r="M122">
        <v>0.12277759141227776</v>
      </c>
      <c r="N122" t="s">
        <v>37</v>
      </c>
    </row>
    <row r="123" spans="1:14" x14ac:dyDescent="0.3">
      <c r="A123" t="s">
        <v>269</v>
      </c>
      <c r="B123" t="s">
        <v>27</v>
      </c>
      <c r="C123">
        <v>45619</v>
      </c>
      <c r="D123" t="s">
        <v>52</v>
      </c>
      <c r="E123" t="s">
        <v>53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25</v>
      </c>
      <c r="M123">
        <v>7.4071349760941527E-2</v>
      </c>
      <c r="N123" t="s">
        <v>30</v>
      </c>
    </row>
    <row r="124" spans="1:14" x14ac:dyDescent="0.3">
      <c r="A124" t="s">
        <v>271</v>
      </c>
      <c r="B124" t="s">
        <v>14</v>
      </c>
      <c r="C124">
        <v>45570</v>
      </c>
      <c r="D124" t="s">
        <v>35</v>
      </c>
      <c r="E124" t="s">
        <v>149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31</v>
      </c>
      <c r="M124">
        <v>0.17441662408448305</v>
      </c>
      <c r="N124" t="s">
        <v>62</v>
      </c>
    </row>
    <row r="125" spans="1:14" x14ac:dyDescent="0.3">
      <c r="A125" t="s">
        <v>273</v>
      </c>
      <c r="B125" t="s">
        <v>14</v>
      </c>
      <c r="C125">
        <v>45567</v>
      </c>
      <c r="D125" t="s">
        <v>45</v>
      </c>
      <c r="E125" t="s">
        <v>49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19</v>
      </c>
      <c r="M125">
        <v>0.11369088028965829</v>
      </c>
      <c r="N125" t="s">
        <v>37</v>
      </c>
    </row>
    <row r="126" spans="1:14" x14ac:dyDescent="0.3">
      <c r="A126" t="s">
        <v>275</v>
      </c>
      <c r="B126" t="s">
        <v>14</v>
      </c>
      <c r="C126">
        <v>45610</v>
      </c>
      <c r="D126" t="s">
        <v>35</v>
      </c>
      <c r="E126" t="s">
        <v>149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19</v>
      </c>
      <c r="M126">
        <v>0.12942500000000001</v>
      </c>
      <c r="N126" t="s">
        <v>62</v>
      </c>
    </row>
    <row r="127" spans="1:14" x14ac:dyDescent="0.3">
      <c r="A127" t="s">
        <v>277</v>
      </c>
      <c r="B127" t="s">
        <v>14</v>
      </c>
      <c r="C127">
        <v>45788</v>
      </c>
      <c r="D127" t="s">
        <v>52</v>
      </c>
      <c r="E127" t="s">
        <v>132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38</v>
      </c>
      <c r="M127">
        <v>6.2150491965739366E-2</v>
      </c>
      <c r="N127" t="s">
        <v>30</v>
      </c>
    </row>
    <row r="128" spans="1:14" x14ac:dyDescent="0.3">
      <c r="A128" t="s">
        <v>277</v>
      </c>
      <c r="B128" t="s">
        <v>14</v>
      </c>
      <c r="C128">
        <v>45788</v>
      </c>
      <c r="D128" t="s">
        <v>52</v>
      </c>
      <c r="E128" t="s">
        <v>132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38</v>
      </c>
      <c r="M128">
        <v>6.2150491965739366E-2</v>
      </c>
      <c r="N128" t="s">
        <v>615</v>
      </c>
    </row>
    <row r="129" spans="1:14" x14ac:dyDescent="0.3">
      <c r="A129" t="s">
        <v>279</v>
      </c>
      <c r="B129" t="s">
        <v>27</v>
      </c>
      <c r="C129">
        <v>45734</v>
      </c>
      <c r="D129" t="s">
        <v>16</v>
      </c>
      <c r="E129" t="s">
        <v>29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25</v>
      </c>
      <c r="M129">
        <v>0.16769515581610614</v>
      </c>
      <c r="N129" t="s">
        <v>30</v>
      </c>
    </row>
    <row r="130" spans="1:14" x14ac:dyDescent="0.3">
      <c r="A130" t="s">
        <v>281</v>
      </c>
      <c r="B130" t="s">
        <v>14</v>
      </c>
      <c r="C130">
        <v>45600</v>
      </c>
      <c r="D130" t="s">
        <v>52</v>
      </c>
      <c r="E130" t="s">
        <v>132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38</v>
      </c>
      <c r="M130">
        <v>0.11792317271769326</v>
      </c>
      <c r="N130" t="s">
        <v>37</v>
      </c>
    </row>
    <row r="131" spans="1:14" x14ac:dyDescent="0.3">
      <c r="A131" t="s">
        <v>283</v>
      </c>
      <c r="B131" t="s">
        <v>43</v>
      </c>
      <c r="C131">
        <v>45600</v>
      </c>
      <c r="D131" t="s">
        <v>52</v>
      </c>
      <c r="E131" t="s">
        <v>59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31</v>
      </c>
      <c r="M131">
        <v>8.0158206987475278E-2</v>
      </c>
      <c r="N131" t="s">
        <v>62</v>
      </c>
    </row>
    <row r="132" spans="1:14" x14ac:dyDescent="0.3">
      <c r="A132" t="s">
        <v>284</v>
      </c>
      <c r="B132" t="s">
        <v>33</v>
      </c>
      <c r="C132">
        <v>45695</v>
      </c>
      <c r="D132" t="s">
        <v>16</v>
      </c>
      <c r="E132" t="s">
        <v>82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38</v>
      </c>
      <c r="M132">
        <v>0.31705583756345179</v>
      </c>
      <c r="N132" t="s">
        <v>62</v>
      </c>
    </row>
    <row r="133" spans="1:14" x14ac:dyDescent="0.3">
      <c r="A133" t="s">
        <v>286</v>
      </c>
      <c r="B133" t="s">
        <v>43</v>
      </c>
      <c r="C133">
        <v>45586</v>
      </c>
      <c r="D133" t="s">
        <v>35</v>
      </c>
      <c r="E133" t="s">
        <v>71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31</v>
      </c>
      <c r="M133">
        <v>0.23414918414918415</v>
      </c>
      <c r="N133" t="s">
        <v>37</v>
      </c>
    </row>
    <row r="134" spans="1:14" x14ac:dyDescent="0.3">
      <c r="A134" t="s">
        <v>287</v>
      </c>
      <c r="B134" t="s">
        <v>33</v>
      </c>
      <c r="C134">
        <v>45502</v>
      </c>
      <c r="D134" t="s">
        <v>35</v>
      </c>
      <c r="E134" t="s">
        <v>36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38</v>
      </c>
      <c r="M134">
        <v>0.32349397590361445</v>
      </c>
      <c r="N134" t="s">
        <v>62</v>
      </c>
    </row>
    <row r="135" spans="1:14" x14ac:dyDescent="0.3">
      <c r="A135" t="s">
        <v>288</v>
      </c>
      <c r="B135" t="s">
        <v>33</v>
      </c>
      <c r="C135">
        <v>45567</v>
      </c>
      <c r="D135" t="s">
        <v>22</v>
      </c>
      <c r="E135" t="s">
        <v>113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25</v>
      </c>
      <c r="M135">
        <v>8.0565268065268064E-2</v>
      </c>
      <c r="N135" t="s">
        <v>37</v>
      </c>
    </row>
    <row r="136" spans="1:14" x14ac:dyDescent="0.3">
      <c r="A136" t="s">
        <v>289</v>
      </c>
      <c r="B136" t="s">
        <v>33</v>
      </c>
      <c r="C136">
        <v>45457</v>
      </c>
      <c r="D136" t="s">
        <v>35</v>
      </c>
      <c r="E136" t="s">
        <v>36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19</v>
      </c>
      <c r="M136">
        <v>0.23616777446710979</v>
      </c>
      <c r="N136" t="s">
        <v>37</v>
      </c>
    </row>
    <row r="137" spans="1:14" x14ac:dyDescent="0.3">
      <c r="A137" t="s">
        <v>290</v>
      </c>
      <c r="B137" t="s">
        <v>27</v>
      </c>
      <c r="C137">
        <v>45753</v>
      </c>
      <c r="D137" t="s">
        <v>45</v>
      </c>
      <c r="E137" t="s">
        <v>68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19</v>
      </c>
      <c r="M137">
        <v>0.33618012422360249</v>
      </c>
      <c r="N137" t="s">
        <v>37</v>
      </c>
    </row>
    <row r="138" spans="1:14" x14ac:dyDescent="0.3">
      <c r="A138" t="s">
        <v>292</v>
      </c>
      <c r="B138" t="s">
        <v>14</v>
      </c>
      <c r="C138">
        <v>45543</v>
      </c>
      <c r="D138" t="s">
        <v>45</v>
      </c>
      <c r="E138" t="s">
        <v>49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38</v>
      </c>
      <c r="M138">
        <v>0.14265722032712325</v>
      </c>
      <c r="N138" t="s">
        <v>30</v>
      </c>
    </row>
    <row r="139" spans="1:14" x14ac:dyDescent="0.3">
      <c r="A139" t="s">
        <v>294</v>
      </c>
      <c r="B139" t="s">
        <v>33</v>
      </c>
      <c r="C139">
        <v>45744</v>
      </c>
      <c r="D139" t="s">
        <v>45</v>
      </c>
      <c r="E139" t="s">
        <v>88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38</v>
      </c>
      <c r="M139">
        <v>9.9829463465827106E-2</v>
      </c>
      <c r="N139" t="s">
        <v>62</v>
      </c>
    </row>
    <row r="140" spans="1:14" x14ac:dyDescent="0.3">
      <c r="A140" t="s">
        <v>295</v>
      </c>
      <c r="B140" t="s">
        <v>43</v>
      </c>
      <c r="C140">
        <v>45684</v>
      </c>
      <c r="D140" t="s">
        <v>16</v>
      </c>
      <c r="E140" t="s">
        <v>65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31</v>
      </c>
      <c r="M140">
        <v>6.9311459413307311E-2</v>
      </c>
      <c r="N140" t="s">
        <v>62</v>
      </c>
    </row>
    <row r="141" spans="1:14" x14ac:dyDescent="0.3">
      <c r="A141" t="s">
        <v>296</v>
      </c>
      <c r="B141" t="s">
        <v>14</v>
      </c>
      <c r="C141">
        <v>45667</v>
      </c>
      <c r="D141" t="s">
        <v>52</v>
      </c>
      <c r="E141" t="s">
        <v>132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38</v>
      </c>
      <c r="M141">
        <v>0.12537731780940059</v>
      </c>
      <c r="N141" t="s">
        <v>62</v>
      </c>
    </row>
    <row r="142" spans="1:14" x14ac:dyDescent="0.3">
      <c r="A142" t="s">
        <v>297</v>
      </c>
      <c r="B142" t="s">
        <v>14</v>
      </c>
      <c r="C142">
        <v>45494</v>
      </c>
      <c r="D142" t="s">
        <v>22</v>
      </c>
      <c r="E142" t="s">
        <v>23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25</v>
      </c>
      <c r="M142">
        <v>0.17291569632044715</v>
      </c>
      <c r="N142" t="s">
        <v>30</v>
      </c>
    </row>
    <row r="143" spans="1:14" x14ac:dyDescent="0.3">
      <c r="A143" t="s">
        <v>298</v>
      </c>
      <c r="B143" t="s">
        <v>27</v>
      </c>
      <c r="C143">
        <v>45564</v>
      </c>
      <c r="D143" t="s">
        <v>16</v>
      </c>
      <c r="E143" t="s">
        <v>29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38</v>
      </c>
      <c r="M143">
        <v>8.9577656675749323E-2</v>
      </c>
      <c r="N143" t="s">
        <v>37</v>
      </c>
    </row>
    <row r="144" spans="1:14" x14ac:dyDescent="0.3">
      <c r="A144" t="s">
        <v>300</v>
      </c>
      <c r="B144" t="s">
        <v>33</v>
      </c>
      <c r="C144">
        <v>45586</v>
      </c>
      <c r="D144" t="s">
        <v>16</v>
      </c>
      <c r="E144" t="s">
        <v>82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31</v>
      </c>
      <c r="M144">
        <v>0.13106060606060607</v>
      </c>
      <c r="N144" t="s">
        <v>62</v>
      </c>
    </row>
    <row r="145" spans="1:14" x14ac:dyDescent="0.3">
      <c r="A145" t="s">
        <v>301</v>
      </c>
      <c r="B145" t="s">
        <v>33</v>
      </c>
      <c r="C145">
        <v>45720</v>
      </c>
      <c r="D145" t="s">
        <v>35</v>
      </c>
      <c r="E145" t="s">
        <v>36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25</v>
      </c>
      <c r="M145">
        <v>0.13493953401503478</v>
      </c>
      <c r="N145" t="s">
        <v>62</v>
      </c>
    </row>
    <row r="146" spans="1:14" x14ac:dyDescent="0.3">
      <c r="A146" t="s">
        <v>302</v>
      </c>
      <c r="B146" t="s">
        <v>43</v>
      </c>
      <c r="C146">
        <v>45694</v>
      </c>
      <c r="D146" t="s">
        <v>52</v>
      </c>
      <c r="E146" t="s">
        <v>59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38</v>
      </c>
      <c r="M146">
        <v>7.172350922350923E-2</v>
      </c>
      <c r="N146" t="s">
        <v>30</v>
      </c>
    </row>
    <row r="147" spans="1:14" x14ac:dyDescent="0.3">
      <c r="A147" t="s">
        <v>304</v>
      </c>
      <c r="B147" t="s">
        <v>14</v>
      </c>
      <c r="C147">
        <v>45771</v>
      </c>
      <c r="D147" t="s">
        <v>16</v>
      </c>
      <c r="E147" t="s">
        <v>17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19</v>
      </c>
      <c r="M147">
        <v>7.1133744304476013E-2</v>
      </c>
      <c r="N147" t="s">
        <v>30</v>
      </c>
    </row>
    <row r="148" spans="1:14" x14ac:dyDescent="0.3">
      <c r="A148" t="s">
        <v>306</v>
      </c>
      <c r="B148" t="s">
        <v>43</v>
      </c>
      <c r="C148">
        <v>45624</v>
      </c>
      <c r="D148" t="s">
        <v>22</v>
      </c>
      <c r="E148" t="s">
        <v>56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38</v>
      </c>
      <c r="M148">
        <v>6.461481657304112E-2</v>
      </c>
      <c r="N148" t="s">
        <v>62</v>
      </c>
    </row>
    <row r="149" spans="1:14" x14ac:dyDescent="0.3">
      <c r="A149" t="s">
        <v>308</v>
      </c>
      <c r="B149" t="s">
        <v>33</v>
      </c>
      <c r="C149">
        <v>45484</v>
      </c>
      <c r="D149" t="s">
        <v>22</v>
      </c>
      <c r="E149" t="s">
        <v>113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38</v>
      </c>
      <c r="M149">
        <v>0.20357370772176134</v>
      </c>
      <c r="N149" t="s">
        <v>37</v>
      </c>
    </row>
    <row r="150" spans="1:14" x14ac:dyDescent="0.3">
      <c r="A150" t="s">
        <v>310</v>
      </c>
      <c r="B150" t="s">
        <v>43</v>
      </c>
      <c r="C150">
        <v>45504</v>
      </c>
      <c r="D150" t="s">
        <v>74</v>
      </c>
      <c r="E150" t="s">
        <v>75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38</v>
      </c>
      <c r="M150">
        <v>0.20871010638297871</v>
      </c>
      <c r="N150" t="s">
        <v>62</v>
      </c>
    </row>
    <row r="151" spans="1:14" x14ac:dyDescent="0.3">
      <c r="A151" t="s">
        <v>311</v>
      </c>
      <c r="B151" t="s">
        <v>14</v>
      </c>
      <c r="C151">
        <v>45745</v>
      </c>
      <c r="D151" t="s">
        <v>52</v>
      </c>
      <c r="E151" t="s">
        <v>132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31</v>
      </c>
      <c r="M151">
        <v>0.16065573770491803</v>
      </c>
      <c r="N151" t="s">
        <v>62</v>
      </c>
    </row>
    <row r="152" spans="1:14" x14ac:dyDescent="0.3">
      <c r="A152" t="s">
        <v>312</v>
      </c>
      <c r="B152" t="s">
        <v>27</v>
      </c>
      <c r="C152">
        <v>45594</v>
      </c>
      <c r="D152" t="s">
        <v>22</v>
      </c>
      <c r="E152" t="s">
        <v>104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19</v>
      </c>
      <c r="M152">
        <v>9.422796795338674E-2</v>
      </c>
      <c r="N152" t="s">
        <v>37</v>
      </c>
    </row>
    <row r="153" spans="1:14" x14ac:dyDescent="0.3">
      <c r="A153" t="s">
        <v>314</v>
      </c>
      <c r="B153" t="s">
        <v>43</v>
      </c>
      <c r="C153">
        <v>45488</v>
      </c>
      <c r="D153" t="s">
        <v>52</v>
      </c>
      <c r="E153" t="s">
        <v>59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25</v>
      </c>
      <c r="M153">
        <v>0.15571802706241816</v>
      </c>
      <c r="N153" t="s">
        <v>37</v>
      </c>
    </row>
    <row r="154" spans="1:14" x14ac:dyDescent="0.3">
      <c r="A154" t="s">
        <v>314</v>
      </c>
      <c r="B154" t="s">
        <v>43</v>
      </c>
      <c r="C154">
        <v>45488</v>
      </c>
      <c r="D154" t="s">
        <v>52</v>
      </c>
      <c r="E154" t="s">
        <v>59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25</v>
      </c>
      <c r="M154">
        <v>0.15571802706241816</v>
      </c>
      <c r="N154" t="s">
        <v>607</v>
      </c>
    </row>
    <row r="155" spans="1:14" x14ac:dyDescent="0.3">
      <c r="A155" t="s">
        <v>317</v>
      </c>
      <c r="B155" t="s">
        <v>14</v>
      </c>
      <c r="C155">
        <v>45535</v>
      </c>
      <c r="D155" t="s">
        <v>52</v>
      </c>
      <c r="E155" t="s">
        <v>132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38</v>
      </c>
      <c r="M155">
        <v>0.2316508937960042</v>
      </c>
      <c r="N155" t="s">
        <v>62</v>
      </c>
    </row>
    <row r="156" spans="1:14" x14ac:dyDescent="0.3">
      <c r="A156" t="s">
        <v>319</v>
      </c>
      <c r="B156" t="s">
        <v>27</v>
      </c>
      <c r="C156">
        <v>45741</v>
      </c>
      <c r="D156" t="s">
        <v>35</v>
      </c>
      <c r="E156" t="s">
        <v>154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38</v>
      </c>
      <c r="M156">
        <v>6.9438087973557078E-2</v>
      </c>
      <c r="N156" t="s">
        <v>62</v>
      </c>
    </row>
    <row r="157" spans="1:14" x14ac:dyDescent="0.3">
      <c r="A157" t="s">
        <v>320</v>
      </c>
      <c r="B157" t="s">
        <v>27</v>
      </c>
      <c r="C157">
        <v>45567</v>
      </c>
      <c r="D157" t="s">
        <v>45</v>
      </c>
      <c r="E157" t="s">
        <v>68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31</v>
      </c>
      <c r="M157">
        <v>0.50192307692307692</v>
      </c>
      <c r="N157" t="s">
        <v>30</v>
      </c>
    </row>
    <row r="158" spans="1:14" x14ac:dyDescent="0.3">
      <c r="A158" t="s">
        <v>321</v>
      </c>
      <c r="B158" t="s">
        <v>27</v>
      </c>
      <c r="C158">
        <v>45593</v>
      </c>
      <c r="D158" t="s">
        <v>35</v>
      </c>
      <c r="E158" t="s">
        <v>154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38</v>
      </c>
      <c r="M158">
        <v>6.5455787978772245E-2</v>
      </c>
      <c r="N158" t="s">
        <v>37</v>
      </c>
    </row>
    <row r="159" spans="1:14" x14ac:dyDescent="0.3">
      <c r="A159" t="s">
        <v>322</v>
      </c>
      <c r="B159" t="s">
        <v>33</v>
      </c>
      <c r="C159">
        <v>45516</v>
      </c>
      <c r="D159" t="s">
        <v>45</v>
      </c>
      <c r="E159" t="s">
        <v>88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38</v>
      </c>
      <c r="M159">
        <v>5.6416400425985093E-2</v>
      </c>
      <c r="N159" t="s">
        <v>30</v>
      </c>
    </row>
    <row r="160" spans="1:14" x14ac:dyDescent="0.3">
      <c r="A160" t="s">
        <v>323</v>
      </c>
      <c r="B160" t="s">
        <v>27</v>
      </c>
      <c r="C160">
        <v>45448</v>
      </c>
      <c r="D160" t="s">
        <v>16</v>
      </c>
      <c r="E160" t="s">
        <v>29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19</v>
      </c>
      <c r="M160">
        <v>0.21636759108210984</v>
      </c>
      <c r="N160" t="s">
        <v>37</v>
      </c>
    </row>
    <row r="161" spans="1:14" x14ac:dyDescent="0.3">
      <c r="A161" t="s">
        <v>323</v>
      </c>
      <c r="B161" t="s">
        <v>27</v>
      </c>
      <c r="C161">
        <v>45448</v>
      </c>
      <c r="D161" t="s">
        <v>16</v>
      </c>
      <c r="E161" t="s">
        <v>29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19</v>
      </c>
      <c r="M161">
        <v>0.21636759108210984</v>
      </c>
      <c r="N161" t="s">
        <v>615</v>
      </c>
    </row>
    <row r="162" spans="1:14" x14ac:dyDescent="0.3">
      <c r="A162" t="s">
        <v>326</v>
      </c>
      <c r="B162" t="s">
        <v>33</v>
      </c>
      <c r="C162">
        <v>45586</v>
      </c>
      <c r="D162" t="s">
        <v>16</v>
      </c>
      <c r="E162" t="s">
        <v>82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25</v>
      </c>
      <c r="M162">
        <v>0.15283323095823095</v>
      </c>
      <c r="N162" t="s">
        <v>30</v>
      </c>
    </row>
    <row r="163" spans="1:14" x14ac:dyDescent="0.3">
      <c r="A163" t="s">
        <v>327</v>
      </c>
      <c r="B163" t="s">
        <v>33</v>
      </c>
      <c r="C163">
        <v>45762</v>
      </c>
      <c r="D163" t="s">
        <v>74</v>
      </c>
      <c r="E163" t="s">
        <v>85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38</v>
      </c>
      <c r="M163">
        <v>0.19864505202032423</v>
      </c>
      <c r="N163" t="s">
        <v>37</v>
      </c>
    </row>
    <row r="164" spans="1:14" x14ac:dyDescent="0.3">
      <c r="A164" t="s">
        <v>328</v>
      </c>
      <c r="B164" t="s">
        <v>14</v>
      </c>
      <c r="C164">
        <v>45459</v>
      </c>
      <c r="D164" t="s">
        <v>74</v>
      </c>
      <c r="E164" t="s">
        <v>145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19</v>
      </c>
      <c r="M164">
        <v>7.7291421856639245E-2</v>
      </c>
      <c r="N164" t="s">
        <v>37</v>
      </c>
    </row>
    <row r="165" spans="1:14" x14ac:dyDescent="0.3">
      <c r="A165" t="s">
        <v>330</v>
      </c>
      <c r="B165" t="s">
        <v>27</v>
      </c>
      <c r="C165">
        <v>45526</v>
      </c>
      <c r="D165" t="s">
        <v>45</v>
      </c>
      <c r="E165" t="s">
        <v>68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38</v>
      </c>
      <c r="M165">
        <v>6.3713620488940623E-2</v>
      </c>
      <c r="N165" t="s">
        <v>30</v>
      </c>
    </row>
    <row r="166" spans="1:14" x14ac:dyDescent="0.3">
      <c r="A166" t="s">
        <v>332</v>
      </c>
      <c r="B166" t="s">
        <v>33</v>
      </c>
      <c r="C166">
        <v>45499</v>
      </c>
      <c r="D166" t="s">
        <v>52</v>
      </c>
      <c r="E166" t="s">
        <v>215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19</v>
      </c>
      <c r="M166">
        <v>0.10977802753582468</v>
      </c>
      <c r="N166" t="s">
        <v>37</v>
      </c>
    </row>
    <row r="167" spans="1:14" x14ac:dyDescent="0.3">
      <c r="A167" t="s">
        <v>333</v>
      </c>
      <c r="B167" t="s">
        <v>43</v>
      </c>
      <c r="C167">
        <v>45769</v>
      </c>
      <c r="D167" t="s">
        <v>52</v>
      </c>
      <c r="E167" t="s">
        <v>59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38</v>
      </c>
      <c r="M167">
        <v>0.19511518179295032</v>
      </c>
      <c r="N167" t="s">
        <v>37</v>
      </c>
    </row>
    <row r="168" spans="1:14" x14ac:dyDescent="0.3">
      <c r="A168" t="s">
        <v>335</v>
      </c>
      <c r="B168" t="s">
        <v>14</v>
      </c>
      <c r="C168">
        <v>45658</v>
      </c>
      <c r="D168" t="s">
        <v>74</v>
      </c>
      <c r="E168" t="s">
        <v>145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31</v>
      </c>
      <c r="M168">
        <v>0.17801355732390214</v>
      </c>
      <c r="N168" t="s">
        <v>30</v>
      </c>
    </row>
    <row r="169" spans="1:14" x14ac:dyDescent="0.3">
      <c r="A169" t="s">
        <v>337</v>
      </c>
      <c r="B169" t="s">
        <v>33</v>
      </c>
      <c r="C169">
        <v>45574</v>
      </c>
      <c r="D169" t="s">
        <v>45</v>
      </c>
      <c r="E169" t="s">
        <v>88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38</v>
      </c>
      <c r="M169">
        <v>0.31965192168237855</v>
      </c>
      <c r="N169" t="s">
        <v>62</v>
      </c>
    </row>
    <row r="170" spans="1:14" x14ac:dyDescent="0.3">
      <c r="A170" t="s">
        <v>338</v>
      </c>
      <c r="B170" t="s">
        <v>27</v>
      </c>
      <c r="C170">
        <v>45647</v>
      </c>
      <c r="D170" t="s">
        <v>52</v>
      </c>
      <c r="E170" t="s">
        <v>53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25</v>
      </c>
      <c r="M170">
        <v>0.11489268506351293</v>
      </c>
      <c r="N170" t="s">
        <v>62</v>
      </c>
    </row>
    <row r="171" spans="1:14" x14ac:dyDescent="0.3">
      <c r="A171" t="s">
        <v>340</v>
      </c>
      <c r="B171" t="s">
        <v>43</v>
      </c>
      <c r="C171">
        <v>45587</v>
      </c>
      <c r="D171" t="s">
        <v>45</v>
      </c>
      <c r="E171" t="s">
        <v>46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25</v>
      </c>
      <c r="M171">
        <v>0.1095786671562328</v>
      </c>
      <c r="N171" t="s">
        <v>62</v>
      </c>
    </row>
    <row r="172" spans="1:14" x14ac:dyDescent="0.3">
      <c r="A172" t="s">
        <v>342</v>
      </c>
      <c r="B172" t="s">
        <v>27</v>
      </c>
      <c r="C172">
        <v>45496</v>
      </c>
      <c r="D172" t="s">
        <v>35</v>
      </c>
      <c r="E172" t="s">
        <v>154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25</v>
      </c>
      <c r="M172">
        <v>0.10793717277486911</v>
      </c>
      <c r="N172" t="s">
        <v>62</v>
      </c>
    </row>
    <row r="173" spans="1:14" x14ac:dyDescent="0.3">
      <c r="A173" t="s">
        <v>344</v>
      </c>
      <c r="B173" t="s">
        <v>33</v>
      </c>
      <c r="C173">
        <v>45515</v>
      </c>
      <c r="D173" t="s">
        <v>35</v>
      </c>
      <c r="E173" t="s">
        <v>36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19</v>
      </c>
      <c r="M173">
        <v>0.11307081114118571</v>
      </c>
      <c r="N173" t="s">
        <v>30</v>
      </c>
    </row>
    <row r="174" spans="1:14" x14ac:dyDescent="0.3">
      <c r="A174" t="s">
        <v>346</v>
      </c>
      <c r="B174" t="s">
        <v>43</v>
      </c>
      <c r="C174">
        <v>45621</v>
      </c>
      <c r="D174" t="s">
        <v>35</v>
      </c>
      <c r="E174" t="s">
        <v>71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25</v>
      </c>
      <c r="M174">
        <v>0.21745283018867925</v>
      </c>
      <c r="N174" t="s">
        <v>62</v>
      </c>
    </row>
    <row r="175" spans="1:14" x14ac:dyDescent="0.3">
      <c r="A175" t="s">
        <v>347</v>
      </c>
      <c r="B175" t="s">
        <v>14</v>
      </c>
      <c r="C175">
        <v>45528</v>
      </c>
      <c r="D175" t="s">
        <v>74</v>
      </c>
      <c r="E175" t="s">
        <v>145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25</v>
      </c>
      <c r="M175">
        <v>9.1137810638734856E-2</v>
      </c>
      <c r="N175" t="s">
        <v>30</v>
      </c>
    </row>
    <row r="176" spans="1:14" x14ac:dyDescent="0.3">
      <c r="A176" t="s">
        <v>349</v>
      </c>
      <c r="B176" t="s">
        <v>14</v>
      </c>
      <c r="C176">
        <v>45707</v>
      </c>
      <c r="D176" t="s">
        <v>22</v>
      </c>
      <c r="E176" t="s">
        <v>23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38</v>
      </c>
      <c r="M176">
        <v>0.11508145034156594</v>
      </c>
      <c r="N176" t="s">
        <v>30</v>
      </c>
    </row>
    <row r="177" spans="1:14" x14ac:dyDescent="0.3">
      <c r="A177" t="s">
        <v>351</v>
      </c>
      <c r="B177" t="s">
        <v>43</v>
      </c>
      <c r="C177">
        <v>45748</v>
      </c>
      <c r="D177" t="s">
        <v>35</v>
      </c>
      <c r="E177" t="s">
        <v>71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38</v>
      </c>
      <c r="M177">
        <v>8.6630570595585168E-2</v>
      </c>
      <c r="N177" t="s">
        <v>62</v>
      </c>
    </row>
    <row r="178" spans="1:14" x14ac:dyDescent="0.3">
      <c r="A178" t="s">
        <v>353</v>
      </c>
      <c r="B178" t="s">
        <v>33</v>
      </c>
      <c r="C178">
        <v>45755</v>
      </c>
      <c r="D178" t="s">
        <v>52</v>
      </c>
      <c r="E178" t="s">
        <v>215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25</v>
      </c>
      <c r="M178">
        <v>0.23101532992668297</v>
      </c>
      <c r="N178" t="s">
        <v>30</v>
      </c>
    </row>
    <row r="179" spans="1:14" x14ac:dyDescent="0.3">
      <c r="A179" t="s">
        <v>355</v>
      </c>
      <c r="B179" t="s">
        <v>27</v>
      </c>
      <c r="C179">
        <v>45715</v>
      </c>
      <c r="D179" t="s">
        <v>22</v>
      </c>
      <c r="E179" t="s">
        <v>104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38</v>
      </c>
      <c r="M179">
        <v>0.15355188488042157</v>
      </c>
      <c r="N179" t="s">
        <v>30</v>
      </c>
    </row>
    <row r="180" spans="1:14" x14ac:dyDescent="0.3">
      <c r="A180" t="s">
        <v>355</v>
      </c>
      <c r="B180" t="s">
        <v>27</v>
      </c>
      <c r="C180">
        <v>45715</v>
      </c>
      <c r="D180" t="s">
        <v>22</v>
      </c>
      <c r="E180" t="s">
        <v>104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38</v>
      </c>
      <c r="M180">
        <v>0.15355188488042157</v>
      </c>
      <c r="N180" t="s">
        <v>615</v>
      </c>
    </row>
    <row r="181" spans="1:14" x14ac:dyDescent="0.3">
      <c r="A181" t="s">
        <v>356</v>
      </c>
      <c r="B181" t="s">
        <v>14</v>
      </c>
      <c r="C181">
        <v>45637</v>
      </c>
      <c r="D181" t="s">
        <v>22</v>
      </c>
      <c r="E181" t="s">
        <v>23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25</v>
      </c>
      <c r="M181">
        <v>0.15405989502933004</v>
      </c>
      <c r="N181" t="s">
        <v>30</v>
      </c>
    </row>
    <row r="182" spans="1:14" x14ac:dyDescent="0.3">
      <c r="A182" t="s">
        <v>357</v>
      </c>
      <c r="B182" t="s">
        <v>14</v>
      </c>
      <c r="C182">
        <v>45704</v>
      </c>
      <c r="D182" t="s">
        <v>16</v>
      </c>
      <c r="E182" t="s">
        <v>17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19</v>
      </c>
      <c r="M182">
        <v>0.14320716458262928</v>
      </c>
      <c r="N182" t="s">
        <v>62</v>
      </c>
    </row>
    <row r="183" spans="1:14" x14ac:dyDescent="0.3">
      <c r="A183" t="s">
        <v>358</v>
      </c>
      <c r="B183" t="s">
        <v>33</v>
      </c>
      <c r="C183">
        <v>45624</v>
      </c>
      <c r="D183" t="s">
        <v>22</v>
      </c>
      <c r="E183" t="s">
        <v>113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38</v>
      </c>
      <c r="M183">
        <v>9.859917557465242E-2</v>
      </c>
      <c r="N183" t="s">
        <v>62</v>
      </c>
    </row>
    <row r="184" spans="1:14" x14ac:dyDescent="0.3">
      <c r="A184" t="s">
        <v>359</v>
      </c>
      <c r="B184" t="s">
        <v>43</v>
      </c>
      <c r="C184">
        <v>45608</v>
      </c>
      <c r="D184" t="s">
        <v>22</v>
      </c>
      <c r="E184" t="s">
        <v>56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19</v>
      </c>
      <c r="M184">
        <v>7.412002573292896E-2</v>
      </c>
      <c r="N184" t="s">
        <v>37</v>
      </c>
    </row>
    <row r="185" spans="1:14" x14ac:dyDescent="0.3">
      <c r="A185" t="s">
        <v>361</v>
      </c>
      <c r="B185" t="s">
        <v>27</v>
      </c>
      <c r="C185">
        <v>45629</v>
      </c>
      <c r="D185" t="s">
        <v>74</v>
      </c>
      <c r="E185" t="s">
        <v>219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19</v>
      </c>
      <c r="M185">
        <v>0.12490884163239112</v>
      </c>
      <c r="N185" t="s">
        <v>37</v>
      </c>
    </row>
    <row r="186" spans="1:14" x14ac:dyDescent="0.3">
      <c r="A186" t="s">
        <v>363</v>
      </c>
      <c r="B186" t="s">
        <v>14</v>
      </c>
      <c r="C186">
        <v>45775</v>
      </c>
      <c r="D186" t="s">
        <v>22</v>
      </c>
      <c r="E186" t="s">
        <v>23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31</v>
      </c>
      <c r="M186">
        <v>6.8655003457763777E-2</v>
      </c>
      <c r="N186" t="s">
        <v>30</v>
      </c>
    </row>
    <row r="187" spans="1:14" x14ac:dyDescent="0.3">
      <c r="A187" t="s">
        <v>365</v>
      </c>
      <c r="B187" t="s">
        <v>27</v>
      </c>
      <c r="C187">
        <v>45657</v>
      </c>
      <c r="D187" t="s">
        <v>74</v>
      </c>
      <c r="E187" t="s">
        <v>219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25</v>
      </c>
      <c r="M187">
        <v>9.8068107400130972E-2</v>
      </c>
      <c r="N187" t="s">
        <v>62</v>
      </c>
    </row>
    <row r="188" spans="1:14" x14ac:dyDescent="0.3">
      <c r="A188" t="s">
        <v>367</v>
      </c>
      <c r="B188" t="s">
        <v>43</v>
      </c>
      <c r="C188">
        <v>45518</v>
      </c>
      <c r="D188" t="s">
        <v>45</v>
      </c>
      <c r="E188" t="s">
        <v>46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31</v>
      </c>
      <c r="M188">
        <v>7.2739802071170159E-2</v>
      </c>
      <c r="N188" t="s">
        <v>37</v>
      </c>
    </row>
    <row r="189" spans="1:14" x14ac:dyDescent="0.3">
      <c r="A189" t="s">
        <v>369</v>
      </c>
      <c r="B189" t="s">
        <v>14</v>
      </c>
      <c r="C189">
        <v>45631</v>
      </c>
      <c r="D189" t="s">
        <v>74</v>
      </c>
      <c r="E189" t="s">
        <v>145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31</v>
      </c>
      <c r="M189">
        <v>0.14348370927318296</v>
      </c>
      <c r="N189" t="s">
        <v>62</v>
      </c>
    </row>
    <row r="190" spans="1:14" x14ac:dyDescent="0.3">
      <c r="A190" t="s">
        <v>371</v>
      </c>
      <c r="B190" t="s">
        <v>43</v>
      </c>
      <c r="C190">
        <v>45465</v>
      </c>
      <c r="D190" t="s">
        <v>22</v>
      </c>
      <c r="E190" t="s">
        <v>56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19</v>
      </c>
      <c r="M190">
        <v>0.13809430512016718</v>
      </c>
      <c r="N190" t="s">
        <v>37</v>
      </c>
    </row>
    <row r="191" spans="1:14" x14ac:dyDescent="0.3">
      <c r="A191" t="s">
        <v>372</v>
      </c>
      <c r="B191" t="s">
        <v>33</v>
      </c>
      <c r="C191">
        <v>45674</v>
      </c>
      <c r="D191" t="s">
        <v>16</v>
      </c>
      <c r="E191" t="s">
        <v>82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38</v>
      </c>
      <c r="M191">
        <v>0.6508215962441315</v>
      </c>
      <c r="N191" t="s">
        <v>62</v>
      </c>
    </row>
    <row r="192" spans="1:14" x14ac:dyDescent="0.3">
      <c r="A192" t="s">
        <v>374</v>
      </c>
      <c r="B192" t="s">
        <v>43</v>
      </c>
      <c r="C192">
        <v>45463</v>
      </c>
      <c r="D192" t="s">
        <v>74</v>
      </c>
      <c r="E192" t="s">
        <v>75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19</v>
      </c>
      <c r="M192">
        <v>5.4081095313322801E-2</v>
      </c>
      <c r="N192" t="s">
        <v>30</v>
      </c>
    </row>
    <row r="193" spans="1:14" x14ac:dyDescent="0.3">
      <c r="A193" t="s">
        <v>376</v>
      </c>
      <c r="B193" t="s">
        <v>33</v>
      </c>
      <c r="C193">
        <v>45483</v>
      </c>
      <c r="D193" t="s">
        <v>45</v>
      </c>
      <c r="E193" t="s">
        <v>88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31</v>
      </c>
      <c r="M193">
        <v>9.1365878393951966E-2</v>
      </c>
      <c r="N193" t="s">
        <v>30</v>
      </c>
    </row>
    <row r="194" spans="1:14" x14ac:dyDescent="0.3">
      <c r="A194" t="s">
        <v>378</v>
      </c>
      <c r="B194" t="s">
        <v>33</v>
      </c>
      <c r="C194">
        <v>45603</v>
      </c>
      <c r="D194" t="s">
        <v>74</v>
      </c>
      <c r="E194" t="s">
        <v>85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38</v>
      </c>
      <c r="M194">
        <v>0.70387596899224802</v>
      </c>
      <c r="N194" t="s">
        <v>30</v>
      </c>
    </row>
    <row r="195" spans="1:14" x14ac:dyDescent="0.3">
      <c r="A195" t="s">
        <v>379</v>
      </c>
      <c r="B195" t="s">
        <v>43</v>
      </c>
      <c r="C195">
        <v>45488</v>
      </c>
      <c r="D195" t="s">
        <v>45</v>
      </c>
      <c r="E195" t="s">
        <v>46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25</v>
      </c>
      <c r="M195">
        <v>7.5280481001673588E-2</v>
      </c>
      <c r="N195" t="s">
        <v>30</v>
      </c>
    </row>
    <row r="196" spans="1:14" x14ac:dyDescent="0.3">
      <c r="A196" t="s">
        <v>380</v>
      </c>
      <c r="B196" t="s">
        <v>27</v>
      </c>
      <c r="C196">
        <v>45629</v>
      </c>
      <c r="D196" t="s">
        <v>22</v>
      </c>
      <c r="E196" t="s">
        <v>104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19</v>
      </c>
      <c r="M196">
        <v>9.023070704558174E-2</v>
      </c>
      <c r="N196" t="s">
        <v>30</v>
      </c>
    </row>
    <row r="197" spans="1:14" x14ac:dyDescent="0.3">
      <c r="A197" t="s">
        <v>381</v>
      </c>
      <c r="B197" t="s">
        <v>27</v>
      </c>
      <c r="C197">
        <v>45737</v>
      </c>
      <c r="D197" t="s">
        <v>52</v>
      </c>
      <c r="E197" t="s">
        <v>53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31</v>
      </c>
      <c r="M197">
        <v>0.23673521198273673</v>
      </c>
      <c r="N197" t="s">
        <v>37</v>
      </c>
    </row>
    <row r="198" spans="1:14" x14ac:dyDescent="0.3">
      <c r="A198" t="s">
        <v>383</v>
      </c>
      <c r="B198" t="s">
        <v>43</v>
      </c>
      <c r="C198">
        <v>45504</v>
      </c>
      <c r="D198" t="s">
        <v>52</v>
      </c>
      <c r="E198" t="s">
        <v>59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38</v>
      </c>
      <c r="M198">
        <v>0.10132030477519921</v>
      </c>
      <c r="N198" t="s">
        <v>30</v>
      </c>
    </row>
    <row r="199" spans="1:14" x14ac:dyDescent="0.3">
      <c r="A199" t="s">
        <v>384</v>
      </c>
      <c r="B199" t="s">
        <v>33</v>
      </c>
      <c r="C199">
        <v>45643</v>
      </c>
      <c r="D199" t="s">
        <v>35</v>
      </c>
      <c r="E199" t="s">
        <v>36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25</v>
      </c>
      <c r="M199">
        <v>0.28696581196581195</v>
      </c>
      <c r="N199" t="s">
        <v>62</v>
      </c>
    </row>
    <row r="200" spans="1:14" x14ac:dyDescent="0.3">
      <c r="A200" t="s">
        <v>386</v>
      </c>
      <c r="B200" t="s">
        <v>14</v>
      </c>
      <c r="C200">
        <v>45501</v>
      </c>
      <c r="D200" t="s">
        <v>52</v>
      </c>
      <c r="E200" t="s">
        <v>132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19</v>
      </c>
      <c r="M200">
        <v>0.13614307931570763</v>
      </c>
      <c r="N200" t="s">
        <v>37</v>
      </c>
    </row>
    <row r="201" spans="1:14" x14ac:dyDescent="0.3">
      <c r="A201" t="s">
        <v>388</v>
      </c>
      <c r="B201" t="s">
        <v>33</v>
      </c>
      <c r="C201">
        <v>45668</v>
      </c>
      <c r="D201" t="s">
        <v>45</v>
      </c>
      <c r="E201" t="s">
        <v>88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19</v>
      </c>
      <c r="M201">
        <v>9.5290736237010829E-2</v>
      </c>
      <c r="N201" t="s">
        <v>37</v>
      </c>
    </row>
    <row r="202" spans="1:14" x14ac:dyDescent="0.3">
      <c r="A202" t="s">
        <v>390</v>
      </c>
      <c r="B202" t="s">
        <v>43</v>
      </c>
      <c r="C202">
        <v>45528</v>
      </c>
      <c r="D202" t="s">
        <v>45</v>
      </c>
      <c r="E202" t="s">
        <v>46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31</v>
      </c>
      <c r="M202">
        <v>8.4862714173059003E-2</v>
      </c>
      <c r="N202" t="s">
        <v>37</v>
      </c>
    </row>
    <row r="203" spans="1:14" x14ac:dyDescent="0.3">
      <c r="A203" t="s">
        <v>391</v>
      </c>
      <c r="B203" t="s">
        <v>14</v>
      </c>
      <c r="C203">
        <v>45648</v>
      </c>
      <c r="D203" t="s">
        <v>16</v>
      </c>
      <c r="E203" t="s">
        <v>17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31</v>
      </c>
      <c r="M203">
        <v>8.3726921425504502E-2</v>
      </c>
      <c r="N203" t="s">
        <v>37</v>
      </c>
    </row>
    <row r="204" spans="1:14" x14ac:dyDescent="0.3">
      <c r="A204" t="s">
        <v>393</v>
      </c>
      <c r="B204" t="s">
        <v>27</v>
      </c>
      <c r="C204">
        <v>45449</v>
      </c>
      <c r="D204" t="s">
        <v>16</v>
      </c>
      <c r="E204" t="s">
        <v>29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25</v>
      </c>
      <c r="M204">
        <v>8.4946236559139784E-2</v>
      </c>
      <c r="N204" t="s">
        <v>62</v>
      </c>
    </row>
    <row r="205" spans="1:14" x14ac:dyDescent="0.3">
      <c r="A205" t="s">
        <v>394</v>
      </c>
      <c r="B205" t="s">
        <v>43</v>
      </c>
      <c r="C205">
        <v>45740</v>
      </c>
      <c r="D205" t="s">
        <v>16</v>
      </c>
      <c r="E205" t="s">
        <v>65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19</v>
      </c>
      <c r="M205">
        <v>7.2503306878306875E-2</v>
      </c>
      <c r="N205" t="s">
        <v>30</v>
      </c>
    </row>
    <row r="206" spans="1:14" x14ac:dyDescent="0.3">
      <c r="A206" t="s">
        <v>395</v>
      </c>
      <c r="B206" t="s">
        <v>27</v>
      </c>
      <c r="C206">
        <v>45569</v>
      </c>
      <c r="D206" t="s">
        <v>22</v>
      </c>
      <c r="E206" t="s">
        <v>104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38</v>
      </c>
      <c r="M206">
        <v>5.5909322465613857E-2</v>
      </c>
      <c r="N206" t="s">
        <v>62</v>
      </c>
    </row>
    <row r="207" spans="1:14" x14ac:dyDescent="0.3">
      <c r="A207" t="s">
        <v>397</v>
      </c>
      <c r="B207" t="s">
        <v>27</v>
      </c>
      <c r="C207">
        <v>45629</v>
      </c>
      <c r="D207" t="s">
        <v>35</v>
      </c>
      <c r="E207" t="s">
        <v>154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31</v>
      </c>
      <c r="M207">
        <v>9.9578134817341346E-2</v>
      </c>
      <c r="N207" t="s">
        <v>62</v>
      </c>
    </row>
    <row r="208" spans="1:14" x14ac:dyDescent="0.3">
      <c r="A208" t="s">
        <v>398</v>
      </c>
      <c r="B208" t="s">
        <v>33</v>
      </c>
      <c r="C208">
        <v>45625</v>
      </c>
      <c r="D208" t="s">
        <v>74</v>
      </c>
      <c r="E208" t="s">
        <v>85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19</v>
      </c>
      <c r="M208">
        <v>0.1441326530612245</v>
      </c>
      <c r="N208" t="s">
        <v>37</v>
      </c>
    </row>
    <row r="209" spans="1:14" x14ac:dyDescent="0.3">
      <c r="A209" t="s">
        <v>400</v>
      </c>
      <c r="B209" t="s">
        <v>14</v>
      </c>
      <c r="C209">
        <v>45546</v>
      </c>
      <c r="D209" t="s">
        <v>52</v>
      </c>
      <c r="E209" t="s">
        <v>132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31</v>
      </c>
      <c r="M209">
        <v>9.9255211647142488E-2</v>
      </c>
      <c r="N209" t="s">
        <v>37</v>
      </c>
    </row>
    <row r="210" spans="1:14" x14ac:dyDescent="0.3">
      <c r="A210" t="s">
        <v>402</v>
      </c>
      <c r="B210" t="s">
        <v>27</v>
      </c>
      <c r="C210">
        <v>45567</v>
      </c>
      <c r="D210" t="s">
        <v>35</v>
      </c>
      <c r="E210" t="s">
        <v>154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19</v>
      </c>
      <c r="M210">
        <v>8.4203612479474554E-2</v>
      </c>
      <c r="N210" t="s">
        <v>37</v>
      </c>
    </row>
    <row r="211" spans="1:14" x14ac:dyDescent="0.3">
      <c r="A211" t="s">
        <v>403</v>
      </c>
      <c r="B211" t="s">
        <v>33</v>
      </c>
      <c r="C211">
        <v>45519</v>
      </c>
      <c r="D211" t="s">
        <v>45</v>
      </c>
      <c r="E211" t="s">
        <v>88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38</v>
      </c>
      <c r="M211">
        <v>0.13667732704931829</v>
      </c>
      <c r="N211" t="s">
        <v>62</v>
      </c>
    </row>
    <row r="212" spans="1:14" x14ac:dyDescent="0.3">
      <c r="A212" t="s">
        <v>403</v>
      </c>
      <c r="B212" t="s">
        <v>33</v>
      </c>
      <c r="C212">
        <v>45519</v>
      </c>
      <c r="D212" t="s">
        <v>45</v>
      </c>
      <c r="E212" t="s">
        <v>88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38</v>
      </c>
      <c r="M212">
        <v>0.13667732704931829</v>
      </c>
      <c r="N212" t="s">
        <v>30</v>
      </c>
    </row>
    <row r="213" spans="1:14" x14ac:dyDescent="0.3">
      <c r="A213" t="s">
        <v>403</v>
      </c>
      <c r="B213" t="s">
        <v>33</v>
      </c>
      <c r="C213">
        <v>45519</v>
      </c>
      <c r="D213" t="s">
        <v>45</v>
      </c>
      <c r="E213" t="s">
        <v>88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38</v>
      </c>
      <c r="M213">
        <v>0.13667732704931829</v>
      </c>
      <c r="N213" t="s">
        <v>615</v>
      </c>
    </row>
    <row r="214" spans="1:14" x14ac:dyDescent="0.3">
      <c r="A214" t="s">
        <v>405</v>
      </c>
      <c r="B214" t="s">
        <v>33</v>
      </c>
      <c r="C214">
        <v>45645</v>
      </c>
      <c r="D214" t="s">
        <v>22</v>
      </c>
      <c r="E214" t="s">
        <v>113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31</v>
      </c>
      <c r="M214">
        <v>0.12575841147269717</v>
      </c>
      <c r="N214" t="s">
        <v>37</v>
      </c>
    </row>
    <row r="215" spans="1:14" x14ac:dyDescent="0.3">
      <c r="A215" t="s">
        <v>407</v>
      </c>
      <c r="B215" t="s">
        <v>14</v>
      </c>
      <c r="C215">
        <v>45587</v>
      </c>
      <c r="D215" t="s">
        <v>16</v>
      </c>
      <c r="E215" t="s">
        <v>17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19</v>
      </c>
      <c r="M215">
        <v>6.4884520656164318E-2</v>
      </c>
      <c r="N215" t="s">
        <v>37</v>
      </c>
    </row>
    <row r="216" spans="1:14" x14ac:dyDescent="0.3">
      <c r="A216" t="s">
        <v>408</v>
      </c>
      <c r="B216" t="s">
        <v>14</v>
      </c>
      <c r="C216">
        <v>45549</v>
      </c>
      <c r="D216" t="s">
        <v>52</v>
      </c>
      <c r="E216" t="s">
        <v>132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31</v>
      </c>
      <c r="M216">
        <v>0.19847328244274809</v>
      </c>
      <c r="N216" t="s">
        <v>30</v>
      </c>
    </row>
    <row r="217" spans="1:14" x14ac:dyDescent="0.3">
      <c r="A217" t="s">
        <v>410</v>
      </c>
      <c r="B217" t="s">
        <v>27</v>
      </c>
      <c r="C217">
        <v>45626</v>
      </c>
      <c r="D217" t="s">
        <v>45</v>
      </c>
      <c r="E217" t="s">
        <v>68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25</v>
      </c>
      <c r="M217">
        <v>8.5520696919660646E-2</v>
      </c>
      <c r="N217" t="s">
        <v>30</v>
      </c>
    </row>
    <row r="218" spans="1:14" x14ac:dyDescent="0.3">
      <c r="A218" t="s">
        <v>411</v>
      </c>
      <c r="B218" t="s">
        <v>43</v>
      </c>
      <c r="C218">
        <v>45754</v>
      </c>
      <c r="D218" t="s">
        <v>16</v>
      </c>
      <c r="E218" t="s">
        <v>65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25</v>
      </c>
      <c r="M218">
        <v>6.246991874522239E-2</v>
      </c>
      <c r="N218" t="s">
        <v>30</v>
      </c>
    </row>
    <row r="219" spans="1:14" x14ac:dyDescent="0.3">
      <c r="A219" t="s">
        <v>413</v>
      </c>
      <c r="B219" t="s">
        <v>14</v>
      </c>
      <c r="C219">
        <v>45672</v>
      </c>
      <c r="D219" t="s">
        <v>16</v>
      </c>
      <c r="E219" t="s">
        <v>17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19</v>
      </c>
      <c r="M219">
        <v>9.0606816292601824E-2</v>
      </c>
      <c r="N219" t="s">
        <v>37</v>
      </c>
    </row>
    <row r="220" spans="1:14" x14ac:dyDescent="0.3">
      <c r="A220" t="s">
        <v>415</v>
      </c>
      <c r="B220" t="s">
        <v>43</v>
      </c>
      <c r="C220">
        <v>45445</v>
      </c>
      <c r="D220" t="s">
        <v>52</v>
      </c>
      <c r="E220" t="s">
        <v>59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31</v>
      </c>
      <c r="M220">
        <v>8.2108498129342594E-2</v>
      </c>
      <c r="N220" t="s">
        <v>37</v>
      </c>
    </row>
    <row r="221" spans="1:14" x14ac:dyDescent="0.3">
      <c r="A221" t="s">
        <v>417</v>
      </c>
      <c r="B221" t="s">
        <v>33</v>
      </c>
      <c r="C221">
        <v>45617</v>
      </c>
      <c r="D221" t="s">
        <v>45</v>
      </c>
      <c r="E221" t="s">
        <v>88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19</v>
      </c>
      <c r="M221">
        <v>5.7332570758993957E-2</v>
      </c>
      <c r="N221" t="s">
        <v>62</v>
      </c>
    </row>
    <row r="222" spans="1:14" x14ac:dyDescent="0.3">
      <c r="A222" t="s">
        <v>419</v>
      </c>
      <c r="B222" t="s">
        <v>33</v>
      </c>
      <c r="C222">
        <v>45658</v>
      </c>
      <c r="D222" t="s">
        <v>45</v>
      </c>
      <c r="E222" t="s">
        <v>88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31</v>
      </c>
      <c r="M222">
        <v>0.29713518352730528</v>
      </c>
      <c r="N222" t="s">
        <v>62</v>
      </c>
    </row>
    <row r="223" spans="1:14" x14ac:dyDescent="0.3">
      <c r="A223" t="s">
        <v>420</v>
      </c>
      <c r="B223" t="s">
        <v>14</v>
      </c>
      <c r="C223">
        <v>45771</v>
      </c>
      <c r="D223" t="s">
        <v>74</v>
      </c>
      <c r="E223" t="s">
        <v>145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38</v>
      </c>
      <c r="M223">
        <v>0.1043848167539267</v>
      </c>
      <c r="N223" t="s">
        <v>30</v>
      </c>
    </row>
    <row r="224" spans="1:14" x14ac:dyDescent="0.3">
      <c r="A224" t="s">
        <v>420</v>
      </c>
      <c r="B224" t="s">
        <v>14</v>
      </c>
      <c r="C224">
        <v>45771</v>
      </c>
      <c r="D224" t="s">
        <v>74</v>
      </c>
      <c r="E224" t="s">
        <v>145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38</v>
      </c>
      <c r="M224">
        <v>0.1043848167539267</v>
      </c>
      <c r="N224" t="s">
        <v>607</v>
      </c>
    </row>
    <row r="225" spans="1:14" x14ac:dyDescent="0.3">
      <c r="A225" t="s">
        <v>422</v>
      </c>
      <c r="B225" t="s">
        <v>14</v>
      </c>
      <c r="C225">
        <v>45467</v>
      </c>
      <c r="D225" t="s">
        <v>22</v>
      </c>
      <c r="E225" t="s">
        <v>23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19</v>
      </c>
      <c r="M225">
        <v>0.10768685795253277</v>
      </c>
      <c r="N225" t="s">
        <v>37</v>
      </c>
    </row>
    <row r="226" spans="1:14" x14ac:dyDescent="0.3">
      <c r="A226" t="s">
        <v>423</v>
      </c>
      <c r="B226" t="s">
        <v>14</v>
      </c>
      <c r="C226">
        <v>45655</v>
      </c>
      <c r="D226" t="s">
        <v>45</v>
      </c>
      <c r="E226" t="s">
        <v>49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31</v>
      </c>
      <c r="M226">
        <v>0.14316214319138981</v>
      </c>
      <c r="N226" t="s">
        <v>30</v>
      </c>
    </row>
    <row r="227" spans="1:14" x14ac:dyDescent="0.3">
      <c r="A227" t="s">
        <v>423</v>
      </c>
      <c r="B227" t="s">
        <v>14</v>
      </c>
      <c r="C227">
        <v>45655</v>
      </c>
      <c r="D227" t="s">
        <v>45</v>
      </c>
      <c r="E227" t="s">
        <v>49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31</v>
      </c>
      <c r="M227">
        <v>0.14316214319138981</v>
      </c>
      <c r="N227" t="s">
        <v>607</v>
      </c>
    </row>
    <row r="228" spans="1:14" x14ac:dyDescent="0.3">
      <c r="A228" t="s">
        <v>425</v>
      </c>
      <c r="B228" t="s">
        <v>27</v>
      </c>
      <c r="C228">
        <v>45467</v>
      </c>
      <c r="D228" t="s">
        <v>74</v>
      </c>
      <c r="E228" t="s">
        <v>219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25</v>
      </c>
      <c r="M228">
        <v>8.6537809426924378E-2</v>
      </c>
      <c r="N228" t="s">
        <v>30</v>
      </c>
    </row>
    <row r="229" spans="1:14" x14ac:dyDescent="0.3">
      <c r="A229" t="s">
        <v>426</v>
      </c>
      <c r="B229" t="s">
        <v>14</v>
      </c>
      <c r="C229">
        <v>45735</v>
      </c>
      <c r="D229" t="s">
        <v>74</v>
      </c>
      <c r="E229" t="s">
        <v>145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38</v>
      </c>
      <c r="M229">
        <v>8.2753164556962022E-2</v>
      </c>
      <c r="N229" t="s">
        <v>62</v>
      </c>
    </row>
    <row r="230" spans="1:14" x14ac:dyDescent="0.3">
      <c r="A230" t="s">
        <v>426</v>
      </c>
      <c r="B230" t="s">
        <v>14</v>
      </c>
      <c r="C230">
        <v>45735</v>
      </c>
      <c r="D230" t="s">
        <v>74</v>
      </c>
      <c r="E230" t="s">
        <v>145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38</v>
      </c>
      <c r="M230">
        <v>8.2753164556962022E-2</v>
      </c>
      <c r="N230" t="s">
        <v>615</v>
      </c>
    </row>
    <row r="231" spans="1:14" x14ac:dyDescent="0.3">
      <c r="A231" t="s">
        <v>428</v>
      </c>
      <c r="B231" t="s">
        <v>27</v>
      </c>
      <c r="C231">
        <v>45707</v>
      </c>
      <c r="D231" t="s">
        <v>52</v>
      </c>
      <c r="E231" t="s">
        <v>53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19</v>
      </c>
      <c r="M231">
        <v>0.48518407662376534</v>
      </c>
      <c r="N231" t="s">
        <v>62</v>
      </c>
    </row>
    <row r="232" spans="1:14" x14ac:dyDescent="0.3">
      <c r="A232" t="s">
        <v>429</v>
      </c>
      <c r="B232" t="s">
        <v>14</v>
      </c>
      <c r="C232">
        <v>45491</v>
      </c>
      <c r="D232" t="s">
        <v>45</v>
      </c>
      <c r="E232" t="s">
        <v>49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38</v>
      </c>
      <c r="M232">
        <v>0.18632075471698112</v>
      </c>
      <c r="N232" t="s">
        <v>62</v>
      </c>
    </row>
    <row r="233" spans="1:14" x14ac:dyDescent="0.3">
      <c r="A233" t="s">
        <v>431</v>
      </c>
      <c r="B233" t="s">
        <v>27</v>
      </c>
      <c r="C233">
        <v>45719</v>
      </c>
      <c r="D233" t="s">
        <v>74</v>
      </c>
      <c r="E233" t="s">
        <v>219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25</v>
      </c>
      <c r="M233">
        <v>0.123309241094476</v>
      </c>
      <c r="N233" t="s">
        <v>30</v>
      </c>
    </row>
    <row r="234" spans="1:14" x14ac:dyDescent="0.3">
      <c r="A234" t="s">
        <v>432</v>
      </c>
      <c r="B234" t="s">
        <v>43</v>
      </c>
      <c r="C234">
        <v>45778</v>
      </c>
      <c r="D234" t="s">
        <v>45</v>
      </c>
      <c r="E234" t="s">
        <v>46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38</v>
      </c>
      <c r="M234">
        <v>8.21914819340199E-2</v>
      </c>
      <c r="N234" t="s">
        <v>37</v>
      </c>
    </row>
    <row r="235" spans="1:14" x14ac:dyDescent="0.3">
      <c r="A235" t="s">
        <v>434</v>
      </c>
      <c r="B235" t="s">
        <v>33</v>
      </c>
      <c r="C235">
        <v>45649</v>
      </c>
      <c r="D235" t="s">
        <v>52</v>
      </c>
      <c r="E235" t="s">
        <v>215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25</v>
      </c>
      <c r="M235">
        <v>0.37955854126679461</v>
      </c>
      <c r="N235" t="s">
        <v>62</v>
      </c>
    </row>
    <row r="236" spans="1:14" x14ac:dyDescent="0.3">
      <c r="A236" t="s">
        <v>435</v>
      </c>
      <c r="B236" t="s">
        <v>43</v>
      </c>
      <c r="C236">
        <v>45783</v>
      </c>
      <c r="D236" t="s">
        <v>52</v>
      </c>
      <c r="E236" t="s">
        <v>59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25</v>
      </c>
      <c r="M236">
        <v>7.2116777745580993E-2</v>
      </c>
      <c r="N236" t="s">
        <v>37</v>
      </c>
    </row>
    <row r="237" spans="1:14" x14ac:dyDescent="0.3">
      <c r="A237" t="s">
        <v>437</v>
      </c>
      <c r="B237" t="s">
        <v>27</v>
      </c>
      <c r="C237">
        <v>45502</v>
      </c>
      <c r="D237" t="s">
        <v>35</v>
      </c>
      <c r="E237" t="s">
        <v>154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25</v>
      </c>
      <c r="M237">
        <v>5.8316766070245198E-2</v>
      </c>
      <c r="N237" t="s">
        <v>37</v>
      </c>
    </row>
    <row r="238" spans="1:14" x14ac:dyDescent="0.3">
      <c r="A238" t="s">
        <v>438</v>
      </c>
      <c r="B238" t="s">
        <v>43</v>
      </c>
      <c r="C238">
        <v>45629</v>
      </c>
      <c r="D238" t="s">
        <v>52</v>
      </c>
      <c r="E238" t="s">
        <v>59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25</v>
      </c>
      <c r="M238">
        <v>6.2603126356925748E-2</v>
      </c>
      <c r="N238" t="s">
        <v>30</v>
      </c>
    </row>
    <row r="239" spans="1:14" x14ac:dyDescent="0.3">
      <c r="A239" t="s">
        <v>439</v>
      </c>
      <c r="B239" t="s">
        <v>43</v>
      </c>
      <c r="C239">
        <v>45454</v>
      </c>
      <c r="D239" t="s">
        <v>45</v>
      </c>
      <c r="E239" t="s">
        <v>46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38</v>
      </c>
      <c r="M239">
        <v>0.18806848582129482</v>
      </c>
      <c r="N239" t="s">
        <v>30</v>
      </c>
    </row>
    <row r="240" spans="1:14" x14ac:dyDescent="0.3">
      <c r="A240" t="s">
        <v>440</v>
      </c>
      <c r="B240" t="s">
        <v>14</v>
      </c>
      <c r="C240">
        <v>45685</v>
      </c>
      <c r="D240" t="s">
        <v>16</v>
      </c>
      <c r="E240" t="s">
        <v>17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38</v>
      </c>
      <c r="M240">
        <v>0.25701459034792368</v>
      </c>
      <c r="N240" t="s">
        <v>30</v>
      </c>
    </row>
    <row r="241" spans="1:14" x14ac:dyDescent="0.3">
      <c r="A241" t="s">
        <v>441</v>
      </c>
      <c r="B241" t="s">
        <v>33</v>
      </c>
      <c r="C241">
        <v>45445</v>
      </c>
      <c r="D241" t="s">
        <v>35</v>
      </c>
      <c r="E241" t="s">
        <v>36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19</v>
      </c>
      <c r="M241">
        <v>1.8129251700680271</v>
      </c>
      <c r="N241" t="s">
        <v>37</v>
      </c>
    </row>
    <row r="242" spans="1:14" x14ac:dyDescent="0.3">
      <c r="A242" t="s">
        <v>442</v>
      </c>
      <c r="B242" t="s">
        <v>43</v>
      </c>
      <c r="C242">
        <v>45739</v>
      </c>
      <c r="D242" t="s">
        <v>74</v>
      </c>
      <c r="E242" t="s">
        <v>75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25</v>
      </c>
      <c r="M242">
        <v>0.15989220750056141</v>
      </c>
      <c r="N242" t="s">
        <v>30</v>
      </c>
    </row>
    <row r="243" spans="1:14" x14ac:dyDescent="0.3">
      <c r="A243" t="s">
        <v>443</v>
      </c>
      <c r="B243" t="s">
        <v>43</v>
      </c>
      <c r="C243">
        <v>45573</v>
      </c>
      <c r="D243" t="s">
        <v>16</v>
      </c>
      <c r="E243" t="s">
        <v>65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19</v>
      </c>
      <c r="M243">
        <v>0.11143487163332809</v>
      </c>
      <c r="N243" t="s">
        <v>62</v>
      </c>
    </row>
    <row r="244" spans="1:14" x14ac:dyDescent="0.3">
      <c r="A244" t="s">
        <v>443</v>
      </c>
      <c r="B244" t="s">
        <v>43</v>
      </c>
      <c r="C244">
        <v>45573</v>
      </c>
      <c r="D244" t="s">
        <v>16</v>
      </c>
      <c r="E244" t="s">
        <v>65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19</v>
      </c>
      <c r="M244">
        <v>0.11143487163332809</v>
      </c>
      <c r="N244" t="s">
        <v>607</v>
      </c>
    </row>
    <row r="245" spans="1:14" x14ac:dyDescent="0.3">
      <c r="A245" t="s">
        <v>446</v>
      </c>
      <c r="B245" t="s">
        <v>14</v>
      </c>
      <c r="C245">
        <v>45608</v>
      </c>
      <c r="D245" t="s">
        <v>52</v>
      </c>
      <c r="E245" t="s">
        <v>132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25</v>
      </c>
      <c r="M245">
        <v>6.2129685107516146E-2</v>
      </c>
      <c r="N245" t="s">
        <v>30</v>
      </c>
    </row>
    <row r="246" spans="1:14" x14ac:dyDescent="0.3">
      <c r="A246" t="s">
        <v>447</v>
      </c>
      <c r="B246" t="s">
        <v>43</v>
      </c>
      <c r="C246">
        <v>45790</v>
      </c>
      <c r="D246" t="s">
        <v>52</v>
      </c>
      <c r="E246" t="s">
        <v>59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31</v>
      </c>
      <c r="M246">
        <v>0.32083531086853345</v>
      </c>
      <c r="N246" t="s">
        <v>30</v>
      </c>
    </row>
    <row r="247" spans="1:14" x14ac:dyDescent="0.3">
      <c r="A247" t="s">
        <v>449</v>
      </c>
      <c r="B247" t="s">
        <v>14</v>
      </c>
      <c r="C247">
        <v>45463</v>
      </c>
      <c r="D247" t="s">
        <v>45</v>
      </c>
      <c r="E247" t="s">
        <v>49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19</v>
      </c>
      <c r="M247">
        <v>5.6653298485940883E-2</v>
      </c>
      <c r="N247" t="s">
        <v>37</v>
      </c>
    </row>
    <row r="248" spans="1:14" x14ac:dyDescent="0.3">
      <c r="A248" t="s">
        <v>450</v>
      </c>
      <c r="B248" t="s">
        <v>33</v>
      </c>
      <c r="C248">
        <v>45511</v>
      </c>
      <c r="D248" t="s">
        <v>45</v>
      </c>
      <c r="E248" t="s">
        <v>88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25</v>
      </c>
      <c r="M248">
        <v>0.25537047673750718</v>
      </c>
      <c r="N248" t="s">
        <v>30</v>
      </c>
    </row>
    <row r="249" spans="1:14" x14ac:dyDescent="0.3">
      <c r="A249" t="s">
        <v>452</v>
      </c>
      <c r="B249" t="s">
        <v>33</v>
      </c>
      <c r="C249">
        <v>45455</v>
      </c>
      <c r="D249" t="s">
        <v>22</v>
      </c>
      <c r="E249" t="s">
        <v>113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31</v>
      </c>
      <c r="M249">
        <v>0.11232349165596919</v>
      </c>
      <c r="N249" t="s">
        <v>62</v>
      </c>
    </row>
    <row r="250" spans="1:14" x14ac:dyDescent="0.3">
      <c r="A250" t="s">
        <v>454</v>
      </c>
      <c r="B250" t="s">
        <v>33</v>
      </c>
      <c r="C250">
        <v>45474</v>
      </c>
      <c r="D250" t="s">
        <v>35</v>
      </c>
      <c r="E250" t="s">
        <v>36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19</v>
      </c>
      <c r="M250">
        <v>8.1808097615085965E-2</v>
      </c>
      <c r="N250" t="s">
        <v>37</v>
      </c>
    </row>
    <row r="251" spans="1:14" x14ac:dyDescent="0.3">
      <c r="A251" t="s">
        <v>456</v>
      </c>
      <c r="B251" t="s">
        <v>33</v>
      </c>
      <c r="C251">
        <v>45476</v>
      </c>
      <c r="D251" t="s">
        <v>45</v>
      </c>
      <c r="E251" t="s">
        <v>88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25</v>
      </c>
      <c r="M251">
        <v>0.13387048227640017</v>
      </c>
      <c r="N251" t="s">
        <v>30</v>
      </c>
    </row>
    <row r="252" spans="1:14" x14ac:dyDescent="0.3">
      <c r="A252" t="s">
        <v>457</v>
      </c>
      <c r="B252" t="s">
        <v>43</v>
      </c>
      <c r="C252">
        <v>45488</v>
      </c>
      <c r="D252" t="s">
        <v>16</v>
      </c>
      <c r="E252" t="s">
        <v>65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31</v>
      </c>
      <c r="M252">
        <v>7.7512577512577507E-2</v>
      </c>
      <c r="N252" t="s">
        <v>37</v>
      </c>
    </row>
    <row r="253" spans="1:14" x14ac:dyDescent="0.3">
      <c r="A253" t="s">
        <v>458</v>
      </c>
      <c r="B253" t="s">
        <v>33</v>
      </c>
      <c r="C253">
        <v>45778</v>
      </c>
      <c r="D253" t="s">
        <v>22</v>
      </c>
      <c r="E253" t="s">
        <v>113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19</v>
      </c>
      <c r="M253">
        <v>8.5734265734265735E-2</v>
      </c>
      <c r="N253" t="s">
        <v>62</v>
      </c>
    </row>
    <row r="254" spans="1:14" x14ac:dyDescent="0.3">
      <c r="A254" t="s">
        <v>459</v>
      </c>
      <c r="B254" t="s">
        <v>14</v>
      </c>
      <c r="C254">
        <v>45776</v>
      </c>
      <c r="D254" t="s">
        <v>35</v>
      </c>
      <c r="E254" t="s">
        <v>149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38</v>
      </c>
      <c r="M254">
        <v>0.7168674698795181</v>
      </c>
      <c r="N254" t="s">
        <v>37</v>
      </c>
    </row>
    <row r="255" spans="1:14" x14ac:dyDescent="0.3">
      <c r="A255" t="s">
        <v>461</v>
      </c>
      <c r="B255" t="s">
        <v>43</v>
      </c>
      <c r="C255">
        <v>45724</v>
      </c>
      <c r="D255" t="s">
        <v>52</v>
      </c>
      <c r="E255" t="s">
        <v>59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38</v>
      </c>
      <c r="M255">
        <v>7.2969143576826198E-2</v>
      </c>
      <c r="N255" t="s">
        <v>62</v>
      </c>
    </row>
    <row r="256" spans="1:14" x14ac:dyDescent="0.3">
      <c r="A256" t="s">
        <v>462</v>
      </c>
      <c r="B256" t="s">
        <v>43</v>
      </c>
      <c r="C256">
        <v>45444</v>
      </c>
      <c r="D256" t="s">
        <v>22</v>
      </c>
      <c r="E256" t="s">
        <v>56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25</v>
      </c>
      <c r="M256">
        <v>7.5968222442899705E-2</v>
      </c>
      <c r="N256" t="s">
        <v>30</v>
      </c>
    </row>
    <row r="257" spans="1:14" x14ac:dyDescent="0.3">
      <c r="A257" t="s">
        <v>464</v>
      </c>
      <c r="B257" t="s">
        <v>43</v>
      </c>
      <c r="C257">
        <v>45648</v>
      </c>
      <c r="D257" t="s">
        <v>52</v>
      </c>
      <c r="E257" t="s">
        <v>59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31</v>
      </c>
      <c r="M257">
        <v>0.1283706906360223</v>
      </c>
      <c r="N257" t="s">
        <v>30</v>
      </c>
    </row>
    <row r="258" spans="1:14" x14ac:dyDescent="0.3">
      <c r="A258" t="s">
        <v>465</v>
      </c>
      <c r="B258" t="s">
        <v>43</v>
      </c>
      <c r="C258">
        <v>45523</v>
      </c>
      <c r="D258" t="s">
        <v>22</v>
      </c>
      <c r="E258" t="s">
        <v>56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25</v>
      </c>
      <c r="M258">
        <v>0.12943516308671441</v>
      </c>
      <c r="N258" t="s">
        <v>62</v>
      </c>
    </row>
    <row r="259" spans="1:14" x14ac:dyDescent="0.3">
      <c r="A259" t="s">
        <v>465</v>
      </c>
      <c r="B259" t="s">
        <v>43</v>
      </c>
      <c r="C259">
        <v>45523</v>
      </c>
      <c r="D259" t="s">
        <v>22</v>
      </c>
      <c r="E259" t="s">
        <v>56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25</v>
      </c>
      <c r="M259">
        <v>0.12943516308671441</v>
      </c>
      <c r="N259" t="s">
        <v>615</v>
      </c>
    </row>
    <row r="260" spans="1:14" x14ac:dyDescent="0.3">
      <c r="A260" t="s">
        <v>465</v>
      </c>
      <c r="B260" t="s">
        <v>43</v>
      </c>
      <c r="C260">
        <v>45523</v>
      </c>
      <c r="D260" t="s">
        <v>22</v>
      </c>
      <c r="E260" t="s">
        <v>56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25</v>
      </c>
      <c r="M260">
        <v>0.12943516308671441</v>
      </c>
      <c r="N260" t="s">
        <v>37</v>
      </c>
    </row>
    <row r="261" spans="1:14" x14ac:dyDescent="0.3">
      <c r="A261" t="s">
        <v>467</v>
      </c>
      <c r="B261" t="s">
        <v>33</v>
      </c>
      <c r="C261">
        <v>45587</v>
      </c>
      <c r="D261" t="s">
        <v>35</v>
      </c>
      <c r="E261" t="s">
        <v>36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19</v>
      </c>
      <c r="M261">
        <v>6.7234398994834563E-2</v>
      </c>
      <c r="N261" t="s">
        <v>62</v>
      </c>
    </row>
    <row r="262" spans="1:14" x14ac:dyDescent="0.3">
      <c r="A262" t="s">
        <v>468</v>
      </c>
      <c r="B262" t="s">
        <v>14</v>
      </c>
      <c r="C262">
        <v>45489</v>
      </c>
      <c r="D262" t="s">
        <v>22</v>
      </c>
      <c r="E262" t="s">
        <v>23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38</v>
      </c>
      <c r="M262">
        <v>7.2579365079365077E-2</v>
      </c>
      <c r="N262" t="s">
        <v>62</v>
      </c>
    </row>
    <row r="263" spans="1:14" x14ac:dyDescent="0.3">
      <c r="A263" t="s">
        <v>470</v>
      </c>
      <c r="B263" t="s">
        <v>27</v>
      </c>
      <c r="C263">
        <v>45712</v>
      </c>
      <c r="D263" t="s">
        <v>22</v>
      </c>
      <c r="E263" t="s">
        <v>104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38</v>
      </c>
      <c r="M263">
        <v>0.25062082139446035</v>
      </c>
      <c r="N263" t="s">
        <v>62</v>
      </c>
    </row>
    <row r="264" spans="1:14" x14ac:dyDescent="0.3">
      <c r="A264" t="s">
        <v>471</v>
      </c>
      <c r="B264" t="s">
        <v>14</v>
      </c>
      <c r="C264">
        <v>45530</v>
      </c>
      <c r="D264" t="s">
        <v>45</v>
      </c>
      <c r="E264" t="s">
        <v>49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31</v>
      </c>
      <c r="M264">
        <v>8.6293505561535699E-2</v>
      </c>
      <c r="N264" t="s">
        <v>37</v>
      </c>
    </row>
    <row r="265" spans="1:14" x14ac:dyDescent="0.3">
      <c r="A265" t="s">
        <v>471</v>
      </c>
      <c r="B265" t="s">
        <v>14</v>
      </c>
      <c r="C265">
        <v>45530</v>
      </c>
      <c r="D265" t="s">
        <v>45</v>
      </c>
      <c r="E265" t="s">
        <v>49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31</v>
      </c>
      <c r="M265">
        <v>8.6293505561535699E-2</v>
      </c>
      <c r="N265" t="s">
        <v>30</v>
      </c>
    </row>
    <row r="266" spans="1:14" x14ac:dyDescent="0.3">
      <c r="A266" t="s">
        <v>471</v>
      </c>
      <c r="B266" t="s">
        <v>14</v>
      </c>
      <c r="C266">
        <v>45530</v>
      </c>
      <c r="D266" t="s">
        <v>45</v>
      </c>
      <c r="E266" t="s">
        <v>49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31</v>
      </c>
      <c r="M266">
        <v>8.6293505561535699E-2</v>
      </c>
      <c r="N266" t="s">
        <v>615</v>
      </c>
    </row>
    <row r="267" spans="1:14" x14ac:dyDescent="0.3">
      <c r="A267" t="s">
        <v>472</v>
      </c>
      <c r="B267" t="s">
        <v>43</v>
      </c>
      <c r="C267">
        <v>45675</v>
      </c>
      <c r="D267" t="s">
        <v>35</v>
      </c>
      <c r="E267" t="s">
        <v>71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38</v>
      </c>
      <c r="M267">
        <v>0.17743908486792079</v>
      </c>
      <c r="N267" t="s">
        <v>30</v>
      </c>
    </row>
    <row r="268" spans="1:14" x14ac:dyDescent="0.3">
      <c r="A268" t="s">
        <v>474</v>
      </c>
      <c r="B268" t="s">
        <v>43</v>
      </c>
      <c r="C268">
        <v>45480</v>
      </c>
      <c r="D268" t="s">
        <v>16</v>
      </c>
      <c r="E268" t="s">
        <v>65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31</v>
      </c>
      <c r="M268">
        <v>0.18519683938186141</v>
      </c>
      <c r="N268" t="s">
        <v>37</v>
      </c>
    </row>
    <row r="269" spans="1:14" x14ac:dyDescent="0.3">
      <c r="A269" t="s">
        <v>475</v>
      </c>
      <c r="B269" t="s">
        <v>14</v>
      </c>
      <c r="C269">
        <v>45722</v>
      </c>
      <c r="D269" t="s">
        <v>52</v>
      </c>
      <c r="E269" t="s">
        <v>132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38</v>
      </c>
      <c r="M269">
        <v>9.7001272669424113E-2</v>
      </c>
      <c r="N269" t="s">
        <v>62</v>
      </c>
    </row>
    <row r="270" spans="1:14" x14ac:dyDescent="0.3">
      <c r="A270" t="s">
        <v>477</v>
      </c>
      <c r="B270" t="s">
        <v>27</v>
      </c>
      <c r="C270">
        <v>45590</v>
      </c>
      <c r="D270" t="s">
        <v>74</v>
      </c>
      <c r="E270" t="s">
        <v>219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31</v>
      </c>
      <c r="M270">
        <v>0.25869984981763572</v>
      </c>
      <c r="N270" t="s">
        <v>62</v>
      </c>
    </row>
    <row r="271" spans="1:14" x14ac:dyDescent="0.3">
      <c r="A271" t="s">
        <v>479</v>
      </c>
      <c r="B271" t="s">
        <v>43</v>
      </c>
      <c r="C271">
        <v>45669</v>
      </c>
      <c r="D271" t="s">
        <v>16</v>
      </c>
      <c r="E271" t="s">
        <v>65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19</v>
      </c>
      <c r="M271">
        <v>0.12232704402515723</v>
      </c>
      <c r="N271" t="s">
        <v>37</v>
      </c>
    </row>
    <row r="272" spans="1:14" x14ac:dyDescent="0.3">
      <c r="A272" t="s">
        <v>481</v>
      </c>
      <c r="B272" t="s">
        <v>43</v>
      </c>
      <c r="C272">
        <v>45576</v>
      </c>
      <c r="D272" t="s">
        <v>52</v>
      </c>
      <c r="E272" t="s">
        <v>59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25</v>
      </c>
      <c r="M272">
        <v>0.23656250000000001</v>
      </c>
      <c r="N272" t="s">
        <v>62</v>
      </c>
    </row>
    <row r="273" spans="1:14" x14ac:dyDescent="0.3">
      <c r="A273" t="s">
        <v>483</v>
      </c>
      <c r="B273" t="s">
        <v>43</v>
      </c>
      <c r="C273">
        <v>45531</v>
      </c>
      <c r="D273" t="s">
        <v>16</v>
      </c>
      <c r="E273" t="s">
        <v>65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19</v>
      </c>
      <c r="M273">
        <v>0.11879910213243547</v>
      </c>
      <c r="N273" t="s">
        <v>62</v>
      </c>
    </row>
    <row r="274" spans="1:14" x14ac:dyDescent="0.3">
      <c r="A274" t="s">
        <v>483</v>
      </c>
      <c r="B274" t="s">
        <v>43</v>
      </c>
      <c r="C274">
        <v>45531</v>
      </c>
      <c r="D274" t="s">
        <v>16</v>
      </c>
      <c r="E274" t="s">
        <v>65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19</v>
      </c>
      <c r="M274">
        <v>0.11879910213243547</v>
      </c>
      <c r="N274" t="s">
        <v>37</v>
      </c>
    </row>
    <row r="275" spans="1:14" x14ac:dyDescent="0.3">
      <c r="A275" t="s">
        <v>483</v>
      </c>
      <c r="B275" t="s">
        <v>43</v>
      </c>
      <c r="C275">
        <v>45531</v>
      </c>
      <c r="D275" t="s">
        <v>16</v>
      </c>
      <c r="E275" t="s">
        <v>65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19</v>
      </c>
      <c r="M275">
        <v>0.11879910213243547</v>
      </c>
      <c r="N275" t="s">
        <v>616</v>
      </c>
    </row>
    <row r="276" spans="1:14" x14ac:dyDescent="0.3">
      <c r="A276" t="s">
        <v>486</v>
      </c>
      <c r="B276" t="s">
        <v>43</v>
      </c>
      <c r="C276">
        <v>45690</v>
      </c>
      <c r="D276" t="s">
        <v>35</v>
      </c>
      <c r="E276" t="s">
        <v>71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19</v>
      </c>
      <c r="M276">
        <v>0.26297968397291194</v>
      </c>
      <c r="N276" t="s">
        <v>37</v>
      </c>
    </row>
    <row r="277" spans="1:14" x14ac:dyDescent="0.3">
      <c r="A277" t="s">
        <v>487</v>
      </c>
      <c r="B277" t="s">
        <v>14</v>
      </c>
      <c r="C277">
        <v>45491</v>
      </c>
      <c r="D277" t="s">
        <v>52</v>
      </c>
      <c r="E277" t="s">
        <v>132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25</v>
      </c>
      <c r="M277">
        <v>8.7733440816874911E-2</v>
      </c>
      <c r="N277" t="s">
        <v>37</v>
      </c>
    </row>
    <row r="278" spans="1:14" x14ac:dyDescent="0.3">
      <c r="A278" t="s">
        <v>488</v>
      </c>
      <c r="B278" t="s">
        <v>43</v>
      </c>
      <c r="C278">
        <v>45465</v>
      </c>
      <c r="D278" t="s">
        <v>16</v>
      </c>
      <c r="E278" t="s">
        <v>65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38</v>
      </c>
      <c r="M278">
        <v>7.3170731707317069E-2</v>
      </c>
      <c r="N278" t="s">
        <v>62</v>
      </c>
    </row>
    <row r="279" spans="1:14" x14ac:dyDescent="0.3">
      <c r="A279" t="s">
        <v>489</v>
      </c>
      <c r="B279" t="s">
        <v>33</v>
      </c>
      <c r="C279">
        <v>45743</v>
      </c>
      <c r="D279" t="s">
        <v>45</v>
      </c>
      <c r="E279" t="s">
        <v>88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38</v>
      </c>
      <c r="M279">
        <v>0.11619462599854757</v>
      </c>
      <c r="N279" t="s">
        <v>62</v>
      </c>
    </row>
    <row r="280" spans="1:14" x14ac:dyDescent="0.3">
      <c r="A280" t="s">
        <v>491</v>
      </c>
      <c r="B280" t="s">
        <v>43</v>
      </c>
      <c r="C280">
        <v>45775</v>
      </c>
      <c r="D280" t="s">
        <v>45</v>
      </c>
      <c r="E280" t="s">
        <v>46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31</v>
      </c>
      <c r="M280">
        <v>0.15761129727142173</v>
      </c>
      <c r="N280" t="s">
        <v>62</v>
      </c>
    </row>
    <row r="281" spans="1:14" x14ac:dyDescent="0.3">
      <c r="A281" t="s">
        <v>492</v>
      </c>
      <c r="B281" t="s">
        <v>14</v>
      </c>
      <c r="C281">
        <v>45507</v>
      </c>
      <c r="D281" t="s">
        <v>16</v>
      </c>
      <c r="E281" t="s">
        <v>17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19</v>
      </c>
      <c r="M281">
        <v>8.6897539284772202E-2</v>
      </c>
      <c r="N281" t="s">
        <v>37</v>
      </c>
    </row>
    <row r="282" spans="1:14" x14ac:dyDescent="0.3">
      <c r="A282" t="s">
        <v>494</v>
      </c>
      <c r="B282" t="s">
        <v>14</v>
      </c>
      <c r="C282">
        <v>45671</v>
      </c>
      <c r="D282" t="s">
        <v>52</v>
      </c>
      <c r="E282" t="s">
        <v>132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25</v>
      </c>
      <c r="M282">
        <v>0.13331166419019316</v>
      </c>
      <c r="N282" t="s">
        <v>62</v>
      </c>
    </row>
    <row r="283" spans="1:14" x14ac:dyDescent="0.3">
      <c r="A283" t="s">
        <v>496</v>
      </c>
      <c r="B283" t="s">
        <v>43</v>
      </c>
      <c r="C283">
        <v>45750</v>
      </c>
      <c r="D283" t="s">
        <v>35</v>
      </c>
      <c r="E283" t="s">
        <v>71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38</v>
      </c>
      <c r="M283">
        <v>0.11996283514733209</v>
      </c>
      <c r="N283" t="s">
        <v>62</v>
      </c>
    </row>
    <row r="284" spans="1:14" x14ac:dyDescent="0.3">
      <c r="A284" t="s">
        <v>497</v>
      </c>
      <c r="B284" t="s">
        <v>27</v>
      </c>
      <c r="C284">
        <v>45553</v>
      </c>
      <c r="D284" t="s">
        <v>45</v>
      </c>
      <c r="E284" t="s">
        <v>68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25</v>
      </c>
      <c r="M284">
        <v>5.7936488444630008E-2</v>
      </c>
      <c r="N284" t="s">
        <v>37</v>
      </c>
    </row>
    <row r="285" spans="1:14" x14ac:dyDescent="0.3">
      <c r="A285" t="s">
        <v>498</v>
      </c>
      <c r="B285" t="s">
        <v>43</v>
      </c>
      <c r="C285">
        <v>45753</v>
      </c>
      <c r="D285" t="s">
        <v>52</v>
      </c>
      <c r="E285" t="s">
        <v>59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25</v>
      </c>
      <c r="M285">
        <v>7.9915048543689318E-2</v>
      </c>
      <c r="N285" t="s">
        <v>37</v>
      </c>
    </row>
    <row r="286" spans="1:14" x14ac:dyDescent="0.3">
      <c r="A286" t="s">
        <v>498</v>
      </c>
      <c r="B286" t="s">
        <v>43</v>
      </c>
      <c r="C286">
        <v>45753</v>
      </c>
      <c r="D286" t="s">
        <v>52</v>
      </c>
      <c r="E286" t="s">
        <v>59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25</v>
      </c>
      <c r="M286">
        <v>7.9915048543689318E-2</v>
      </c>
      <c r="N286" t="s">
        <v>37</v>
      </c>
    </row>
    <row r="287" spans="1:14" x14ac:dyDescent="0.3">
      <c r="A287" t="s">
        <v>498</v>
      </c>
      <c r="B287" t="s">
        <v>43</v>
      </c>
      <c r="C287">
        <v>45753</v>
      </c>
      <c r="D287" t="s">
        <v>52</v>
      </c>
      <c r="E287" t="s">
        <v>59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25</v>
      </c>
      <c r="M287">
        <v>7.9915048543689318E-2</v>
      </c>
      <c r="N287" t="s">
        <v>616</v>
      </c>
    </row>
    <row r="288" spans="1:14" x14ac:dyDescent="0.3">
      <c r="A288" t="s">
        <v>500</v>
      </c>
      <c r="B288" t="s">
        <v>33</v>
      </c>
      <c r="C288">
        <v>45509</v>
      </c>
      <c r="D288" t="s">
        <v>35</v>
      </c>
      <c r="E288" t="s">
        <v>36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25</v>
      </c>
      <c r="M288">
        <v>0.2023049153013052</v>
      </c>
      <c r="N288" t="s">
        <v>37</v>
      </c>
    </row>
    <row r="289" spans="1:14" x14ac:dyDescent="0.3">
      <c r="A289" t="s">
        <v>502</v>
      </c>
      <c r="B289" t="s">
        <v>43</v>
      </c>
      <c r="C289">
        <v>45698</v>
      </c>
      <c r="D289" t="s">
        <v>22</v>
      </c>
      <c r="E289" t="s">
        <v>56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19</v>
      </c>
      <c r="M289">
        <v>0.25771055753262156</v>
      </c>
      <c r="N289" t="s">
        <v>30</v>
      </c>
    </row>
    <row r="290" spans="1:14" x14ac:dyDescent="0.3">
      <c r="A290" t="s">
        <v>503</v>
      </c>
      <c r="B290" t="s">
        <v>33</v>
      </c>
      <c r="C290">
        <v>45700</v>
      </c>
      <c r="D290" t="s">
        <v>35</v>
      </c>
      <c r="E290" t="s">
        <v>36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31</v>
      </c>
      <c r="M290">
        <v>8.7752275425405618E-2</v>
      </c>
      <c r="N290" t="s">
        <v>30</v>
      </c>
    </row>
    <row r="291" spans="1:14" x14ac:dyDescent="0.3">
      <c r="A291" t="s">
        <v>503</v>
      </c>
      <c r="B291" t="s">
        <v>33</v>
      </c>
      <c r="C291">
        <v>45700</v>
      </c>
      <c r="D291" t="s">
        <v>35</v>
      </c>
      <c r="E291" t="s">
        <v>36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31</v>
      </c>
      <c r="M291">
        <v>8.7752275425405618E-2</v>
      </c>
      <c r="N291" t="s">
        <v>37</v>
      </c>
    </row>
    <row r="292" spans="1:14" x14ac:dyDescent="0.3">
      <c r="A292" t="s">
        <v>503</v>
      </c>
      <c r="B292" t="s">
        <v>33</v>
      </c>
      <c r="C292">
        <v>45700</v>
      </c>
      <c r="D292" t="s">
        <v>35</v>
      </c>
      <c r="E292" t="s">
        <v>36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31</v>
      </c>
      <c r="M292">
        <v>8.7752275425405618E-2</v>
      </c>
      <c r="N292" t="s">
        <v>616</v>
      </c>
    </row>
    <row r="293" spans="1:14" x14ac:dyDescent="0.3">
      <c r="A293" t="s">
        <v>506</v>
      </c>
      <c r="B293" t="s">
        <v>33</v>
      </c>
      <c r="C293">
        <v>45592</v>
      </c>
      <c r="D293" t="s">
        <v>52</v>
      </c>
      <c r="E293" t="s">
        <v>215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19</v>
      </c>
      <c r="M293">
        <v>8.2835359571399134E-2</v>
      </c>
      <c r="N293" t="s">
        <v>37</v>
      </c>
    </row>
    <row r="294" spans="1:14" x14ac:dyDescent="0.3">
      <c r="A294" t="s">
        <v>508</v>
      </c>
      <c r="B294" t="s">
        <v>27</v>
      </c>
      <c r="C294">
        <v>45675</v>
      </c>
      <c r="D294" t="s">
        <v>52</v>
      </c>
      <c r="E294" t="s">
        <v>53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25</v>
      </c>
      <c r="M294">
        <v>0.15339966832504145</v>
      </c>
      <c r="N294" t="s">
        <v>30</v>
      </c>
    </row>
    <row r="295" spans="1:14" x14ac:dyDescent="0.3">
      <c r="A295" t="s">
        <v>509</v>
      </c>
      <c r="B295" t="s">
        <v>33</v>
      </c>
      <c r="C295">
        <v>45524</v>
      </c>
      <c r="D295" t="s">
        <v>16</v>
      </c>
      <c r="E295" t="s">
        <v>82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25</v>
      </c>
      <c r="M295">
        <v>0.26876680752977333</v>
      </c>
      <c r="N295" t="s">
        <v>62</v>
      </c>
    </row>
    <row r="296" spans="1:14" x14ac:dyDescent="0.3">
      <c r="A296" t="s">
        <v>511</v>
      </c>
      <c r="B296" t="s">
        <v>14</v>
      </c>
      <c r="C296">
        <v>45687</v>
      </c>
      <c r="D296" t="s">
        <v>52</v>
      </c>
      <c r="E296" t="s">
        <v>132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25</v>
      </c>
      <c r="M296">
        <v>0.53389830508474578</v>
      </c>
      <c r="N296" t="s">
        <v>30</v>
      </c>
    </row>
    <row r="297" spans="1:14" x14ac:dyDescent="0.3">
      <c r="A297" t="s">
        <v>513</v>
      </c>
      <c r="B297" t="s">
        <v>14</v>
      </c>
      <c r="C297">
        <v>45708</v>
      </c>
      <c r="D297" t="s">
        <v>45</v>
      </c>
      <c r="E297" t="s">
        <v>49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38</v>
      </c>
      <c r="M297">
        <v>0.25279701651571657</v>
      </c>
      <c r="N297" t="s">
        <v>37</v>
      </c>
    </row>
    <row r="298" spans="1:14" x14ac:dyDescent="0.3">
      <c r="A298" t="s">
        <v>515</v>
      </c>
      <c r="B298" t="s">
        <v>43</v>
      </c>
      <c r="C298">
        <v>45621</v>
      </c>
      <c r="D298" t="s">
        <v>35</v>
      </c>
      <c r="E298" t="s">
        <v>71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31</v>
      </c>
      <c r="M298">
        <v>0.10086880280567512</v>
      </c>
      <c r="N298" t="s">
        <v>30</v>
      </c>
    </row>
    <row r="299" spans="1:14" x14ac:dyDescent="0.3">
      <c r="A299" t="s">
        <v>516</v>
      </c>
      <c r="B299" t="s">
        <v>14</v>
      </c>
      <c r="C299">
        <v>45569</v>
      </c>
      <c r="D299" t="s">
        <v>16</v>
      </c>
      <c r="E299" t="s">
        <v>17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38</v>
      </c>
      <c r="M299">
        <v>6.3947934081681396E-2</v>
      </c>
      <c r="N299" t="s">
        <v>62</v>
      </c>
    </row>
    <row r="300" spans="1:14" x14ac:dyDescent="0.3">
      <c r="A300" t="s">
        <v>517</v>
      </c>
      <c r="B300" t="s">
        <v>33</v>
      </c>
      <c r="C300">
        <v>45760</v>
      </c>
      <c r="D300" t="s">
        <v>16</v>
      </c>
      <c r="E300" t="s">
        <v>82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19</v>
      </c>
      <c r="M300">
        <v>8.4062694239588759E-2</v>
      </c>
      <c r="N300" t="s">
        <v>37</v>
      </c>
    </row>
    <row r="301" spans="1:14" x14ac:dyDescent="0.3">
      <c r="A301" t="s">
        <v>519</v>
      </c>
      <c r="B301" t="s">
        <v>33</v>
      </c>
      <c r="C301">
        <v>45601</v>
      </c>
      <c r="D301" t="s">
        <v>74</v>
      </c>
      <c r="E301" t="s">
        <v>85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25</v>
      </c>
      <c r="M301">
        <v>0.22157421618066214</v>
      </c>
      <c r="N301" t="s">
        <v>30</v>
      </c>
    </row>
    <row r="302" spans="1:14" x14ac:dyDescent="0.3">
      <c r="A302" t="s">
        <v>521</v>
      </c>
      <c r="B302" t="s">
        <v>27</v>
      </c>
      <c r="C302">
        <v>45672</v>
      </c>
      <c r="D302" t="s">
        <v>16</v>
      </c>
      <c r="E302" t="s">
        <v>29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31</v>
      </c>
      <c r="M302">
        <v>6.7103868574456813E-2</v>
      </c>
      <c r="N302" t="s">
        <v>30</v>
      </c>
    </row>
    <row r="303" spans="1:14" x14ac:dyDescent="0.3">
      <c r="A303" t="s">
        <v>522</v>
      </c>
      <c r="B303" t="s">
        <v>33</v>
      </c>
      <c r="C303">
        <v>45582</v>
      </c>
      <c r="D303" t="s">
        <v>74</v>
      </c>
      <c r="E303" t="s">
        <v>85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25</v>
      </c>
      <c r="M303">
        <v>0.20675990675990677</v>
      </c>
      <c r="N303" t="s">
        <v>37</v>
      </c>
    </row>
    <row r="304" spans="1:14" x14ac:dyDescent="0.3">
      <c r="A304" t="s">
        <v>524</v>
      </c>
      <c r="B304" t="s">
        <v>33</v>
      </c>
      <c r="C304">
        <v>45743</v>
      </c>
      <c r="D304" t="s">
        <v>22</v>
      </c>
      <c r="E304" t="s">
        <v>113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31</v>
      </c>
      <c r="M304">
        <v>0.14220299534507186</v>
      </c>
      <c r="N304" t="s">
        <v>30</v>
      </c>
    </row>
    <row r="305" spans="1:14" x14ac:dyDescent="0.3">
      <c r="A305" t="s">
        <v>525</v>
      </c>
      <c r="B305" t="s">
        <v>27</v>
      </c>
      <c r="C305">
        <v>45577</v>
      </c>
      <c r="D305" t="s">
        <v>35</v>
      </c>
      <c r="E305" t="s">
        <v>154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38</v>
      </c>
      <c r="M305">
        <v>9.7700431949264685E-2</v>
      </c>
      <c r="N305" t="s">
        <v>37</v>
      </c>
    </row>
    <row r="306" spans="1:14" x14ac:dyDescent="0.3">
      <c r="A306" t="s">
        <v>527</v>
      </c>
      <c r="B306" t="s">
        <v>14</v>
      </c>
      <c r="C306">
        <v>45658</v>
      </c>
      <c r="D306" t="s">
        <v>45</v>
      </c>
      <c r="E306" t="s">
        <v>49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38</v>
      </c>
      <c r="M306">
        <v>7.8849599245638849E-2</v>
      </c>
      <c r="N306" t="s">
        <v>30</v>
      </c>
    </row>
    <row r="307" spans="1:14" x14ac:dyDescent="0.3">
      <c r="A307" t="s">
        <v>528</v>
      </c>
      <c r="B307" t="s">
        <v>43</v>
      </c>
      <c r="C307">
        <v>45509</v>
      </c>
      <c r="D307" t="s">
        <v>16</v>
      </c>
      <c r="E307" t="s">
        <v>65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31</v>
      </c>
      <c r="M307">
        <v>0.16754738655944859</v>
      </c>
      <c r="N307" t="s">
        <v>37</v>
      </c>
    </row>
    <row r="308" spans="1:14" x14ac:dyDescent="0.3">
      <c r="A308" t="s">
        <v>529</v>
      </c>
      <c r="B308" t="s">
        <v>14</v>
      </c>
      <c r="C308">
        <v>45450</v>
      </c>
      <c r="D308" t="s">
        <v>45</v>
      </c>
      <c r="E308" t="s">
        <v>49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25</v>
      </c>
      <c r="M308">
        <v>0.2015852613538989</v>
      </c>
      <c r="N308" t="s">
        <v>30</v>
      </c>
    </row>
    <row r="309" spans="1:14" x14ac:dyDescent="0.3">
      <c r="A309" t="s">
        <v>531</v>
      </c>
      <c r="B309" t="s">
        <v>43</v>
      </c>
      <c r="C309">
        <v>45753</v>
      </c>
      <c r="D309" t="s">
        <v>52</v>
      </c>
      <c r="E309" t="s">
        <v>59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19</v>
      </c>
      <c r="M309">
        <v>0.24763928234183191</v>
      </c>
      <c r="N309" t="s">
        <v>62</v>
      </c>
    </row>
    <row r="310" spans="1:14" x14ac:dyDescent="0.3">
      <c r="A310" t="s">
        <v>532</v>
      </c>
      <c r="B310" t="s">
        <v>14</v>
      </c>
      <c r="C310">
        <v>45622</v>
      </c>
      <c r="D310" t="s">
        <v>22</v>
      </c>
      <c r="E310" t="s">
        <v>23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38</v>
      </c>
      <c r="M310">
        <v>0.11114018842096787</v>
      </c>
      <c r="N310" t="s">
        <v>37</v>
      </c>
    </row>
    <row r="311" spans="1:14" x14ac:dyDescent="0.3">
      <c r="A311" t="s">
        <v>534</v>
      </c>
      <c r="B311" t="s">
        <v>27</v>
      </c>
      <c r="C311">
        <v>45537</v>
      </c>
      <c r="D311" t="s">
        <v>52</v>
      </c>
      <c r="E311" t="s">
        <v>53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25</v>
      </c>
      <c r="M311">
        <v>5.9928644240570844E-2</v>
      </c>
      <c r="N311" t="s">
        <v>30</v>
      </c>
    </row>
    <row r="312" spans="1:14" x14ac:dyDescent="0.3">
      <c r="A312" t="s">
        <v>535</v>
      </c>
      <c r="B312" t="s">
        <v>27</v>
      </c>
      <c r="C312">
        <v>45586</v>
      </c>
      <c r="D312" t="s">
        <v>74</v>
      </c>
      <c r="E312" t="s">
        <v>219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38</v>
      </c>
      <c r="M312">
        <v>8.3274853801169585E-2</v>
      </c>
      <c r="N312" t="s">
        <v>37</v>
      </c>
    </row>
    <row r="313" spans="1:14" x14ac:dyDescent="0.3">
      <c r="A313" t="s">
        <v>535</v>
      </c>
      <c r="B313" t="s">
        <v>27</v>
      </c>
      <c r="C313">
        <v>45586</v>
      </c>
      <c r="D313" t="s">
        <v>74</v>
      </c>
      <c r="E313" t="s">
        <v>219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38</v>
      </c>
      <c r="M313">
        <v>8.3274853801169585E-2</v>
      </c>
      <c r="N313" t="s">
        <v>30</v>
      </c>
    </row>
    <row r="314" spans="1:14" x14ac:dyDescent="0.3">
      <c r="A314" t="s">
        <v>535</v>
      </c>
      <c r="B314" t="s">
        <v>27</v>
      </c>
      <c r="C314">
        <v>45586</v>
      </c>
      <c r="D314" t="s">
        <v>74</v>
      </c>
      <c r="E314" t="s">
        <v>219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38</v>
      </c>
      <c r="M314">
        <v>8.3274853801169585E-2</v>
      </c>
      <c r="N314" t="s">
        <v>615</v>
      </c>
    </row>
    <row r="315" spans="1:14" x14ac:dyDescent="0.3">
      <c r="A315" t="s">
        <v>536</v>
      </c>
      <c r="B315" t="s">
        <v>27</v>
      </c>
      <c r="C315">
        <v>45738</v>
      </c>
      <c r="D315" t="s">
        <v>52</v>
      </c>
      <c r="E315" t="s">
        <v>53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25</v>
      </c>
      <c r="M315">
        <v>6.3118551273952411E-2</v>
      </c>
      <c r="N315" t="s">
        <v>37</v>
      </c>
    </row>
    <row r="316" spans="1:14" x14ac:dyDescent="0.3">
      <c r="A316" t="s">
        <v>538</v>
      </c>
      <c r="B316" t="s">
        <v>33</v>
      </c>
      <c r="C316">
        <v>45568</v>
      </c>
      <c r="D316" t="s">
        <v>74</v>
      </c>
      <c r="E316" t="s">
        <v>85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31</v>
      </c>
      <c r="M316">
        <v>0.1071650124069479</v>
      </c>
      <c r="N316" t="s">
        <v>62</v>
      </c>
    </row>
    <row r="317" spans="1:14" x14ac:dyDescent="0.3">
      <c r="A317" t="s">
        <v>540</v>
      </c>
      <c r="B317" t="s">
        <v>14</v>
      </c>
      <c r="C317">
        <v>45786</v>
      </c>
      <c r="D317" t="s">
        <v>16</v>
      </c>
      <c r="E317" t="s">
        <v>17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25</v>
      </c>
      <c r="M317">
        <v>5.8243321401216137E-2</v>
      </c>
      <c r="N317" t="s">
        <v>62</v>
      </c>
    </row>
    <row r="318" spans="1:14" x14ac:dyDescent="0.3">
      <c r="A318" t="s">
        <v>542</v>
      </c>
      <c r="B318" t="s">
        <v>14</v>
      </c>
      <c r="C318">
        <v>45552</v>
      </c>
      <c r="D318" t="s">
        <v>22</v>
      </c>
      <c r="E318" t="s">
        <v>23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38</v>
      </c>
      <c r="M318">
        <v>0.11465952405480581</v>
      </c>
      <c r="N318" t="s">
        <v>30</v>
      </c>
    </row>
    <row r="319" spans="1:14" x14ac:dyDescent="0.3">
      <c r="A319" t="s">
        <v>543</v>
      </c>
      <c r="B319" t="s">
        <v>27</v>
      </c>
      <c r="C319">
        <v>45491</v>
      </c>
      <c r="D319" t="s">
        <v>22</v>
      </c>
      <c r="E319" t="s">
        <v>104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19</v>
      </c>
      <c r="M319">
        <v>0.13517919809886983</v>
      </c>
      <c r="N319" t="s">
        <v>37</v>
      </c>
    </row>
    <row r="320" spans="1:14" x14ac:dyDescent="0.3">
      <c r="A320" t="s">
        <v>544</v>
      </c>
      <c r="B320" t="s">
        <v>27</v>
      </c>
      <c r="C320">
        <v>45560</v>
      </c>
      <c r="D320" t="s">
        <v>74</v>
      </c>
      <c r="E320" t="s">
        <v>219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31</v>
      </c>
      <c r="M320">
        <v>0.19484607062063539</v>
      </c>
      <c r="N320" t="s">
        <v>62</v>
      </c>
    </row>
    <row r="321" spans="1:14" x14ac:dyDescent="0.3">
      <c r="A321" t="s">
        <v>546</v>
      </c>
      <c r="B321" t="s">
        <v>33</v>
      </c>
      <c r="C321">
        <v>45519</v>
      </c>
      <c r="D321" t="s">
        <v>16</v>
      </c>
      <c r="E321" t="s">
        <v>82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19</v>
      </c>
      <c r="M321">
        <v>0.30126002290950743</v>
      </c>
      <c r="N321" t="s">
        <v>37</v>
      </c>
    </row>
    <row r="322" spans="1:14" x14ac:dyDescent="0.3">
      <c r="A322" t="s">
        <v>547</v>
      </c>
      <c r="B322" t="s">
        <v>27</v>
      </c>
      <c r="C322">
        <v>45764</v>
      </c>
      <c r="D322" t="s">
        <v>45</v>
      </c>
      <c r="E322" t="s">
        <v>68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31</v>
      </c>
      <c r="M322">
        <v>6.800325430032543E-2</v>
      </c>
      <c r="N322" t="s">
        <v>62</v>
      </c>
    </row>
    <row r="323" spans="1:14" x14ac:dyDescent="0.3">
      <c r="A323" t="s">
        <v>549</v>
      </c>
      <c r="B323" t="s">
        <v>43</v>
      </c>
      <c r="C323">
        <v>45624</v>
      </c>
      <c r="D323" t="s">
        <v>45</v>
      </c>
      <c r="E323" t="s">
        <v>46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38</v>
      </c>
      <c r="M323">
        <v>7.3018902217375503E-2</v>
      </c>
      <c r="N323" t="s">
        <v>62</v>
      </c>
    </row>
    <row r="324" spans="1:14" x14ac:dyDescent="0.3">
      <c r="A324" t="s">
        <v>550</v>
      </c>
      <c r="B324" t="s">
        <v>33</v>
      </c>
      <c r="C324">
        <v>45646</v>
      </c>
      <c r="D324" t="s">
        <v>45</v>
      </c>
      <c r="E324" t="s">
        <v>88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38</v>
      </c>
      <c r="M324">
        <v>8.3921940869371006E-2</v>
      </c>
      <c r="N324" t="s">
        <v>37</v>
      </c>
    </row>
    <row r="325" spans="1:14" x14ac:dyDescent="0.3">
      <c r="A325" t="s">
        <v>552</v>
      </c>
      <c r="B325" t="s">
        <v>43</v>
      </c>
      <c r="C325">
        <v>45602</v>
      </c>
      <c r="D325" t="s">
        <v>74</v>
      </c>
      <c r="E325" t="s">
        <v>75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38</v>
      </c>
      <c r="M325">
        <v>7.1956537279290869E-2</v>
      </c>
      <c r="N325" t="s">
        <v>37</v>
      </c>
    </row>
    <row r="326" spans="1:14" x14ac:dyDescent="0.3">
      <c r="A326" t="s">
        <v>553</v>
      </c>
      <c r="B326" t="s">
        <v>43</v>
      </c>
      <c r="C326">
        <v>45613</v>
      </c>
      <c r="D326" t="s">
        <v>22</v>
      </c>
      <c r="E326" t="s">
        <v>56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25</v>
      </c>
      <c r="M326">
        <v>0.12353896103896105</v>
      </c>
      <c r="N326" t="s">
        <v>30</v>
      </c>
    </row>
    <row r="327" spans="1:14" x14ac:dyDescent="0.3">
      <c r="A327" t="s">
        <v>553</v>
      </c>
      <c r="B327" t="s">
        <v>43</v>
      </c>
      <c r="C327">
        <v>45613</v>
      </c>
      <c r="D327" t="s">
        <v>22</v>
      </c>
      <c r="E327" t="s">
        <v>56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25</v>
      </c>
      <c r="M327">
        <v>0.12353896103896105</v>
      </c>
      <c r="N327" t="s">
        <v>615</v>
      </c>
    </row>
    <row r="328" spans="1:14" x14ac:dyDescent="0.3">
      <c r="A328" t="s">
        <v>555</v>
      </c>
      <c r="B328" t="s">
        <v>43</v>
      </c>
      <c r="C328">
        <v>45791</v>
      </c>
      <c r="D328" t="s">
        <v>22</v>
      </c>
      <c r="E328" t="s">
        <v>56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19</v>
      </c>
      <c r="M328">
        <v>0.12428384068475185</v>
      </c>
      <c r="N328" t="s">
        <v>37</v>
      </c>
    </row>
    <row r="329" spans="1:14" x14ac:dyDescent="0.3">
      <c r="A329" t="s">
        <v>557</v>
      </c>
      <c r="B329" t="s">
        <v>43</v>
      </c>
      <c r="C329">
        <v>45462</v>
      </c>
      <c r="D329" t="s">
        <v>45</v>
      </c>
      <c r="E329" t="s">
        <v>46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31</v>
      </c>
      <c r="M329">
        <v>0.18248432325794406</v>
      </c>
      <c r="N329" t="s">
        <v>37</v>
      </c>
    </row>
    <row r="330" spans="1:14" x14ac:dyDescent="0.3">
      <c r="A330" t="s">
        <v>559</v>
      </c>
      <c r="B330" t="s">
        <v>14</v>
      </c>
      <c r="C330">
        <v>45783</v>
      </c>
      <c r="D330" t="s">
        <v>52</v>
      </c>
      <c r="E330" t="s">
        <v>132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25</v>
      </c>
      <c r="M330">
        <v>0.16540727459016394</v>
      </c>
      <c r="N330" t="s">
        <v>62</v>
      </c>
    </row>
    <row r="331" spans="1:14" x14ac:dyDescent="0.3">
      <c r="A331" t="s">
        <v>559</v>
      </c>
      <c r="B331" t="s">
        <v>14</v>
      </c>
      <c r="C331">
        <v>45783</v>
      </c>
      <c r="D331" t="s">
        <v>52</v>
      </c>
      <c r="E331" t="s">
        <v>132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25</v>
      </c>
      <c r="M331">
        <v>0.16540727459016394</v>
      </c>
      <c r="N331" t="s">
        <v>30</v>
      </c>
    </row>
    <row r="332" spans="1:14" x14ac:dyDescent="0.3">
      <c r="A332" t="s">
        <v>559</v>
      </c>
      <c r="B332" t="s">
        <v>14</v>
      </c>
      <c r="C332">
        <v>45783</v>
      </c>
      <c r="D332" t="s">
        <v>52</v>
      </c>
      <c r="E332" t="s">
        <v>132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25</v>
      </c>
      <c r="M332">
        <v>0.16540727459016394</v>
      </c>
      <c r="N332" t="s">
        <v>615</v>
      </c>
    </row>
    <row r="333" spans="1:14" x14ac:dyDescent="0.3">
      <c r="A333" t="s">
        <v>560</v>
      </c>
      <c r="B333" t="s">
        <v>14</v>
      </c>
      <c r="C333">
        <v>45699</v>
      </c>
      <c r="D333" t="s">
        <v>74</v>
      </c>
      <c r="E333" t="s">
        <v>145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38</v>
      </c>
      <c r="M333">
        <v>5.9387824897400819E-2</v>
      </c>
      <c r="N333" t="s">
        <v>30</v>
      </c>
    </row>
    <row r="334" spans="1:14" x14ac:dyDescent="0.3">
      <c r="A334" t="s">
        <v>560</v>
      </c>
      <c r="B334" t="s">
        <v>14</v>
      </c>
      <c r="C334">
        <v>45699</v>
      </c>
      <c r="D334" t="s">
        <v>74</v>
      </c>
      <c r="E334" t="s">
        <v>145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38</v>
      </c>
      <c r="M334">
        <v>5.9387824897400819E-2</v>
      </c>
      <c r="N334" t="s">
        <v>607</v>
      </c>
    </row>
    <row r="335" spans="1:14" x14ac:dyDescent="0.3">
      <c r="A335" t="s">
        <v>562</v>
      </c>
      <c r="B335" t="s">
        <v>14</v>
      </c>
      <c r="C335">
        <v>45650</v>
      </c>
      <c r="D335" t="s">
        <v>22</v>
      </c>
      <c r="E335" t="s">
        <v>23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38</v>
      </c>
      <c r="M335">
        <v>0.24349030470914126</v>
      </c>
      <c r="N335" t="s">
        <v>37</v>
      </c>
    </row>
    <row r="336" spans="1:14" x14ac:dyDescent="0.3">
      <c r="A336" t="s">
        <v>564</v>
      </c>
      <c r="B336" t="s">
        <v>43</v>
      </c>
      <c r="C336">
        <v>45589</v>
      </c>
      <c r="D336" t="s">
        <v>52</v>
      </c>
      <c r="E336" t="s">
        <v>59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31</v>
      </c>
      <c r="M336">
        <v>5.8563792702765516E-2</v>
      </c>
      <c r="N336" t="s">
        <v>30</v>
      </c>
    </row>
    <row r="337" spans="1:14" x14ac:dyDescent="0.3">
      <c r="A337" t="s">
        <v>565</v>
      </c>
      <c r="B337" t="s">
        <v>43</v>
      </c>
      <c r="C337">
        <v>45530</v>
      </c>
      <c r="D337" t="s">
        <v>52</v>
      </c>
      <c r="E337" t="s">
        <v>59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31</v>
      </c>
      <c r="M337">
        <v>0.13840458048129492</v>
      </c>
      <c r="N337" t="s">
        <v>62</v>
      </c>
    </row>
    <row r="338" spans="1:14" x14ac:dyDescent="0.3">
      <c r="A338" t="s">
        <v>566</v>
      </c>
      <c r="B338" t="s">
        <v>14</v>
      </c>
      <c r="C338">
        <v>45535</v>
      </c>
      <c r="D338" t="s">
        <v>45</v>
      </c>
      <c r="E338" t="s">
        <v>49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19</v>
      </c>
      <c r="M338">
        <v>8.3539958039290485E-2</v>
      </c>
      <c r="N338" t="s">
        <v>30</v>
      </c>
    </row>
    <row r="339" spans="1:14" x14ac:dyDescent="0.3">
      <c r="A339" t="s">
        <v>566</v>
      </c>
      <c r="B339" t="s">
        <v>14</v>
      </c>
      <c r="C339">
        <v>45535</v>
      </c>
      <c r="D339" t="s">
        <v>45</v>
      </c>
      <c r="E339" t="s">
        <v>49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19</v>
      </c>
      <c r="M339">
        <v>8.3539958039290485E-2</v>
      </c>
      <c r="N339" t="s">
        <v>37</v>
      </c>
    </row>
    <row r="340" spans="1:14" x14ac:dyDescent="0.3">
      <c r="A340" t="s">
        <v>566</v>
      </c>
      <c r="B340" t="s">
        <v>14</v>
      </c>
      <c r="C340">
        <v>45535</v>
      </c>
      <c r="D340" t="s">
        <v>45</v>
      </c>
      <c r="E340" t="s">
        <v>49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19</v>
      </c>
      <c r="M340">
        <v>8.3539958039290485E-2</v>
      </c>
      <c r="N340" t="s">
        <v>616</v>
      </c>
    </row>
  </sheetData>
  <pageMargins left="0.7" right="0.7" top="0.75" bottom="0.75" header="0.3" footer="0.3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7E155-9672-4F48-AE0A-013D25DC8D91}">
  <dimension ref="A1:E815"/>
  <sheetViews>
    <sheetView workbookViewId="0">
      <selection activeCell="F15" sqref="F15"/>
    </sheetView>
  </sheetViews>
  <sheetFormatPr defaultRowHeight="14.4" x14ac:dyDescent="0.3"/>
  <cols>
    <col min="1" max="1" width="17.44140625" bestFit="1" customWidth="1"/>
    <col min="2" max="2" width="16.21875" customWidth="1"/>
    <col min="3" max="3" width="20.21875" bestFit="1" customWidth="1"/>
    <col min="4" max="4" width="22.88671875" style="3" bestFit="1" customWidth="1"/>
  </cols>
  <sheetData>
    <row r="1" spans="1:5" x14ac:dyDescent="0.3">
      <c r="A1" s="42" t="s">
        <v>11</v>
      </c>
      <c r="D1" s="4"/>
    </row>
    <row r="2" spans="1:5" x14ac:dyDescent="0.3">
      <c r="A2" t="s">
        <v>37</v>
      </c>
      <c r="C2" s="29"/>
      <c r="D2" s="30"/>
      <c r="E2" s="31"/>
    </row>
    <row r="3" spans="1:5" x14ac:dyDescent="0.3">
      <c r="A3" t="s">
        <v>30</v>
      </c>
      <c r="C3" s="32"/>
      <c r="D3" s="33"/>
      <c r="E3" s="34"/>
    </row>
    <row r="4" spans="1:5" x14ac:dyDescent="0.3">
      <c r="A4" t="s">
        <v>37</v>
      </c>
      <c r="C4" s="32"/>
      <c r="D4" s="33"/>
      <c r="E4" s="34"/>
    </row>
    <row r="5" spans="1:5" x14ac:dyDescent="0.3">
      <c r="A5" t="s">
        <v>30</v>
      </c>
      <c r="C5" s="32"/>
      <c r="D5" s="33"/>
      <c r="E5" s="34"/>
    </row>
    <row r="6" spans="1:5" x14ac:dyDescent="0.3">
      <c r="A6" t="s">
        <v>62</v>
      </c>
      <c r="C6" s="32"/>
      <c r="D6" s="33"/>
      <c r="E6" s="34"/>
    </row>
    <row r="7" spans="1:5" x14ac:dyDescent="0.3">
      <c r="A7" t="s">
        <v>30</v>
      </c>
      <c r="C7" s="32"/>
      <c r="D7" s="33"/>
      <c r="E7" s="34"/>
    </row>
    <row r="8" spans="1:5" x14ac:dyDescent="0.3">
      <c r="A8" t="s">
        <v>30</v>
      </c>
      <c r="C8" s="32"/>
      <c r="D8" s="33"/>
      <c r="E8" s="34"/>
    </row>
    <row r="9" spans="1:5" x14ac:dyDescent="0.3">
      <c r="A9" t="s">
        <v>30</v>
      </c>
      <c r="C9" s="32"/>
      <c r="D9" s="33"/>
      <c r="E9" s="34"/>
    </row>
    <row r="10" spans="1:5" x14ac:dyDescent="0.3">
      <c r="A10" t="s">
        <v>62</v>
      </c>
      <c r="C10" s="32"/>
      <c r="D10" s="33"/>
      <c r="E10" s="34"/>
    </row>
    <row r="11" spans="1:5" x14ac:dyDescent="0.3">
      <c r="A11" t="s">
        <v>30</v>
      </c>
      <c r="C11" s="32"/>
      <c r="D11" s="33"/>
      <c r="E11" s="34"/>
    </row>
    <row r="12" spans="1:5" x14ac:dyDescent="0.3">
      <c r="A12" t="s">
        <v>62</v>
      </c>
      <c r="C12" s="32"/>
      <c r="D12" s="33"/>
      <c r="E12" s="34"/>
    </row>
    <row r="13" spans="1:5" x14ac:dyDescent="0.3">
      <c r="A13" t="s">
        <v>37</v>
      </c>
      <c r="C13" s="32"/>
      <c r="D13" s="33"/>
      <c r="E13" s="34"/>
    </row>
    <row r="14" spans="1:5" x14ac:dyDescent="0.3">
      <c r="A14" t="s">
        <v>37</v>
      </c>
      <c r="C14" s="32"/>
      <c r="D14" s="33"/>
      <c r="E14" s="34"/>
    </row>
    <row r="15" spans="1:5" x14ac:dyDescent="0.3">
      <c r="A15" t="s">
        <v>37</v>
      </c>
      <c r="C15" s="32"/>
      <c r="D15" s="33"/>
      <c r="E15" s="34"/>
    </row>
    <row r="16" spans="1:5" x14ac:dyDescent="0.3">
      <c r="A16" t="s">
        <v>62</v>
      </c>
      <c r="C16" s="32"/>
      <c r="D16" s="33"/>
      <c r="E16" s="34"/>
    </row>
    <row r="17" spans="1:5" x14ac:dyDescent="0.3">
      <c r="A17" t="s">
        <v>30</v>
      </c>
      <c r="C17" s="32"/>
      <c r="D17" s="33"/>
      <c r="E17" s="34"/>
    </row>
    <row r="18" spans="1:5" x14ac:dyDescent="0.3">
      <c r="A18" t="s">
        <v>62</v>
      </c>
      <c r="C18" s="32"/>
      <c r="D18" s="33"/>
      <c r="E18" s="34"/>
    </row>
    <row r="19" spans="1:5" x14ac:dyDescent="0.3">
      <c r="A19" t="s">
        <v>62</v>
      </c>
      <c r="C19" s="35"/>
      <c r="D19" s="36"/>
      <c r="E19" s="37"/>
    </row>
    <row r="20" spans="1:5" x14ac:dyDescent="0.3">
      <c r="A20" t="s">
        <v>37</v>
      </c>
      <c r="D20"/>
    </row>
    <row r="21" spans="1:5" x14ac:dyDescent="0.3">
      <c r="A21" t="s">
        <v>62</v>
      </c>
      <c r="D21"/>
    </row>
    <row r="22" spans="1:5" x14ac:dyDescent="0.3">
      <c r="A22" t="s">
        <v>37</v>
      </c>
      <c r="D22"/>
    </row>
    <row r="23" spans="1:5" x14ac:dyDescent="0.3">
      <c r="A23" t="s">
        <v>62</v>
      </c>
      <c r="D23"/>
    </row>
    <row r="24" spans="1:5" x14ac:dyDescent="0.3">
      <c r="A24" t="s">
        <v>30</v>
      </c>
      <c r="D24"/>
    </row>
    <row r="25" spans="1:5" x14ac:dyDescent="0.3">
      <c r="A25" t="s">
        <v>37</v>
      </c>
      <c r="D25"/>
    </row>
    <row r="26" spans="1:5" x14ac:dyDescent="0.3">
      <c r="A26" t="s">
        <v>62</v>
      </c>
      <c r="D26"/>
    </row>
    <row r="27" spans="1:5" x14ac:dyDescent="0.3">
      <c r="A27" t="s">
        <v>37</v>
      </c>
      <c r="D27"/>
    </row>
    <row r="28" spans="1:5" x14ac:dyDescent="0.3">
      <c r="A28" t="s">
        <v>62</v>
      </c>
      <c r="D28" s="2"/>
    </row>
    <row r="29" spans="1:5" x14ac:dyDescent="0.3">
      <c r="A29" t="s">
        <v>30</v>
      </c>
      <c r="D29" s="2"/>
    </row>
    <row r="30" spans="1:5" x14ac:dyDescent="0.3">
      <c r="A30" t="s">
        <v>30</v>
      </c>
      <c r="D30" s="2"/>
    </row>
    <row r="31" spans="1:5" x14ac:dyDescent="0.3">
      <c r="A31" t="s">
        <v>30</v>
      </c>
      <c r="D31" s="2"/>
    </row>
    <row r="32" spans="1:5" x14ac:dyDescent="0.3">
      <c r="A32" t="s">
        <v>37</v>
      </c>
      <c r="D32" s="2"/>
    </row>
    <row r="33" spans="1:4" x14ac:dyDescent="0.3">
      <c r="A33" t="s">
        <v>62</v>
      </c>
      <c r="D33" s="2"/>
    </row>
    <row r="34" spans="1:4" x14ac:dyDescent="0.3">
      <c r="A34" t="s">
        <v>62</v>
      </c>
      <c r="D34" s="2"/>
    </row>
    <row r="35" spans="1:4" x14ac:dyDescent="0.3">
      <c r="A35" t="s">
        <v>37</v>
      </c>
      <c r="D35" s="2"/>
    </row>
    <row r="36" spans="1:4" x14ac:dyDescent="0.3">
      <c r="A36" t="s">
        <v>37</v>
      </c>
      <c r="D36" s="2"/>
    </row>
    <row r="37" spans="1:4" x14ac:dyDescent="0.3">
      <c r="A37" t="s">
        <v>62</v>
      </c>
      <c r="D37" s="2"/>
    </row>
    <row r="38" spans="1:4" x14ac:dyDescent="0.3">
      <c r="A38" t="s">
        <v>37</v>
      </c>
      <c r="D38" s="2"/>
    </row>
    <row r="39" spans="1:4" x14ac:dyDescent="0.3">
      <c r="A39" t="s">
        <v>37</v>
      </c>
      <c r="D39" s="2"/>
    </row>
    <row r="40" spans="1:4" x14ac:dyDescent="0.3">
      <c r="A40" t="s">
        <v>62</v>
      </c>
      <c r="D40" s="2"/>
    </row>
    <row r="41" spans="1:4" x14ac:dyDescent="0.3">
      <c r="A41" t="s">
        <v>30</v>
      </c>
      <c r="D41" s="2"/>
    </row>
    <row r="42" spans="1:4" x14ac:dyDescent="0.3">
      <c r="A42" t="s">
        <v>30</v>
      </c>
      <c r="D42" s="2"/>
    </row>
    <row r="43" spans="1:4" x14ac:dyDescent="0.3">
      <c r="A43" t="s">
        <v>37</v>
      </c>
      <c r="D43" s="2"/>
    </row>
    <row r="44" spans="1:4" x14ac:dyDescent="0.3">
      <c r="A44" t="s">
        <v>30</v>
      </c>
      <c r="D44" s="2"/>
    </row>
    <row r="45" spans="1:4" x14ac:dyDescent="0.3">
      <c r="A45" t="s">
        <v>62</v>
      </c>
      <c r="D45" s="2"/>
    </row>
    <row r="46" spans="1:4" x14ac:dyDescent="0.3">
      <c r="A46" t="s">
        <v>37</v>
      </c>
      <c r="D46" s="2"/>
    </row>
    <row r="47" spans="1:4" x14ac:dyDescent="0.3">
      <c r="A47" t="s">
        <v>62</v>
      </c>
      <c r="D47" s="2"/>
    </row>
    <row r="48" spans="1:4" x14ac:dyDescent="0.3">
      <c r="A48" t="s">
        <v>62</v>
      </c>
      <c r="D48" s="2"/>
    </row>
    <row r="49" spans="1:4" x14ac:dyDescent="0.3">
      <c r="A49" t="s">
        <v>62</v>
      </c>
      <c r="D49" s="2"/>
    </row>
    <row r="50" spans="1:4" x14ac:dyDescent="0.3">
      <c r="A50" t="s">
        <v>37</v>
      </c>
      <c r="D50" s="2"/>
    </row>
    <row r="51" spans="1:4" x14ac:dyDescent="0.3">
      <c r="A51" t="s">
        <v>30</v>
      </c>
      <c r="D51" s="2"/>
    </row>
    <row r="52" spans="1:4" x14ac:dyDescent="0.3">
      <c r="A52" t="s">
        <v>37</v>
      </c>
      <c r="D52" s="2"/>
    </row>
    <row r="53" spans="1:4" x14ac:dyDescent="0.3">
      <c r="A53" t="s">
        <v>37</v>
      </c>
      <c r="D53" s="2"/>
    </row>
    <row r="54" spans="1:4" x14ac:dyDescent="0.3">
      <c r="A54" t="s">
        <v>30</v>
      </c>
      <c r="D54" s="2"/>
    </row>
    <row r="55" spans="1:4" x14ac:dyDescent="0.3">
      <c r="A55" t="s">
        <v>37</v>
      </c>
      <c r="D55" s="2"/>
    </row>
    <row r="56" spans="1:4" x14ac:dyDescent="0.3">
      <c r="A56" t="s">
        <v>30</v>
      </c>
      <c r="D56" s="2"/>
    </row>
    <row r="57" spans="1:4" x14ac:dyDescent="0.3">
      <c r="A57" t="s">
        <v>37</v>
      </c>
      <c r="D57" s="2"/>
    </row>
    <row r="58" spans="1:4" x14ac:dyDescent="0.3">
      <c r="A58" t="s">
        <v>62</v>
      </c>
      <c r="D58" s="2"/>
    </row>
    <row r="59" spans="1:4" x14ac:dyDescent="0.3">
      <c r="A59" t="s">
        <v>37</v>
      </c>
      <c r="D59" s="2"/>
    </row>
    <row r="60" spans="1:4" x14ac:dyDescent="0.3">
      <c r="A60" t="s">
        <v>62</v>
      </c>
      <c r="D60" s="2"/>
    </row>
    <row r="61" spans="1:4" x14ac:dyDescent="0.3">
      <c r="A61" t="s">
        <v>37</v>
      </c>
      <c r="D61" s="2"/>
    </row>
    <row r="62" spans="1:4" x14ac:dyDescent="0.3">
      <c r="A62" t="s">
        <v>30</v>
      </c>
      <c r="D62" s="2"/>
    </row>
    <row r="63" spans="1:4" x14ac:dyDescent="0.3">
      <c r="A63" t="s">
        <v>62</v>
      </c>
      <c r="D63" s="2"/>
    </row>
    <row r="64" spans="1:4" x14ac:dyDescent="0.3">
      <c r="A64" t="s">
        <v>37</v>
      </c>
      <c r="D64" s="2"/>
    </row>
    <row r="65" spans="1:4" x14ac:dyDescent="0.3">
      <c r="A65" t="s">
        <v>62</v>
      </c>
      <c r="D65" s="2"/>
    </row>
    <row r="66" spans="1:4" x14ac:dyDescent="0.3">
      <c r="A66" t="s">
        <v>37</v>
      </c>
      <c r="D66" s="2"/>
    </row>
    <row r="67" spans="1:4" x14ac:dyDescent="0.3">
      <c r="A67" t="s">
        <v>30</v>
      </c>
      <c r="D67" s="2"/>
    </row>
    <row r="68" spans="1:4" x14ac:dyDescent="0.3">
      <c r="A68" t="s">
        <v>30</v>
      </c>
      <c r="D68" s="2"/>
    </row>
    <row r="69" spans="1:4" x14ac:dyDescent="0.3">
      <c r="A69" t="s">
        <v>37</v>
      </c>
      <c r="D69" s="2"/>
    </row>
    <row r="70" spans="1:4" x14ac:dyDescent="0.3">
      <c r="A70" t="s">
        <v>30</v>
      </c>
      <c r="D70" s="2"/>
    </row>
    <row r="71" spans="1:4" x14ac:dyDescent="0.3">
      <c r="A71" t="s">
        <v>62</v>
      </c>
      <c r="D71" s="2"/>
    </row>
    <row r="72" spans="1:4" x14ac:dyDescent="0.3">
      <c r="A72" t="s">
        <v>30</v>
      </c>
      <c r="D72" s="2"/>
    </row>
    <row r="73" spans="1:4" x14ac:dyDescent="0.3">
      <c r="A73" t="s">
        <v>62</v>
      </c>
      <c r="D73" s="2"/>
    </row>
    <row r="74" spans="1:4" x14ac:dyDescent="0.3">
      <c r="A74" t="s">
        <v>30</v>
      </c>
      <c r="D74" s="2"/>
    </row>
    <row r="75" spans="1:4" x14ac:dyDescent="0.3">
      <c r="A75" t="s">
        <v>37</v>
      </c>
      <c r="D75" s="2"/>
    </row>
    <row r="76" spans="1:4" x14ac:dyDescent="0.3">
      <c r="A76" t="s">
        <v>62</v>
      </c>
      <c r="D76" s="2"/>
    </row>
    <row r="77" spans="1:4" x14ac:dyDescent="0.3">
      <c r="A77" t="s">
        <v>30</v>
      </c>
      <c r="D77" s="2"/>
    </row>
    <row r="78" spans="1:4" x14ac:dyDescent="0.3">
      <c r="A78" t="s">
        <v>37</v>
      </c>
      <c r="D78" s="2"/>
    </row>
    <row r="79" spans="1:4" x14ac:dyDescent="0.3">
      <c r="A79" t="s">
        <v>62</v>
      </c>
      <c r="D79" s="2"/>
    </row>
    <row r="80" spans="1:4" x14ac:dyDescent="0.3">
      <c r="A80" t="s">
        <v>62</v>
      </c>
      <c r="D80" s="2"/>
    </row>
    <row r="81" spans="1:4" x14ac:dyDescent="0.3">
      <c r="A81" t="s">
        <v>62</v>
      </c>
      <c r="D81" s="2"/>
    </row>
    <row r="82" spans="1:4" x14ac:dyDescent="0.3">
      <c r="A82" t="s">
        <v>62</v>
      </c>
      <c r="D82" s="2"/>
    </row>
    <row r="83" spans="1:4" x14ac:dyDescent="0.3">
      <c r="A83" t="s">
        <v>37</v>
      </c>
      <c r="D83" s="2"/>
    </row>
    <row r="84" spans="1:4" x14ac:dyDescent="0.3">
      <c r="A84" t="s">
        <v>37</v>
      </c>
      <c r="D84" s="2"/>
    </row>
    <row r="85" spans="1:4" x14ac:dyDescent="0.3">
      <c r="A85" t="s">
        <v>62</v>
      </c>
      <c r="D85" s="2"/>
    </row>
    <row r="86" spans="1:4" x14ac:dyDescent="0.3">
      <c r="A86" t="s">
        <v>30</v>
      </c>
      <c r="D86" s="2"/>
    </row>
    <row r="87" spans="1:4" x14ac:dyDescent="0.3">
      <c r="A87" t="s">
        <v>62</v>
      </c>
      <c r="D87" s="2"/>
    </row>
    <row r="88" spans="1:4" x14ac:dyDescent="0.3">
      <c r="A88" t="s">
        <v>30</v>
      </c>
      <c r="D88" s="2"/>
    </row>
    <row r="89" spans="1:4" x14ac:dyDescent="0.3">
      <c r="A89" t="s">
        <v>37</v>
      </c>
      <c r="D89" s="2"/>
    </row>
    <row r="90" spans="1:4" x14ac:dyDescent="0.3">
      <c r="A90" t="s">
        <v>30</v>
      </c>
      <c r="D90" s="2"/>
    </row>
    <row r="91" spans="1:4" x14ac:dyDescent="0.3">
      <c r="A91" t="s">
        <v>30</v>
      </c>
      <c r="D91" s="2"/>
    </row>
    <row r="92" spans="1:4" x14ac:dyDescent="0.3">
      <c r="A92" t="s">
        <v>30</v>
      </c>
      <c r="D92" s="2"/>
    </row>
    <row r="93" spans="1:4" x14ac:dyDescent="0.3">
      <c r="A93" t="s">
        <v>30</v>
      </c>
      <c r="D93" s="2"/>
    </row>
    <row r="94" spans="1:4" x14ac:dyDescent="0.3">
      <c r="A94" t="s">
        <v>37</v>
      </c>
      <c r="D94" s="2"/>
    </row>
    <row r="95" spans="1:4" x14ac:dyDescent="0.3">
      <c r="A95" t="s">
        <v>62</v>
      </c>
      <c r="D95" s="2"/>
    </row>
    <row r="96" spans="1:4" x14ac:dyDescent="0.3">
      <c r="A96" t="s">
        <v>37</v>
      </c>
      <c r="D96" s="2"/>
    </row>
    <row r="97" spans="1:4" x14ac:dyDescent="0.3">
      <c r="A97" t="s">
        <v>62</v>
      </c>
      <c r="D97" s="2"/>
    </row>
    <row r="98" spans="1:4" x14ac:dyDescent="0.3">
      <c r="A98" t="s">
        <v>62</v>
      </c>
      <c r="D98" s="2"/>
    </row>
    <row r="99" spans="1:4" x14ac:dyDescent="0.3">
      <c r="A99" t="s">
        <v>30</v>
      </c>
      <c r="D99" s="2"/>
    </row>
    <row r="100" spans="1:4" x14ac:dyDescent="0.3">
      <c r="A100" t="s">
        <v>30</v>
      </c>
      <c r="D100" s="2"/>
    </row>
    <row r="101" spans="1:4" x14ac:dyDescent="0.3">
      <c r="A101" t="s">
        <v>30</v>
      </c>
      <c r="D101" s="2"/>
    </row>
    <row r="102" spans="1:4" x14ac:dyDescent="0.3">
      <c r="A102" t="s">
        <v>30</v>
      </c>
      <c r="D102" s="2"/>
    </row>
    <row r="103" spans="1:4" x14ac:dyDescent="0.3">
      <c r="A103" t="s">
        <v>37</v>
      </c>
      <c r="D103" s="2"/>
    </row>
    <row r="104" spans="1:4" x14ac:dyDescent="0.3">
      <c r="A104" t="s">
        <v>62</v>
      </c>
      <c r="D104" s="2"/>
    </row>
    <row r="105" spans="1:4" x14ac:dyDescent="0.3">
      <c r="A105" t="s">
        <v>37</v>
      </c>
      <c r="D105" s="2"/>
    </row>
    <row r="106" spans="1:4" x14ac:dyDescent="0.3">
      <c r="A106" t="s">
        <v>30</v>
      </c>
      <c r="D106" s="2"/>
    </row>
    <row r="107" spans="1:4" x14ac:dyDescent="0.3">
      <c r="A107" t="s">
        <v>62</v>
      </c>
      <c r="D107" s="2"/>
    </row>
    <row r="108" spans="1:4" x14ac:dyDescent="0.3">
      <c r="A108" t="s">
        <v>37</v>
      </c>
      <c r="D108" s="2"/>
    </row>
    <row r="109" spans="1:4" x14ac:dyDescent="0.3">
      <c r="A109" t="s">
        <v>62</v>
      </c>
      <c r="D109" s="2"/>
    </row>
    <row r="110" spans="1:4" x14ac:dyDescent="0.3">
      <c r="A110" t="s">
        <v>30</v>
      </c>
      <c r="D110" s="2"/>
    </row>
    <row r="111" spans="1:4" x14ac:dyDescent="0.3">
      <c r="A111" t="s">
        <v>37</v>
      </c>
      <c r="D111" s="2"/>
    </row>
    <row r="112" spans="1:4" x14ac:dyDescent="0.3">
      <c r="A112" t="s">
        <v>30</v>
      </c>
      <c r="D112" s="2"/>
    </row>
    <row r="113" spans="1:4" x14ac:dyDescent="0.3">
      <c r="A113" t="s">
        <v>62</v>
      </c>
      <c r="D113" s="2"/>
    </row>
    <row r="114" spans="1:4" x14ac:dyDescent="0.3">
      <c r="A114" t="s">
        <v>30</v>
      </c>
      <c r="D114" s="2"/>
    </row>
    <row r="115" spans="1:4" x14ac:dyDescent="0.3">
      <c r="A115" t="s">
        <v>30</v>
      </c>
      <c r="D115" s="2"/>
    </row>
    <row r="116" spans="1:4" x14ac:dyDescent="0.3">
      <c r="A116" t="s">
        <v>62</v>
      </c>
      <c r="D116" s="2"/>
    </row>
    <row r="117" spans="1:4" x14ac:dyDescent="0.3">
      <c r="A117" t="s">
        <v>62</v>
      </c>
      <c r="D117" s="2"/>
    </row>
    <row r="118" spans="1:4" x14ac:dyDescent="0.3">
      <c r="A118" t="s">
        <v>62</v>
      </c>
      <c r="D118" s="2"/>
    </row>
    <row r="119" spans="1:4" x14ac:dyDescent="0.3">
      <c r="A119" t="s">
        <v>62</v>
      </c>
      <c r="D119" s="2"/>
    </row>
    <row r="120" spans="1:4" x14ac:dyDescent="0.3">
      <c r="A120" t="s">
        <v>62</v>
      </c>
      <c r="D120" s="2"/>
    </row>
    <row r="121" spans="1:4" x14ac:dyDescent="0.3">
      <c r="A121" t="s">
        <v>62</v>
      </c>
      <c r="D121" s="2"/>
    </row>
    <row r="122" spans="1:4" x14ac:dyDescent="0.3">
      <c r="A122" t="s">
        <v>62</v>
      </c>
      <c r="D122" s="2"/>
    </row>
    <row r="123" spans="1:4" x14ac:dyDescent="0.3">
      <c r="A123" t="s">
        <v>30</v>
      </c>
      <c r="D123" s="2"/>
    </row>
    <row r="124" spans="1:4" x14ac:dyDescent="0.3">
      <c r="A124" t="s">
        <v>30</v>
      </c>
      <c r="D124" s="2"/>
    </row>
    <row r="125" spans="1:4" x14ac:dyDescent="0.3">
      <c r="A125" t="s">
        <v>30</v>
      </c>
      <c r="D125" s="2"/>
    </row>
    <row r="126" spans="1:4" x14ac:dyDescent="0.3">
      <c r="A126" t="s">
        <v>37</v>
      </c>
      <c r="D126" s="2"/>
    </row>
    <row r="127" spans="1:4" x14ac:dyDescent="0.3">
      <c r="A127" t="s">
        <v>62</v>
      </c>
      <c r="D127" s="2"/>
    </row>
    <row r="128" spans="1:4" x14ac:dyDescent="0.3">
      <c r="A128" t="s">
        <v>37</v>
      </c>
      <c r="D128" s="2"/>
    </row>
    <row r="129" spans="1:4" x14ac:dyDescent="0.3">
      <c r="A129" t="s">
        <v>37</v>
      </c>
      <c r="D129" s="2"/>
    </row>
    <row r="130" spans="1:4" x14ac:dyDescent="0.3">
      <c r="A130" t="s">
        <v>30</v>
      </c>
      <c r="D130" s="2"/>
    </row>
    <row r="131" spans="1:4" x14ac:dyDescent="0.3">
      <c r="A131" t="s">
        <v>30</v>
      </c>
      <c r="D131" s="2"/>
    </row>
    <row r="132" spans="1:4" x14ac:dyDescent="0.3">
      <c r="A132" t="s">
        <v>37</v>
      </c>
      <c r="D132" s="2"/>
    </row>
    <row r="133" spans="1:4" x14ac:dyDescent="0.3">
      <c r="A133" t="s">
        <v>37</v>
      </c>
      <c r="D133" s="2"/>
    </row>
    <row r="134" spans="1:4" x14ac:dyDescent="0.3">
      <c r="A134" t="s">
        <v>30</v>
      </c>
      <c r="D134" s="2"/>
    </row>
    <row r="135" spans="1:4" x14ac:dyDescent="0.3">
      <c r="A135" t="s">
        <v>62</v>
      </c>
      <c r="D135" s="2"/>
    </row>
    <row r="136" spans="1:4" x14ac:dyDescent="0.3">
      <c r="A136" t="s">
        <v>30</v>
      </c>
      <c r="D136" s="2"/>
    </row>
    <row r="137" spans="1:4" x14ac:dyDescent="0.3">
      <c r="A137" t="s">
        <v>37</v>
      </c>
      <c r="D137" s="2"/>
    </row>
    <row r="138" spans="1:4" x14ac:dyDescent="0.3">
      <c r="A138" t="s">
        <v>62</v>
      </c>
      <c r="D138" s="2"/>
    </row>
    <row r="139" spans="1:4" x14ac:dyDescent="0.3">
      <c r="A139" t="s">
        <v>62</v>
      </c>
      <c r="D139" s="2"/>
    </row>
    <row r="140" spans="1:4" x14ac:dyDescent="0.3">
      <c r="A140" t="s">
        <v>37</v>
      </c>
      <c r="D140" s="2"/>
    </row>
    <row r="141" spans="1:4" x14ac:dyDescent="0.3">
      <c r="A141" t="s">
        <v>62</v>
      </c>
      <c r="D141" s="2"/>
    </row>
    <row r="142" spans="1:4" x14ac:dyDescent="0.3">
      <c r="A142" t="s">
        <v>62</v>
      </c>
      <c r="D142" s="2"/>
    </row>
    <row r="143" spans="1:4" x14ac:dyDescent="0.3">
      <c r="A143" t="s">
        <v>30</v>
      </c>
      <c r="D143" s="2"/>
    </row>
    <row r="144" spans="1:4" x14ac:dyDescent="0.3">
      <c r="A144" t="s">
        <v>62</v>
      </c>
      <c r="D144" s="2"/>
    </row>
    <row r="145" spans="1:4" x14ac:dyDescent="0.3">
      <c r="A145" t="s">
        <v>30</v>
      </c>
      <c r="D145" s="2"/>
    </row>
    <row r="146" spans="1:4" x14ac:dyDescent="0.3">
      <c r="A146" t="s">
        <v>37</v>
      </c>
      <c r="D146" s="2"/>
    </row>
    <row r="147" spans="1:4" x14ac:dyDescent="0.3">
      <c r="A147" t="s">
        <v>30</v>
      </c>
      <c r="D147" s="2"/>
    </row>
    <row r="148" spans="1:4" x14ac:dyDescent="0.3">
      <c r="A148" t="s">
        <v>62</v>
      </c>
      <c r="D148" s="2"/>
    </row>
    <row r="149" spans="1:4" x14ac:dyDescent="0.3">
      <c r="A149" t="s">
        <v>62</v>
      </c>
      <c r="D149" s="2"/>
    </row>
    <row r="150" spans="1:4" x14ac:dyDescent="0.3">
      <c r="A150" t="s">
        <v>62</v>
      </c>
      <c r="D150" s="2"/>
    </row>
    <row r="151" spans="1:4" x14ac:dyDescent="0.3">
      <c r="A151" t="s">
        <v>37</v>
      </c>
      <c r="D151" s="2"/>
    </row>
    <row r="152" spans="1:4" x14ac:dyDescent="0.3">
      <c r="A152" t="s">
        <v>37</v>
      </c>
      <c r="D152" s="2"/>
    </row>
    <row r="153" spans="1:4" x14ac:dyDescent="0.3">
      <c r="A153" t="s">
        <v>62</v>
      </c>
      <c r="D153" s="2"/>
    </row>
    <row r="154" spans="1:4" x14ac:dyDescent="0.3">
      <c r="A154" t="s">
        <v>62</v>
      </c>
      <c r="D154" s="2"/>
    </row>
    <row r="155" spans="1:4" x14ac:dyDescent="0.3">
      <c r="A155" t="s">
        <v>37</v>
      </c>
      <c r="D155" s="2"/>
    </row>
    <row r="156" spans="1:4" x14ac:dyDescent="0.3">
      <c r="A156" t="s">
        <v>62</v>
      </c>
      <c r="D156" s="2"/>
    </row>
    <row r="157" spans="1:4" x14ac:dyDescent="0.3">
      <c r="A157" t="s">
        <v>30</v>
      </c>
      <c r="D157" s="2"/>
    </row>
    <row r="158" spans="1:4" x14ac:dyDescent="0.3">
      <c r="A158" t="s">
        <v>30</v>
      </c>
      <c r="D158" s="2"/>
    </row>
    <row r="159" spans="1:4" x14ac:dyDescent="0.3">
      <c r="A159" t="s">
        <v>37</v>
      </c>
      <c r="D159" s="2"/>
    </row>
    <row r="160" spans="1:4" x14ac:dyDescent="0.3">
      <c r="A160" t="s">
        <v>62</v>
      </c>
      <c r="D160" s="2"/>
    </row>
    <row r="161" spans="1:4" x14ac:dyDescent="0.3">
      <c r="A161" t="s">
        <v>62</v>
      </c>
      <c r="D161" s="2"/>
    </row>
    <row r="162" spans="1:4" x14ac:dyDescent="0.3">
      <c r="A162" t="s">
        <v>30</v>
      </c>
      <c r="D162" s="2"/>
    </row>
    <row r="163" spans="1:4" x14ac:dyDescent="0.3">
      <c r="A163" t="s">
        <v>30</v>
      </c>
      <c r="D163" s="2"/>
    </row>
    <row r="164" spans="1:4" x14ac:dyDescent="0.3">
      <c r="A164" t="s">
        <v>30</v>
      </c>
      <c r="D164" s="2"/>
    </row>
    <row r="165" spans="1:4" x14ac:dyDescent="0.3">
      <c r="A165" t="s">
        <v>30</v>
      </c>
      <c r="D165" s="2"/>
    </row>
    <row r="166" spans="1:4" x14ac:dyDescent="0.3">
      <c r="A166" t="s">
        <v>62</v>
      </c>
      <c r="D166" s="2"/>
    </row>
    <row r="167" spans="1:4" x14ac:dyDescent="0.3">
      <c r="A167" t="s">
        <v>37</v>
      </c>
      <c r="D167" s="2"/>
    </row>
    <row r="168" spans="1:4" x14ac:dyDescent="0.3">
      <c r="A168" t="s">
        <v>62</v>
      </c>
      <c r="D168" s="2"/>
    </row>
    <row r="169" spans="1:4" x14ac:dyDescent="0.3">
      <c r="A169" t="s">
        <v>37</v>
      </c>
      <c r="D169" s="2"/>
    </row>
    <row r="170" spans="1:4" x14ac:dyDescent="0.3">
      <c r="A170" t="s">
        <v>62</v>
      </c>
      <c r="D170" s="2"/>
    </row>
    <row r="171" spans="1:4" x14ac:dyDescent="0.3">
      <c r="A171" t="s">
        <v>30</v>
      </c>
      <c r="D171" s="2"/>
    </row>
    <row r="172" spans="1:4" x14ac:dyDescent="0.3">
      <c r="A172" t="s">
        <v>62</v>
      </c>
      <c r="D172" s="2"/>
    </row>
    <row r="173" spans="1:4" x14ac:dyDescent="0.3">
      <c r="A173" t="s">
        <v>37</v>
      </c>
      <c r="D173" s="2"/>
    </row>
    <row r="174" spans="1:4" x14ac:dyDescent="0.3">
      <c r="A174" t="s">
        <v>62</v>
      </c>
      <c r="D174" s="2"/>
    </row>
    <row r="175" spans="1:4" x14ac:dyDescent="0.3">
      <c r="A175" t="s">
        <v>37</v>
      </c>
      <c r="D175" s="2"/>
    </row>
    <row r="176" spans="1:4" x14ac:dyDescent="0.3">
      <c r="A176" t="s">
        <v>30</v>
      </c>
      <c r="D176" s="2"/>
    </row>
    <row r="177" spans="1:4" x14ac:dyDescent="0.3">
      <c r="A177" t="s">
        <v>37</v>
      </c>
      <c r="D177" s="2"/>
    </row>
    <row r="178" spans="1:4" x14ac:dyDescent="0.3">
      <c r="A178" t="s">
        <v>37</v>
      </c>
      <c r="D178" s="2"/>
    </row>
    <row r="179" spans="1:4" x14ac:dyDescent="0.3">
      <c r="A179" t="s">
        <v>62</v>
      </c>
      <c r="D179" s="2"/>
    </row>
    <row r="180" spans="1:4" x14ac:dyDescent="0.3">
      <c r="A180" t="s">
        <v>37</v>
      </c>
      <c r="D180" s="2"/>
    </row>
    <row r="181" spans="1:4" x14ac:dyDescent="0.3">
      <c r="A181" t="s">
        <v>37</v>
      </c>
      <c r="D181" s="2"/>
    </row>
    <row r="182" spans="1:4" x14ac:dyDescent="0.3">
      <c r="A182" t="s">
        <v>37</v>
      </c>
      <c r="D182" s="2"/>
    </row>
    <row r="183" spans="1:4" x14ac:dyDescent="0.3">
      <c r="A183" t="s">
        <v>30</v>
      </c>
      <c r="D183" s="2"/>
    </row>
    <row r="184" spans="1:4" x14ac:dyDescent="0.3">
      <c r="A184" t="s">
        <v>30</v>
      </c>
      <c r="D184" s="2"/>
    </row>
    <row r="185" spans="1:4" x14ac:dyDescent="0.3">
      <c r="A185" t="s">
        <v>62</v>
      </c>
      <c r="D185" s="2"/>
    </row>
    <row r="186" spans="1:4" x14ac:dyDescent="0.3">
      <c r="A186" t="s">
        <v>37</v>
      </c>
      <c r="D186" s="2"/>
    </row>
    <row r="187" spans="1:4" x14ac:dyDescent="0.3">
      <c r="A187" t="s">
        <v>30</v>
      </c>
      <c r="D187" s="2"/>
    </row>
    <row r="188" spans="1:4" x14ac:dyDescent="0.3">
      <c r="A188" t="s">
        <v>62</v>
      </c>
      <c r="D188" s="2"/>
    </row>
    <row r="189" spans="1:4" x14ac:dyDescent="0.3">
      <c r="A189" t="s">
        <v>37</v>
      </c>
      <c r="D189" s="2"/>
    </row>
    <row r="190" spans="1:4" x14ac:dyDescent="0.3">
      <c r="A190" t="s">
        <v>37</v>
      </c>
      <c r="D190" s="2"/>
    </row>
    <row r="191" spans="1:4" x14ac:dyDescent="0.3">
      <c r="A191" t="s">
        <v>37</v>
      </c>
      <c r="D191" s="2"/>
    </row>
    <row r="192" spans="1:4" x14ac:dyDescent="0.3">
      <c r="A192" t="s">
        <v>30</v>
      </c>
      <c r="D192" s="2"/>
    </row>
    <row r="193" spans="1:4" x14ac:dyDescent="0.3">
      <c r="A193" t="s">
        <v>30</v>
      </c>
      <c r="D193" s="2"/>
    </row>
    <row r="194" spans="1:4" x14ac:dyDescent="0.3">
      <c r="A194" t="s">
        <v>37</v>
      </c>
      <c r="D194" s="2"/>
    </row>
    <row r="195" spans="1:4" x14ac:dyDescent="0.3">
      <c r="A195" t="s">
        <v>30</v>
      </c>
      <c r="D195" s="2"/>
    </row>
    <row r="196" spans="1:4" x14ac:dyDescent="0.3">
      <c r="A196" t="s">
        <v>37</v>
      </c>
      <c r="D196" s="2"/>
    </row>
    <row r="197" spans="1:4" x14ac:dyDescent="0.3">
      <c r="A197" t="s">
        <v>62</v>
      </c>
      <c r="D197" s="2"/>
    </row>
    <row r="198" spans="1:4" x14ac:dyDescent="0.3">
      <c r="A198" t="s">
        <v>62</v>
      </c>
      <c r="D198" s="2"/>
    </row>
    <row r="199" spans="1:4" x14ac:dyDescent="0.3">
      <c r="A199" t="s">
        <v>30</v>
      </c>
      <c r="D199" s="2"/>
    </row>
    <row r="200" spans="1:4" x14ac:dyDescent="0.3">
      <c r="A200" t="s">
        <v>37</v>
      </c>
      <c r="D200" s="2"/>
    </row>
    <row r="201" spans="1:4" x14ac:dyDescent="0.3">
      <c r="A201" t="s">
        <v>62</v>
      </c>
      <c r="D201" s="2"/>
    </row>
    <row r="202" spans="1:4" x14ac:dyDescent="0.3">
      <c r="A202" t="s">
        <v>30</v>
      </c>
      <c r="D202" s="2"/>
    </row>
    <row r="203" spans="1:4" x14ac:dyDescent="0.3">
      <c r="A203" t="s">
        <v>62</v>
      </c>
      <c r="D203" s="2"/>
    </row>
    <row r="204" spans="1:4" x14ac:dyDescent="0.3">
      <c r="A204" t="s">
        <v>30</v>
      </c>
      <c r="D204" s="2"/>
    </row>
    <row r="205" spans="1:4" x14ac:dyDescent="0.3">
      <c r="A205" t="s">
        <v>62</v>
      </c>
      <c r="D205" s="2"/>
    </row>
    <row r="206" spans="1:4" x14ac:dyDescent="0.3">
      <c r="A206" t="s">
        <v>37</v>
      </c>
      <c r="D206" s="2"/>
    </row>
    <row r="207" spans="1:4" x14ac:dyDescent="0.3">
      <c r="A207" t="s">
        <v>37</v>
      </c>
      <c r="D207" s="2"/>
    </row>
    <row r="208" spans="1:4" x14ac:dyDescent="0.3">
      <c r="A208" t="s">
        <v>37</v>
      </c>
      <c r="D208" s="2"/>
    </row>
    <row r="209" spans="1:4" x14ac:dyDescent="0.3">
      <c r="A209" t="s">
        <v>37</v>
      </c>
      <c r="D209" s="2"/>
    </row>
    <row r="210" spans="1:4" x14ac:dyDescent="0.3">
      <c r="A210" t="s">
        <v>37</v>
      </c>
      <c r="D210" s="2"/>
    </row>
    <row r="211" spans="1:4" x14ac:dyDescent="0.3">
      <c r="A211" t="s">
        <v>30</v>
      </c>
      <c r="D211" s="2"/>
    </row>
    <row r="212" spans="1:4" x14ac:dyDescent="0.3">
      <c r="A212" t="s">
        <v>37</v>
      </c>
      <c r="D212" s="2"/>
    </row>
    <row r="213" spans="1:4" x14ac:dyDescent="0.3">
      <c r="A213" t="s">
        <v>37</v>
      </c>
      <c r="D213" s="2"/>
    </row>
    <row r="214" spans="1:4" x14ac:dyDescent="0.3">
      <c r="A214" t="s">
        <v>62</v>
      </c>
      <c r="D214" s="2"/>
    </row>
    <row r="215" spans="1:4" x14ac:dyDescent="0.3">
      <c r="A215" t="s">
        <v>37</v>
      </c>
      <c r="D215" s="2"/>
    </row>
    <row r="216" spans="1:4" x14ac:dyDescent="0.3">
      <c r="A216" t="s">
        <v>37</v>
      </c>
      <c r="D216" s="2"/>
    </row>
    <row r="217" spans="1:4" x14ac:dyDescent="0.3">
      <c r="A217" t="s">
        <v>62</v>
      </c>
      <c r="D217" s="2"/>
    </row>
    <row r="218" spans="1:4" x14ac:dyDescent="0.3">
      <c r="A218" t="s">
        <v>62</v>
      </c>
      <c r="D218" s="2"/>
    </row>
    <row r="219" spans="1:4" x14ac:dyDescent="0.3">
      <c r="A219" t="s">
        <v>37</v>
      </c>
      <c r="D219" s="2"/>
    </row>
    <row r="220" spans="1:4" x14ac:dyDescent="0.3">
      <c r="A220" t="s">
        <v>30</v>
      </c>
      <c r="D220" s="2"/>
    </row>
    <row r="221" spans="1:4" x14ac:dyDescent="0.3">
      <c r="A221" t="s">
        <v>30</v>
      </c>
      <c r="D221" s="2"/>
    </row>
    <row r="222" spans="1:4" x14ac:dyDescent="0.3">
      <c r="A222" t="s">
        <v>37</v>
      </c>
      <c r="D222" s="2"/>
    </row>
    <row r="223" spans="1:4" x14ac:dyDescent="0.3">
      <c r="A223" t="s">
        <v>30</v>
      </c>
      <c r="D223" s="2"/>
    </row>
    <row r="224" spans="1:4" x14ac:dyDescent="0.3">
      <c r="A224" t="s">
        <v>62</v>
      </c>
      <c r="D224" s="2"/>
    </row>
    <row r="225" spans="1:4" x14ac:dyDescent="0.3">
      <c r="A225" t="s">
        <v>37</v>
      </c>
      <c r="D225" s="2"/>
    </row>
    <row r="226" spans="1:4" x14ac:dyDescent="0.3">
      <c r="A226" t="s">
        <v>37</v>
      </c>
      <c r="D226" s="2"/>
    </row>
    <row r="227" spans="1:4" x14ac:dyDescent="0.3">
      <c r="A227" t="s">
        <v>30</v>
      </c>
      <c r="D227" s="2"/>
    </row>
    <row r="228" spans="1:4" x14ac:dyDescent="0.3">
      <c r="A228" t="s">
        <v>62</v>
      </c>
      <c r="D228" s="2"/>
    </row>
    <row r="229" spans="1:4" x14ac:dyDescent="0.3">
      <c r="A229" t="s">
        <v>62</v>
      </c>
      <c r="D229" s="2"/>
    </row>
    <row r="230" spans="1:4" x14ac:dyDescent="0.3">
      <c r="A230" t="s">
        <v>37</v>
      </c>
      <c r="D230" s="2"/>
    </row>
    <row r="231" spans="1:4" x14ac:dyDescent="0.3">
      <c r="A231" t="s">
        <v>37</v>
      </c>
      <c r="D231" s="2"/>
    </row>
    <row r="232" spans="1:4" x14ac:dyDescent="0.3">
      <c r="A232" t="s">
        <v>62</v>
      </c>
      <c r="D232" s="2"/>
    </row>
    <row r="233" spans="1:4" x14ac:dyDescent="0.3">
      <c r="A233" t="s">
        <v>30</v>
      </c>
      <c r="D233" s="2"/>
    </row>
    <row r="234" spans="1:4" x14ac:dyDescent="0.3">
      <c r="A234" t="s">
        <v>37</v>
      </c>
      <c r="D234" s="2"/>
    </row>
    <row r="235" spans="1:4" x14ac:dyDescent="0.3">
      <c r="A235" t="s">
        <v>30</v>
      </c>
      <c r="D235" s="2"/>
    </row>
    <row r="236" spans="1:4" x14ac:dyDescent="0.3">
      <c r="A236" t="s">
        <v>30</v>
      </c>
      <c r="D236" s="2"/>
    </row>
    <row r="237" spans="1:4" x14ac:dyDescent="0.3">
      <c r="A237" t="s">
        <v>37</v>
      </c>
      <c r="D237" s="2"/>
    </row>
    <row r="238" spans="1:4" x14ac:dyDescent="0.3">
      <c r="A238" t="s">
        <v>62</v>
      </c>
      <c r="D238" s="2"/>
    </row>
    <row r="239" spans="1:4" x14ac:dyDescent="0.3">
      <c r="A239" t="s">
        <v>30</v>
      </c>
      <c r="D239" s="2"/>
    </row>
    <row r="240" spans="1:4" x14ac:dyDescent="0.3">
      <c r="A240" t="s">
        <v>62</v>
      </c>
      <c r="D240" s="2"/>
    </row>
    <row r="241" spans="1:4" x14ac:dyDescent="0.3">
      <c r="A241" t="s">
        <v>37</v>
      </c>
      <c r="D241" s="2"/>
    </row>
    <row r="242" spans="1:4" x14ac:dyDescent="0.3">
      <c r="A242" t="s">
        <v>30</v>
      </c>
      <c r="D242" s="2"/>
    </row>
    <row r="243" spans="1:4" x14ac:dyDescent="0.3">
      <c r="A243" t="s">
        <v>62</v>
      </c>
      <c r="D243" s="2"/>
    </row>
    <row r="244" spans="1:4" x14ac:dyDescent="0.3">
      <c r="A244" t="s">
        <v>30</v>
      </c>
      <c r="D244" s="2"/>
    </row>
    <row r="245" spans="1:4" x14ac:dyDescent="0.3">
      <c r="A245" t="s">
        <v>62</v>
      </c>
      <c r="D245" s="2"/>
    </row>
    <row r="246" spans="1:4" x14ac:dyDescent="0.3">
      <c r="A246" t="s">
        <v>62</v>
      </c>
      <c r="D246" s="2"/>
    </row>
    <row r="247" spans="1:4" x14ac:dyDescent="0.3">
      <c r="A247" t="s">
        <v>62</v>
      </c>
      <c r="D247" s="2"/>
    </row>
    <row r="248" spans="1:4" x14ac:dyDescent="0.3">
      <c r="A248" t="s">
        <v>37</v>
      </c>
      <c r="D248" s="2"/>
    </row>
    <row r="249" spans="1:4" x14ac:dyDescent="0.3">
      <c r="A249" t="s">
        <v>62</v>
      </c>
      <c r="D249" s="2"/>
    </row>
    <row r="250" spans="1:4" x14ac:dyDescent="0.3">
      <c r="A250" t="s">
        <v>30</v>
      </c>
      <c r="D250" s="2"/>
    </row>
    <row r="251" spans="1:4" x14ac:dyDescent="0.3">
      <c r="A251" t="s">
        <v>30</v>
      </c>
      <c r="D251" s="2"/>
    </row>
    <row r="252" spans="1:4" x14ac:dyDescent="0.3">
      <c r="A252" t="s">
        <v>37</v>
      </c>
      <c r="D252" s="2"/>
    </row>
    <row r="253" spans="1:4" x14ac:dyDescent="0.3">
      <c r="A253" t="s">
        <v>62</v>
      </c>
      <c r="D253" s="2"/>
    </row>
    <row r="254" spans="1:4" x14ac:dyDescent="0.3">
      <c r="A254" t="s">
        <v>62</v>
      </c>
      <c r="D254" s="2"/>
    </row>
    <row r="255" spans="1:4" x14ac:dyDescent="0.3">
      <c r="A255" t="s">
        <v>30</v>
      </c>
      <c r="D255" s="2"/>
    </row>
    <row r="256" spans="1:4" x14ac:dyDescent="0.3">
      <c r="A256" t="s">
        <v>37</v>
      </c>
      <c r="D256" s="2"/>
    </row>
    <row r="257" spans="1:4" x14ac:dyDescent="0.3">
      <c r="A257" t="s">
        <v>30</v>
      </c>
      <c r="D257" s="2"/>
    </row>
    <row r="258" spans="1:4" x14ac:dyDescent="0.3">
      <c r="A258" t="s">
        <v>62</v>
      </c>
      <c r="D258" s="2"/>
    </row>
    <row r="259" spans="1:4" x14ac:dyDescent="0.3">
      <c r="A259" t="s">
        <v>30</v>
      </c>
      <c r="D259" s="2"/>
    </row>
    <row r="260" spans="1:4" x14ac:dyDescent="0.3">
      <c r="A260" t="s">
        <v>30</v>
      </c>
      <c r="D260" s="2"/>
    </row>
    <row r="261" spans="1:4" x14ac:dyDescent="0.3">
      <c r="A261" t="s">
        <v>30</v>
      </c>
      <c r="D261" s="2"/>
    </row>
    <row r="262" spans="1:4" x14ac:dyDescent="0.3">
      <c r="A262" t="s">
        <v>30</v>
      </c>
      <c r="D262" s="2"/>
    </row>
    <row r="263" spans="1:4" x14ac:dyDescent="0.3">
      <c r="A263" t="s">
        <v>62</v>
      </c>
      <c r="D263" s="2"/>
    </row>
    <row r="264" spans="1:4" x14ac:dyDescent="0.3">
      <c r="A264" t="s">
        <v>62</v>
      </c>
      <c r="D264" s="2"/>
    </row>
    <row r="265" spans="1:4" x14ac:dyDescent="0.3">
      <c r="A265" t="s">
        <v>30</v>
      </c>
      <c r="D265" s="2"/>
    </row>
    <row r="266" spans="1:4" x14ac:dyDescent="0.3">
      <c r="A266" t="s">
        <v>62</v>
      </c>
      <c r="D266" s="2"/>
    </row>
    <row r="267" spans="1:4" x14ac:dyDescent="0.3">
      <c r="A267" t="s">
        <v>62</v>
      </c>
      <c r="D267" s="2"/>
    </row>
    <row r="268" spans="1:4" x14ac:dyDescent="0.3">
      <c r="A268" t="s">
        <v>62</v>
      </c>
      <c r="D268" s="2"/>
    </row>
    <row r="269" spans="1:4" x14ac:dyDescent="0.3">
      <c r="A269" t="s">
        <v>30</v>
      </c>
      <c r="D269" s="2"/>
    </row>
    <row r="270" spans="1:4" x14ac:dyDescent="0.3">
      <c r="A270" t="s">
        <v>37</v>
      </c>
      <c r="D270" s="2"/>
    </row>
    <row r="271" spans="1:4" x14ac:dyDescent="0.3">
      <c r="A271" t="s">
        <v>37</v>
      </c>
      <c r="D271" s="2"/>
    </row>
    <row r="272" spans="1:4" x14ac:dyDescent="0.3">
      <c r="A272" t="s">
        <v>37</v>
      </c>
      <c r="D272" s="2"/>
    </row>
    <row r="273" spans="1:4" x14ac:dyDescent="0.3">
      <c r="A273" t="s">
        <v>37</v>
      </c>
      <c r="D273" s="2"/>
    </row>
    <row r="274" spans="1:4" x14ac:dyDescent="0.3">
      <c r="A274" t="s">
        <v>62</v>
      </c>
      <c r="D274" s="2"/>
    </row>
    <row r="275" spans="1:4" x14ac:dyDescent="0.3">
      <c r="A275" t="s">
        <v>62</v>
      </c>
      <c r="D275" s="2"/>
    </row>
    <row r="276" spans="1:4" x14ac:dyDescent="0.3">
      <c r="A276" t="s">
        <v>62</v>
      </c>
      <c r="D276" s="2"/>
    </row>
    <row r="277" spans="1:4" x14ac:dyDescent="0.3">
      <c r="A277" t="s">
        <v>30</v>
      </c>
      <c r="D277" s="2"/>
    </row>
    <row r="278" spans="1:4" x14ac:dyDescent="0.3">
      <c r="A278" t="s">
        <v>37</v>
      </c>
      <c r="D278" s="2"/>
    </row>
    <row r="279" spans="1:4" x14ac:dyDescent="0.3">
      <c r="A279" t="s">
        <v>30</v>
      </c>
      <c r="D279" s="2"/>
    </row>
    <row r="280" spans="1:4" x14ac:dyDescent="0.3">
      <c r="A280" t="s">
        <v>37</v>
      </c>
      <c r="D280" s="2"/>
    </row>
    <row r="281" spans="1:4" x14ac:dyDescent="0.3">
      <c r="A281" t="s">
        <v>30</v>
      </c>
      <c r="D281" s="2"/>
    </row>
    <row r="282" spans="1:4" x14ac:dyDescent="0.3">
      <c r="A282" t="s">
        <v>30</v>
      </c>
      <c r="D282" s="2"/>
    </row>
    <row r="283" spans="1:4" x14ac:dyDescent="0.3">
      <c r="A283" t="s">
        <v>30</v>
      </c>
      <c r="D283" s="2"/>
    </row>
    <row r="284" spans="1:4" x14ac:dyDescent="0.3">
      <c r="A284" t="s">
        <v>30</v>
      </c>
      <c r="D284" s="2"/>
    </row>
    <row r="285" spans="1:4" x14ac:dyDescent="0.3">
      <c r="A285" t="s">
        <v>30</v>
      </c>
      <c r="D285" s="2"/>
    </row>
    <row r="286" spans="1:4" x14ac:dyDescent="0.3">
      <c r="A286" t="s">
        <v>30</v>
      </c>
      <c r="D286" s="2"/>
    </row>
    <row r="287" spans="1:4" x14ac:dyDescent="0.3">
      <c r="A287" t="s">
        <v>37</v>
      </c>
      <c r="D287" s="2"/>
    </row>
    <row r="288" spans="1:4" x14ac:dyDescent="0.3">
      <c r="A288" t="s">
        <v>62</v>
      </c>
      <c r="D288" s="2"/>
    </row>
    <row r="289" spans="1:4" x14ac:dyDescent="0.3">
      <c r="A289" t="s">
        <v>30</v>
      </c>
      <c r="D289" s="2"/>
    </row>
    <row r="290" spans="1:4" x14ac:dyDescent="0.3">
      <c r="A290" t="s">
        <v>30</v>
      </c>
      <c r="D290" s="2"/>
    </row>
    <row r="291" spans="1:4" x14ac:dyDescent="0.3">
      <c r="A291" t="s">
        <v>37</v>
      </c>
      <c r="D291" s="2"/>
    </row>
    <row r="292" spans="1:4" x14ac:dyDescent="0.3">
      <c r="A292" t="s">
        <v>62</v>
      </c>
      <c r="D292" s="2"/>
    </row>
    <row r="293" spans="1:4" x14ac:dyDescent="0.3">
      <c r="A293" t="s">
        <v>37</v>
      </c>
      <c r="D293" s="2"/>
    </row>
    <row r="294" spans="1:4" x14ac:dyDescent="0.3">
      <c r="A294" t="s">
        <v>37</v>
      </c>
      <c r="D294" s="2"/>
    </row>
    <row r="295" spans="1:4" x14ac:dyDescent="0.3">
      <c r="A295" t="s">
        <v>62</v>
      </c>
      <c r="D295" s="2"/>
    </row>
    <row r="296" spans="1:4" x14ac:dyDescent="0.3">
      <c r="A296" t="s">
        <v>37</v>
      </c>
      <c r="D296" s="2"/>
    </row>
    <row r="297" spans="1:4" x14ac:dyDescent="0.3">
      <c r="A297" t="s">
        <v>30</v>
      </c>
      <c r="D297" s="2"/>
    </row>
    <row r="298" spans="1:4" x14ac:dyDescent="0.3">
      <c r="A298" t="s">
        <v>62</v>
      </c>
      <c r="D298" s="2"/>
    </row>
    <row r="299" spans="1:4" x14ac:dyDescent="0.3">
      <c r="A299" t="s">
        <v>30</v>
      </c>
      <c r="D299" s="2"/>
    </row>
    <row r="300" spans="1:4" x14ac:dyDescent="0.3">
      <c r="A300" t="s">
        <v>30</v>
      </c>
      <c r="D300" s="2"/>
    </row>
    <row r="301" spans="1:4" x14ac:dyDescent="0.3">
      <c r="A301" t="s">
        <v>62</v>
      </c>
      <c r="D301" s="2"/>
    </row>
    <row r="314" spans="1:1" x14ac:dyDescent="0.3">
      <c r="A314" t="s">
        <v>616</v>
      </c>
    </row>
    <row r="347" spans="1:1" x14ac:dyDescent="0.3">
      <c r="A347" t="s">
        <v>615</v>
      </c>
    </row>
    <row r="382" spans="1:1" x14ac:dyDescent="0.3">
      <c r="A382" t="s">
        <v>30</v>
      </c>
    </row>
    <row r="384" spans="1:1" x14ac:dyDescent="0.3">
      <c r="A384" t="s">
        <v>30</v>
      </c>
    </row>
    <row r="390" spans="1:1" x14ac:dyDescent="0.3">
      <c r="A390" t="s">
        <v>607</v>
      </c>
    </row>
    <row r="392" spans="1:1" x14ac:dyDescent="0.3">
      <c r="A392" t="s">
        <v>615</v>
      </c>
    </row>
    <row r="400" spans="1:1" x14ac:dyDescent="0.3">
      <c r="A400" t="s">
        <v>607</v>
      </c>
    </row>
    <row r="408" spans="1:1" x14ac:dyDescent="0.3">
      <c r="A408" t="s">
        <v>30</v>
      </c>
    </row>
    <row r="419" spans="1:1" x14ac:dyDescent="0.3">
      <c r="A419" t="s">
        <v>615</v>
      </c>
    </row>
    <row r="431" spans="1:1" x14ac:dyDescent="0.3">
      <c r="A431" t="s">
        <v>615</v>
      </c>
    </row>
    <row r="439" spans="1:1" x14ac:dyDescent="0.3">
      <c r="A439" t="s">
        <v>37</v>
      </c>
    </row>
    <row r="451" spans="1:1" x14ac:dyDescent="0.3">
      <c r="A451" t="s">
        <v>607</v>
      </c>
    </row>
    <row r="459" spans="1:1" x14ac:dyDescent="0.3">
      <c r="A459" t="s">
        <v>607</v>
      </c>
    </row>
    <row r="486" spans="1:1" x14ac:dyDescent="0.3">
      <c r="A486" t="s">
        <v>615</v>
      </c>
    </row>
    <row r="494" spans="1:1" x14ac:dyDescent="0.3">
      <c r="A494" t="s">
        <v>37</v>
      </c>
    </row>
    <row r="496" spans="1:1" x14ac:dyDescent="0.3">
      <c r="A496" t="s">
        <v>615</v>
      </c>
    </row>
    <row r="501" spans="1:1" x14ac:dyDescent="0.3">
      <c r="A501" t="s">
        <v>30</v>
      </c>
    </row>
    <row r="504" spans="1:1" x14ac:dyDescent="0.3">
      <c r="A504" t="s">
        <v>30</v>
      </c>
    </row>
    <row r="512" spans="1:1" x14ac:dyDescent="0.3">
      <c r="A512" t="s">
        <v>37</v>
      </c>
    </row>
    <row r="513" spans="1:1" x14ac:dyDescent="0.3">
      <c r="A513" t="s">
        <v>30</v>
      </c>
    </row>
    <row r="515" spans="1:1" x14ac:dyDescent="0.3">
      <c r="A515" t="s">
        <v>615</v>
      </c>
    </row>
    <row r="526" spans="1:1" x14ac:dyDescent="0.3">
      <c r="A526" t="s">
        <v>37</v>
      </c>
    </row>
    <row r="534" spans="1:1" x14ac:dyDescent="0.3">
      <c r="A534" t="s">
        <v>615</v>
      </c>
    </row>
    <row r="536" spans="1:1" x14ac:dyDescent="0.3">
      <c r="A536" t="s">
        <v>616</v>
      </c>
    </row>
    <row r="571" spans="1:1" x14ac:dyDescent="0.3">
      <c r="A571" t="s">
        <v>30</v>
      </c>
    </row>
    <row r="572" spans="1:1" x14ac:dyDescent="0.3">
      <c r="A572" t="s">
        <v>616</v>
      </c>
    </row>
    <row r="585" spans="1:1" x14ac:dyDescent="0.3">
      <c r="A585" t="s">
        <v>615</v>
      </c>
    </row>
    <row r="590" spans="1:1" x14ac:dyDescent="0.3">
      <c r="A590" t="s">
        <v>607</v>
      </c>
    </row>
    <row r="671" spans="1:1" x14ac:dyDescent="0.3">
      <c r="A671" t="s">
        <v>615</v>
      </c>
    </row>
    <row r="673" spans="1:1" x14ac:dyDescent="0.3">
      <c r="A673" t="s">
        <v>615</v>
      </c>
    </row>
    <row r="697" spans="1:1" x14ac:dyDescent="0.3">
      <c r="A697" t="s">
        <v>615</v>
      </c>
    </row>
    <row r="708" spans="1:1" x14ac:dyDescent="0.3">
      <c r="A708" t="s">
        <v>37</v>
      </c>
    </row>
    <row r="728" spans="1:1" x14ac:dyDescent="0.3">
      <c r="A728" t="s">
        <v>616</v>
      </c>
    </row>
    <row r="783" spans="1:1" x14ac:dyDescent="0.3">
      <c r="A783" t="s">
        <v>616</v>
      </c>
    </row>
    <row r="790" spans="1:1" x14ac:dyDescent="0.3">
      <c r="A790" t="s">
        <v>615</v>
      </c>
    </row>
    <row r="793" spans="1:1" x14ac:dyDescent="0.3">
      <c r="A793" t="s">
        <v>615</v>
      </c>
    </row>
    <row r="801" spans="1:1" x14ac:dyDescent="0.3">
      <c r="A801" t="s">
        <v>616</v>
      </c>
    </row>
    <row r="802" spans="1:1" x14ac:dyDescent="0.3">
      <c r="A802" t="s">
        <v>615</v>
      </c>
    </row>
    <row r="815" spans="1:1" x14ac:dyDescent="0.3">
      <c r="A815" t="s">
        <v>616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A77E9B-F157-43CC-A939-3FCBD7FE84F4}">
  <dimension ref="A3:I8"/>
  <sheetViews>
    <sheetView topLeftCell="B1" workbookViewId="0">
      <selection activeCell="K14" sqref="K14"/>
    </sheetView>
  </sheetViews>
  <sheetFormatPr defaultRowHeight="14.4" x14ac:dyDescent="0.3"/>
  <cols>
    <col min="1" max="1" width="10.77734375" bestFit="1" customWidth="1"/>
    <col min="2" max="2" width="25.77734375" style="38" bestFit="1" customWidth="1"/>
    <col min="4" max="4" width="10.77734375" bestFit="1" customWidth="1"/>
    <col min="5" max="5" width="29" bestFit="1" customWidth="1"/>
    <col min="7" max="7" width="12.5546875" bestFit="1" customWidth="1"/>
    <col min="8" max="8" width="26.33203125" bestFit="1" customWidth="1"/>
    <col min="9" max="9" width="16.21875" bestFit="1" customWidth="1"/>
  </cols>
  <sheetData>
    <row r="3" spans="1:9" x14ac:dyDescent="0.3">
      <c r="A3" s="9" t="s">
        <v>1</v>
      </c>
      <c r="B3" s="38" t="s">
        <v>626</v>
      </c>
      <c r="D3" s="9" t="s">
        <v>1</v>
      </c>
      <c r="E3" t="s">
        <v>637</v>
      </c>
      <c r="G3" s="9" t="s">
        <v>624</v>
      </c>
      <c r="H3" t="s">
        <v>639</v>
      </c>
      <c r="I3" t="s">
        <v>638</v>
      </c>
    </row>
    <row r="4" spans="1:9" x14ac:dyDescent="0.3">
      <c r="A4" s="10" t="s">
        <v>33</v>
      </c>
      <c r="B4" s="38">
        <v>0.19329257693923488</v>
      </c>
      <c r="D4" s="10" t="s">
        <v>43</v>
      </c>
      <c r="E4" s="38">
        <v>5.4649906832972654E-3</v>
      </c>
      <c r="G4" s="10" t="s">
        <v>43</v>
      </c>
      <c r="H4">
        <v>5.6486000000000001</v>
      </c>
      <c r="I4">
        <v>1379539</v>
      </c>
    </row>
    <row r="5" spans="1:9" x14ac:dyDescent="0.3">
      <c r="A5" s="10" t="s">
        <v>14</v>
      </c>
      <c r="B5" s="38">
        <v>0.14368407434207892</v>
      </c>
      <c r="D5" s="10" t="s">
        <v>33</v>
      </c>
      <c r="E5" s="38">
        <v>5.7625321264951823E-3</v>
      </c>
      <c r="G5" s="10" t="s">
        <v>33</v>
      </c>
      <c r="H5">
        <v>5.7156000000000002</v>
      </c>
      <c r="I5">
        <v>1164373</v>
      </c>
    </row>
    <row r="6" spans="1:9" x14ac:dyDescent="0.3">
      <c r="A6" s="10" t="s">
        <v>27</v>
      </c>
      <c r="B6" s="38">
        <v>0.13118493770753806</v>
      </c>
      <c r="D6" s="10" t="s">
        <v>14</v>
      </c>
      <c r="E6" s="38">
        <v>9.2800256766213396E-3</v>
      </c>
      <c r="G6" s="10" t="s">
        <v>14</v>
      </c>
      <c r="H6">
        <v>5.6558000000000002</v>
      </c>
      <c r="I6">
        <v>1060357</v>
      </c>
    </row>
    <row r="7" spans="1:9" x14ac:dyDescent="0.3">
      <c r="A7" s="10" t="s">
        <v>43</v>
      </c>
      <c r="B7" s="38">
        <v>0.12197289956132547</v>
      </c>
      <c r="D7" s="10" t="s">
        <v>27</v>
      </c>
      <c r="E7" s="38">
        <v>9.021066631336009E-3</v>
      </c>
      <c r="G7" s="10" t="s">
        <v>27</v>
      </c>
      <c r="H7">
        <v>5.5587999999999997</v>
      </c>
      <c r="I7">
        <v>1228647</v>
      </c>
    </row>
    <row r="8" spans="1:9" x14ac:dyDescent="0.3">
      <c r="A8" s="10" t="s">
        <v>625</v>
      </c>
      <c r="B8" s="38">
        <v>0.14828272479852853</v>
      </c>
      <c r="D8" s="10" t="s">
        <v>625</v>
      </c>
      <c r="E8" s="38">
        <v>7.3821537794374484E-3</v>
      </c>
      <c r="G8" s="10" t="s">
        <v>625</v>
      </c>
      <c r="H8">
        <v>5.6446999999999994</v>
      </c>
      <c r="I8">
        <v>4832916</v>
      </c>
    </row>
  </sheetData>
  <conditionalFormatting pivot="1" sqref="B4:B7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drawing r:id="rId4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D8FC38-1781-40E8-A62C-8640C4077D4F}">
  <dimension ref="A1:R340"/>
  <sheetViews>
    <sheetView topLeftCell="J1" workbookViewId="0">
      <selection activeCell="Q18" sqref="Q18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5.441406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23.21875" bestFit="1" customWidth="1"/>
    <col min="13" max="13" width="18.109375" bestFit="1" customWidth="1"/>
    <col min="14" max="14" width="14.5546875" bestFit="1" customWidth="1"/>
    <col min="15" max="15" width="20.21875" customWidth="1"/>
    <col min="16" max="16" width="9.109375" customWidth="1"/>
    <col min="17" max="17" width="20.21875" bestFit="1" customWidth="1"/>
    <col min="18" max="18" width="15.33203125" style="7" bestFit="1" customWidth="1"/>
  </cols>
  <sheetData>
    <row r="1" spans="1:1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618</v>
      </c>
      <c r="M1" t="s">
        <v>617</v>
      </c>
      <c r="N1" t="s">
        <v>654</v>
      </c>
      <c r="O1" t="s">
        <v>619</v>
      </c>
    </row>
    <row r="2" spans="1:18" x14ac:dyDescent="0.3">
      <c r="A2" t="s">
        <v>13</v>
      </c>
      <c r="B2" t="s">
        <v>14</v>
      </c>
      <c r="C2" s="6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19</v>
      </c>
      <c r="M2">
        <v>9.0759753593429152E-2</v>
      </c>
      <c r="N2" t="s">
        <v>612</v>
      </c>
      <c r="O2" t="s">
        <v>62</v>
      </c>
    </row>
    <row r="3" spans="1:18" x14ac:dyDescent="0.3">
      <c r="A3" t="s">
        <v>13</v>
      </c>
      <c r="B3" t="s">
        <v>14</v>
      </c>
      <c r="C3" s="6">
        <v>45649</v>
      </c>
      <c r="D3" t="s">
        <v>16</v>
      </c>
      <c r="E3" t="s">
        <v>17</v>
      </c>
      <c r="F3">
        <v>1461</v>
      </c>
      <c r="G3">
        <v>184</v>
      </c>
      <c r="H3">
        <v>344</v>
      </c>
      <c r="I3">
        <v>21915</v>
      </c>
      <c r="J3">
        <v>21675</v>
      </c>
      <c r="K3">
        <v>15</v>
      </c>
      <c r="L3" t="s">
        <v>19</v>
      </c>
      <c r="M3">
        <v>9.0759753593429152E-2</v>
      </c>
      <c r="N3" t="s">
        <v>613</v>
      </c>
      <c r="O3" t="s">
        <v>615</v>
      </c>
      <c r="Q3" s="9" t="s">
        <v>624</v>
      </c>
      <c r="R3" s="7" t="s">
        <v>634</v>
      </c>
    </row>
    <row r="4" spans="1:18" x14ac:dyDescent="0.3">
      <c r="A4" t="s">
        <v>20</v>
      </c>
      <c r="B4" t="s">
        <v>14</v>
      </c>
      <c r="C4" s="6">
        <v>45750</v>
      </c>
      <c r="D4" t="s">
        <v>22</v>
      </c>
      <c r="E4" t="s">
        <v>23</v>
      </c>
      <c r="F4">
        <v>4054</v>
      </c>
      <c r="G4">
        <v>389</v>
      </c>
      <c r="H4">
        <v>493</v>
      </c>
      <c r="I4">
        <v>64864</v>
      </c>
      <c r="J4">
        <v>64383</v>
      </c>
      <c r="K4">
        <v>117</v>
      </c>
      <c r="L4" t="s">
        <v>25</v>
      </c>
      <c r="M4">
        <v>7.6097681302417369E-2</v>
      </c>
      <c r="N4" t="s">
        <v>612</v>
      </c>
      <c r="O4" t="s">
        <v>30</v>
      </c>
      <c r="Q4" s="10" t="s">
        <v>615</v>
      </c>
      <c r="R4" s="7">
        <v>161.19999999999999</v>
      </c>
    </row>
    <row r="5" spans="1:18" x14ac:dyDescent="0.3">
      <c r="A5" t="s">
        <v>20</v>
      </c>
      <c r="B5" t="s">
        <v>14</v>
      </c>
      <c r="C5" s="6">
        <v>45750</v>
      </c>
      <c r="D5" t="s">
        <v>22</v>
      </c>
      <c r="E5" t="s">
        <v>23</v>
      </c>
      <c r="F5">
        <v>4054</v>
      </c>
      <c r="G5">
        <v>389</v>
      </c>
      <c r="H5">
        <v>493</v>
      </c>
      <c r="I5">
        <v>64864</v>
      </c>
      <c r="J5">
        <v>64383</v>
      </c>
      <c r="K5">
        <v>117</v>
      </c>
      <c r="L5" t="s">
        <v>25</v>
      </c>
      <c r="M5">
        <v>7.6097681302417369E-2</v>
      </c>
      <c r="N5" t="s">
        <v>613</v>
      </c>
      <c r="O5" t="s">
        <v>616</v>
      </c>
      <c r="Q5" s="10" t="s">
        <v>616</v>
      </c>
      <c r="R5" s="7">
        <v>114.85714285714286</v>
      </c>
    </row>
    <row r="6" spans="1:18" x14ac:dyDescent="0.3">
      <c r="A6" t="s">
        <v>26</v>
      </c>
      <c r="B6" t="s">
        <v>27</v>
      </c>
      <c r="C6" s="6">
        <v>45789</v>
      </c>
      <c r="D6" t="s">
        <v>16</v>
      </c>
      <c r="E6" t="s">
        <v>29</v>
      </c>
      <c r="F6">
        <v>2795</v>
      </c>
      <c r="G6">
        <v>105</v>
      </c>
      <c r="H6">
        <v>49</v>
      </c>
      <c r="I6">
        <v>53105</v>
      </c>
      <c r="J6">
        <v>52307</v>
      </c>
      <c r="K6">
        <v>204</v>
      </c>
      <c r="L6" t="s">
        <v>31</v>
      </c>
      <c r="M6">
        <v>5.5531494209584788E-2</v>
      </c>
      <c r="N6" t="s">
        <v>612</v>
      </c>
      <c r="O6" t="s">
        <v>30</v>
      </c>
      <c r="Q6" s="10" t="s">
        <v>37</v>
      </c>
      <c r="R6" s="7">
        <v>151.52941176470588</v>
      </c>
    </row>
    <row r="7" spans="1:18" x14ac:dyDescent="0.3">
      <c r="A7" t="s">
        <v>32</v>
      </c>
      <c r="B7" t="s">
        <v>33</v>
      </c>
      <c r="C7" s="6">
        <v>45516</v>
      </c>
      <c r="D7" t="s">
        <v>35</v>
      </c>
      <c r="E7" t="s">
        <v>36</v>
      </c>
      <c r="F7">
        <v>2404</v>
      </c>
      <c r="G7">
        <v>363</v>
      </c>
      <c r="H7">
        <v>138</v>
      </c>
      <c r="I7">
        <v>19232</v>
      </c>
      <c r="J7">
        <v>18636</v>
      </c>
      <c r="K7">
        <v>128</v>
      </c>
      <c r="L7" t="s">
        <v>38</v>
      </c>
      <c r="M7">
        <v>0.15105033277870217</v>
      </c>
      <c r="N7" t="s">
        <v>612</v>
      </c>
      <c r="O7" t="s">
        <v>37</v>
      </c>
      <c r="Q7" s="10" t="s">
        <v>62</v>
      </c>
      <c r="R7" s="7">
        <v>144.03883495145632</v>
      </c>
    </row>
    <row r="8" spans="1:18" x14ac:dyDescent="0.3">
      <c r="A8" t="s">
        <v>39</v>
      </c>
      <c r="B8" t="s">
        <v>27</v>
      </c>
      <c r="C8" s="6">
        <v>45469</v>
      </c>
      <c r="D8" t="s">
        <v>16</v>
      </c>
      <c r="E8" t="s">
        <v>29</v>
      </c>
      <c r="F8">
        <v>3557</v>
      </c>
      <c r="G8">
        <v>687</v>
      </c>
      <c r="H8">
        <v>424</v>
      </c>
      <c r="I8">
        <v>71140</v>
      </c>
      <c r="J8">
        <v>70701</v>
      </c>
      <c r="K8">
        <v>224</v>
      </c>
      <c r="L8" t="s">
        <v>19</v>
      </c>
      <c r="M8">
        <v>6.5617093055946027E-2</v>
      </c>
      <c r="N8" t="s">
        <v>612</v>
      </c>
      <c r="O8" t="s">
        <v>37</v>
      </c>
      <c r="Q8" s="10" t="s">
        <v>607</v>
      </c>
      <c r="R8" s="7">
        <v>111.8</v>
      </c>
    </row>
    <row r="9" spans="1:18" x14ac:dyDescent="0.3">
      <c r="A9" t="s">
        <v>39</v>
      </c>
      <c r="B9" t="s">
        <v>27</v>
      </c>
      <c r="C9" s="6">
        <v>45469</v>
      </c>
      <c r="D9" t="s">
        <v>16</v>
      </c>
      <c r="E9" t="s">
        <v>29</v>
      </c>
      <c r="F9">
        <v>3557</v>
      </c>
      <c r="G9">
        <v>687</v>
      </c>
      <c r="H9">
        <v>424</v>
      </c>
      <c r="I9">
        <v>71140</v>
      </c>
      <c r="J9">
        <v>70701</v>
      </c>
      <c r="K9">
        <v>224</v>
      </c>
      <c r="L9" t="s">
        <v>19</v>
      </c>
      <c r="M9">
        <v>6.5617093055946027E-2</v>
      </c>
      <c r="N9" t="s">
        <v>613</v>
      </c>
      <c r="O9" t="s">
        <v>30</v>
      </c>
      <c r="Q9" s="10" t="s">
        <v>30</v>
      </c>
      <c r="R9" s="7">
        <v>158.65420560747663</v>
      </c>
    </row>
    <row r="10" spans="1:18" x14ac:dyDescent="0.3">
      <c r="A10" t="s">
        <v>42</v>
      </c>
      <c r="B10" t="s">
        <v>43</v>
      </c>
      <c r="C10" s="6">
        <v>45596</v>
      </c>
      <c r="D10" t="s">
        <v>45</v>
      </c>
      <c r="E10" t="s">
        <v>46</v>
      </c>
      <c r="F10">
        <v>2945</v>
      </c>
      <c r="G10">
        <v>930</v>
      </c>
      <c r="H10">
        <v>355</v>
      </c>
      <c r="I10">
        <v>23560</v>
      </c>
      <c r="J10">
        <v>23275</v>
      </c>
      <c r="K10">
        <v>256</v>
      </c>
      <c r="L10" t="s">
        <v>25</v>
      </c>
      <c r="M10">
        <v>0.17954159592529711</v>
      </c>
      <c r="N10" t="s">
        <v>612</v>
      </c>
      <c r="O10" t="s">
        <v>30</v>
      </c>
      <c r="Q10" s="10" t="s">
        <v>625</v>
      </c>
      <c r="R10" s="7">
        <v>150.58702064896755</v>
      </c>
    </row>
    <row r="11" spans="1:18" x14ac:dyDescent="0.3">
      <c r="A11" t="s">
        <v>47</v>
      </c>
      <c r="B11" t="s">
        <v>14</v>
      </c>
      <c r="C11" s="6">
        <v>45467</v>
      </c>
      <c r="D11" t="s">
        <v>45</v>
      </c>
      <c r="E11" t="s">
        <v>49</v>
      </c>
      <c r="F11">
        <v>3860</v>
      </c>
      <c r="G11">
        <v>201</v>
      </c>
      <c r="H11">
        <v>279</v>
      </c>
      <c r="I11">
        <v>61760</v>
      </c>
      <c r="J11">
        <v>61660</v>
      </c>
      <c r="K11">
        <v>235</v>
      </c>
      <c r="L11" t="s">
        <v>25</v>
      </c>
      <c r="M11">
        <v>7.0272020725388601E-2</v>
      </c>
      <c r="N11" t="s">
        <v>612</v>
      </c>
      <c r="O11" t="s">
        <v>30</v>
      </c>
    </row>
    <row r="12" spans="1:18" x14ac:dyDescent="0.3">
      <c r="A12" t="s">
        <v>50</v>
      </c>
      <c r="B12" t="s">
        <v>27</v>
      </c>
      <c r="C12" s="6">
        <v>45486</v>
      </c>
      <c r="D12" t="s">
        <v>52</v>
      </c>
      <c r="E12" t="s">
        <v>53</v>
      </c>
      <c r="F12">
        <v>3929</v>
      </c>
      <c r="G12">
        <v>262</v>
      </c>
      <c r="H12">
        <v>278</v>
      </c>
      <c r="I12">
        <v>43219</v>
      </c>
      <c r="J12">
        <v>42841</v>
      </c>
      <c r="K12">
        <v>39</v>
      </c>
      <c r="L12" t="s">
        <v>38</v>
      </c>
      <c r="M12">
        <v>0.10340359564080613</v>
      </c>
      <c r="N12" t="s">
        <v>612</v>
      </c>
      <c r="O12" t="s">
        <v>37</v>
      </c>
    </row>
    <row r="13" spans="1:18" x14ac:dyDescent="0.3">
      <c r="A13" t="s">
        <v>54</v>
      </c>
      <c r="B13" t="s">
        <v>43</v>
      </c>
      <c r="C13" s="6">
        <v>45534</v>
      </c>
      <c r="D13" t="s">
        <v>22</v>
      </c>
      <c r="E13" t="s">
        <v>56</v>
      </c>
      <c r="F13">
        <v>3784</v>
      </c>
      <c r="G13">
        <v>808</v>
      </c>
      <c r="H13">
        <v>404</v>
      </c>
      <c r="I13">
        <v>56760</v>
      </c>
      <c r="J13">
        <v>56343</v>
      </c>
      <c r="K13">
        <v>131</v>
      </c>
      <c r="L13" t="s">
        <v>25</v>
      </c>
      <c r="M13">
        <v>8.8019732205778717E-2</v>
      </c>
      <c r="N13" t="s">
        <v>612</v>
      </c>
      <c r="O13" t="s">
        <v>30</v>
      </c>
    </row>
    <row r="14" spans="1:18" x14ac:dyDescent="0.3">
      <c r="A14" t="s">
        <v>57</v>
      </c>
      <c r="B14" t="s">
        <v>43</v>
      </c>
      <c r="C14" s="6">
        <v>45727</v>
      </c>
      <c r="D14" t="s">
        <v>52</v>
      </c>
      <c r="E14" t="s">
        <v>59</v>
      </c>
      <c r="F14">
        <v>4241</v>
      </c>
      <c r="G14">
        <v>902</v>
      </c>
      <c r="H14">
        <v>47</v>
      </c>
      <c r="I14">
        <v>72097</v>
      </c>
      <c r="J14">
        <v>71598</v>
      </c>
      <c r="K14">
        <v>167</v>
      </c>
      <c r="L14" t="s">
        <v>25</v>
      </c>
      <c r="M14">
        <v>7.198635172059864E-2</v>
      </c>
      <c r="N14" t="s">
        <v>612</v>
      </c>
      <c r="O14" t="s">
        <v>30</v>
      </c>
    </row>
    <row r="15" spans="1:18" x14ac:dyDescent="0.3">
      <c r="A15" t="s">
        <v>60</v>
      </c>
      <c r="B15" t="s">
        <v>33</v>
      </c>
      <c r="C15" s="6">
        <v>45690</v>
      </c>
      <c r="D15" t="s">
        <v>35</v>
      </c>
      <c r="E15" t="s">
        <v>36</v>
      </c>
      <c r="F15">
        <v>1792</v>
      </c>
      <c r="G15">
        <v>614</v>
      </c>
      <c r="H15">
        <v>497</v>
      </c>
      <c r="I15">
        <v>25088</v>
      </c>
      <c r="J15">
        <v>24675</v>
      </c>
      <c r="K15">
        <v>65</v>
      </c>
      <c r="L15" t="s">
        <v>38</v>
      </c>
      <c r="M15">
        <v>0.11571269132653061</v>
      </c>
      <c r="N15" t="s">
        <v>612</v>
      </c>
      <c r="O15" t="s">
        <v>62</v>
      </c>
    </row>
    <row r="16" spans="1:18" x14ac:dyDescent="0.3">
      <c r="A16" t="s">
        <v>63</v>
      </c>
      <c r="B16" t="s">
        <v>43</v>
      </c>
      <c r="C16" s="6">
        <v>45494</v>
      </c>
      <c r="D16" t="s">
        <v>16</v>
      </c>
      <c r="E16" t="s">
        <v>65</v>
      </c>
      <c r="F16">
        <v>1946</v>
      </c>
      <c r="G16">
        <v>686</v>
      </c>
      <c r="H16">
        <v>377</v>
      </c>
      <c r="I16">
        <v>23352</v>
      </c>
      <c r="J16">
        <v>22982</v>
      </c>
      <c r="K16">
        <v>213</v>
      </c>
      <c r="L16" t="s">
        <v>31</v>
      </c>
      <c r="M16">
        <v>0.12885405960945528</v>
      </c>
      <c r="N16" t="s">
        <v>612</v>
      </c>
      <c r="O16" t="s">
        <v>62</v>
      </c>
    </row>
    <row r="17" spans="1:15" x14ac:dyDescent="0.3">
      <c r="A17" t="s">
        <v>66</v>
      </c>
      <c r="B17" t="s">
        <v>27</v>
      </c>
      <c r="C17" s="6">
        <v>45614</v>
      </c>
      <c r="D17" t="s">
        <v>45</v>
      </c>
      <c r="E17" t="s">
        <v>68</v>
      </c>
      <c r="F17">
        <v>1171</v>
      </c>
      <c r="G17">
        <v>286</v>
      </c>
      <c r="H17">
        <v>231</v>
      </c>
      <c r="I17">
        <v>22249</v>
      </c>
      <c r="J17">
        <v>21282</v>
      </c>
      <c r="K17">
        <v>114</v>
      </c>
      <c r="L17" t="s">
        <v>19</v>
      </c>
      <c r="M17">
        <v>7.5868578363072495E-2</v>
      </c>
      <c r="N17" t="s">
        <v>612</v>
      </c>
      <c r="O17" t="s">
        <v>37</v>
      </c>
    </row>
    <row r="18" spans="1:15" x14ac:dyDescent="0.3">
      <c r="A18" t="s">
        <v>69</v>
      </c>
      <c r="B18" t="s">
        <v>43</v>
      </c>
      <c r="C18" s="6">
        <v>45704</v>
      </c>
      <c r="D18" t="s">
        <v>35</v>
      </c>
      <c r="E18" t="s">
        <v>71</v>
      </c>
      <c r="F18">
        <v>4242</v>
      </c>
      <c r="G18">
        <v>555</v>
      </c>
      <c r="H18">
        <v>131</v>
      </c>
      <c r="I18">
        <v>33936</v>
      </c>
      <c r="J18">
        <v>33802</v>
      </c>
      <c r="K18">
        <v>265</v>
      </c>
      <c r="L18" t="s">
        <v>38</v>
      </c>
      <c r="M18">
        <v>0.14521452145214522</v>
      </c>
      <c r="N18" t="s">
        <v>612</v>
      </c>
      <c r="O18" t="s">
        <v>62</v>
      </c>
    </row>
    <row r="19" spans="1:15" x14ac:dyDescent="0.3">
      <c r="A19" t="s">
        <v>72</v>
      </c>
      <c r="B19" t="s">
        <v>43</v>
      </c>
      <c r="C19" s="6">
        <v>45589</v>
      </c>
      <c r="D19" t="s">
        <v>74</v>
      </c>
      <c r="E19" t="s">
        <v>75</v>
      </c>
      <c r="F19">
        <v>3888</v>
      </c>
      <c r="G19">
        <v>604</v>
      </c>
      <c r="H19">
        <v>128</v>
      </c>
      <c r="I19">
        <v>77760</v>
      </c>
      <c r="J19">
        <v>77167</v>
      </c>
      <c r="K19">
        <v>20</v>
      </c>
      <c r="L19" t="s">
        <v>19</v>
      </c>
      <c r="M19">
        <v>5.941358024691358E-2</v>
      </c>
      <c r="N19" t="s">
        <v>612</v>
      </c>
      <c r="O19" t="s">
        <v>62</v>
      </c>
    </row>
    <row r="20" spans="1:15" x14ac:dyDescent="0.3">
      <c r="A20" t="s">
        <v>76</v>
      </c>
      <c r="B20" t="s">
        <v>43</v>
      </c>
      <c r="C20" s="6">
        <v>45530</v>
      </c>
      <c r="D20" t="s">
        <v>22</v>
      </c>
      <c r="E20" t="s">
        <v>56</v>
      </c>
      <c r="F20">
        <v>3452</v>
      </c>
      <c r="G20">
        <v>377</v>
      </c>
      <c r="H20">
        <v>360</v>
      </c>
      <c r="I20">
        <v>55232</v>
      </c>
      <c r="J20">
        <v>55075</v>
      </c>
      <c r="K20">
        <v>87</v>
      </c>
      <c r="L20" t="s">
        <v>31</v>
      </c>
      <c r="M20">
        <v>7.5843713789107758E-2</v>
      </c>
      <c r="N20" t="s">
        <v>612</v>
      </c>
      <c r="O20" t="s">
        <v>62</v>
      </c>
    </row>
    <row r="21" spans="1:15" x14ac:dyDescent="0.3">
      <c r="A21" t="s">
        <v>78</v>
      </c>
      <c r="B21" t="s">
        <v>43</v>
      </c>
      <c r="C21" s="6">
        <v>45782</v>
      </c>
      <c r="D21" t="s">
        <v>22</v>
      </c>
      <c r="E21" t="s">
        <v>56</v>
      </c>
      <c r="F21">
        <v>4441</v>
      </c>
      <c r="G21">
        <v>511</v>
      </c>
      <c r="H21">
        <v>70</v>
      </c>
      <c r="I21">
        <v>53292</v>
      </c>
      <c r="J21">
        <v>53082</v>
      </c>
      <c r="K21">
        <v>159</v>
      </c>
      <c r="L21" t="s">
        <v>38</v>
      </c>
      <c r="M21">
        <v>9.4235532537716729E-2</v>
      </c>
      <c r="N21" t="s">
        <v>612</v>
      </c>
      <c r="O21" t="s">
        <v>37</v>
      </c>
    </row>
    <row r="22" spans="1:15" x14ac:dyDescent="0.3">
      <c r="A22" t="s">
        <v>80</v>
      </c>
      <c r="B22" t="s">
        <v>33</v>
      </c>
      <c r="C22" s="6">
        <v>45523</v>
      </c>
      <c r="D22" t="s">
        <v>16</v>
      </c>
      <c r="E22" t="s">
        <v>82</v>
      </c>
      <c r="F22">
        <v>3000</v>
      </c>
      <c r="G22">
        <v>382</v>
      </c>
      <c r="H22">
        <v>325</v>
      </c>
      <c r="I22">
        <v>36000</v>
      </c>
      <c r="J22">
        <v>35819</v>
      </c>
      <c r="K22">
        <v>19</v>
      </c>
      <c r="L22" t="s">
        <v>19</v>
      </c>
      <c r="M22">
        <v>0.10297222222222223</v>
      </c>
      <c r="N22" t="s">
        <v>612</v>
      </c>
      <c r="O22" t="s">
        <v>62</v>
      </c>
    </row>
    <row r="23" spans="1:15" x14ac:dyDescent="0.3">
      <c r="A23" t="s">
        <v>83</v>
      </c>
      <c r="B23" t="s">
        <v>33</v>
      </c>
      <c r="C23" s="6">
        <v>45466</v>
      </c>
      <c r="D23" t="s">
        <v>74</v>
      </c>
      <c r="E23" t="s">
        <v>85</v>
      </c>
      <c r="F23">
        <v>1071</v>
      </c>
      <c r="G23">
        <v>519</v>
      </c>
      <c r="H23">
        <v>22</v>
      </c>
      <c r="I23">
        <v>16065</v>
      </c>
      <c r="J23">
        <v>15865</v>
      </c>
      <c r="K23">
        <v>103</v>
      </c>
      <c r="L23" t="s">
        <v>38</v>
      </c>
      <c r="M23">
        <v>0.10034235916588857</v>
      </c>
      <c r="N23" t="s">
        <v>612</v>
      </c>
      <c r="O23" t="s">
        <v>30</v>
      </c>
    </row>
    <row r="24" spans="1:15" x14ac:dyDescent="0.3">
      <c r="A24" t="s">
        <v>86</v>
      </c>
      <c r="B24" t="s">
        <v>33</v>
      </c>
      <c r="C24" s="6">
        <v>45544</v>
      </c>
      <c r="D24" t="s">
        <v>45</v>
      </c>
      <c r="E24" t="s">
        <v>88</v>
      </c>
      <c r="F24">
        <v>4054</v>
      </c>
      <c r="G24">
        <v>488</v>
      </c>
      <c r="H24">
        <v>373</v>
      </c>
      <c r="I24">
        <v>77026</v>
      </c>
      <c r="J24">
        <v>76881</v>
      </c>
      <c r="K24">
        <v>25</v>
      </c>
      <c r="L24" t="s">
        <v>19</v>
      </c>
      <c r="M24">
        <v>6.3809622724794221E-2</v>
      </c>
      <c r="N24" t="s">
        <v>612</v>
      </c>
      <c r="O24" t="s">
        <v>30</v>
      </c>
    </row>
    <row r="25" spans="1:15" x14ac:dyDescent="0.3">
      <c r="A25" t="s">
        <v>89</v>
      </c>
      <c r="B25" t="s">
        <v>33</v>
      </c>
      <c r="C25" s="6">
        <v>45661</v>
      </c>
      <c r="D25" t="s">
        <v>16</v>
      </c>
      <c r="E25" t="s">
        <v>82</v>
      </c>
      <c r="F25">
        <v>4838</v>
      </c>
      <c r="G25">
        <v>640</v>
      </c>
      <c r="H25">
        <v>128</v>
      </c>
      <c r="I25">
        <v>72570</v>
      </c>
      <c r="J25">
        <v>72396</v>
      </c>
      <c r="K25">
        <v>83</v>
      </c>
      <c r="L25" t="s">
        <v>38</v>
      </c>
      <c r="M25">
        <v>7.7249552156538517E-2</v>
      </c>
      <c r="N25" t="s">
        <v>612</v>
      </c>
      <c r="O25" t="s">
        <v>62</v>
      </c>
    </row>
    <row r="26" spans="1:15" x14ac:dyDescent="0.3">
      <c r="A26" t="s">
        <v>91</v>
      </c>
      <c r="B26" t="s">
        <v>43</v>
      </c>
      <c r="C26" s="6">
        <v>45715</v>
      </c>
      <c r="D26" t="s">
        <v>22</v>
      </c>
      <c r="E26" t="s">
        <v>56</v>
      </c>
      <c r="F26">
        <v>1570</v>
      </c>
      <c r="G26">
        <v>187</v>
      </c>
      <c r="H26">
        <v>260</v>
      </c>
      <c r="I26">
        <v>25120</v>
      </c>
      <c r="J26">
        <v>24613</v>
      </c>
      <c r="K26">
        <v>133</v>
      </c>
      <c r="L26" t="s">
        <v>38</v>
      </c>
      <c r="M26">
        <v>8.0294585987261149E-2</v>
      </c>
      <c r="N26" t="s">
        <v>612</v>
      </c>
      <c r="O26" t="s">
        <v>30</v>
      </c>
    </row>
    <row r="27" spans="1:15" x14ac:dyDescent="0.3">
      <c r="A27" t="s">
        <v>93</v>
      </c>
      <c r="B27" t="s">
        <v>43</v>
      </c>
      <c r="C27" s="6">
        <v>45602</v>
      </c>
      <c r="D27" t="s">
        <v>74</v>
      </c>
      <c r="E27" t="s">
        <v>75</v>
      </c>
      <c r="F27">
        <v>1606</v>
      </c>
      <c r="G27">
        <v>547</v>
      </c>
      <c r="H27">
        <v>316</v>
      </c>
      <c r="I27">
        <v>32120</v>
      </c>
      <c r="J27">
        <v>31736</v>
      </c>
      <c r="K27">
        <v>225</v>
      </c>
      <c r="L27" t="s">
        <v>25</v>
      </c>
      <c r="M27">
        <v>7.6867995018679955E-2</v>
      </c>
      <c r="N27" t="s">
        <v>612</v>
      </c>
      <c r="O27" t="s">
        <v>30</v>
      </c>
    </row>
    <row r="28" spans="1:15" x14ac:dyDescent="0.3">
      <c r="A28" t="s">
        <v>93</v>
      </c>
      <c r="B28" t="s">
        <v>43</v>
      </c>
      <c r="C28" s="6">
        <v>45602</v>
      </c>
      <c r="D28" t="s">
        <v>74</v>
      </c>
      <c r="E28" t="s">
        <v>75</v>
      </c>
      <c r="F28">
        <v>1606</v>
      </c>
      <c r="G28">
        <v>547</v>
      </c>
      <c r="H28">
        <v>316</v>
      </c>
      <c r="I28">
        <v>32120</v>
      </c>
      <c r="J28">
        <v>31736</v>
      </c>
      <c r="K28">
        <v>225</v>
      </c>
      <c r="L28" t="s">
        <v>25</v>
      </c>
      <c r="M28">
        <v>7.6867995018679955E-2</v>
      </c>
      <c r="N28" t="s">
        <v>613</v>
      </c>
      <c r="O28" t="s">
        <v>615</v>
      </c>
    </row>
    <row r="29" spans="1:15" x14ac:dyDescent="0.3">
      <c r="A29" t="s">
        <v>96</v>
      </c>
      <c r="B29" t="s">
        <v>43</v>
      </c>
      <c r="C29" s="6">
        <v>45680</v>
      </c>
      <c r="D29" t="s">
        <v>74</v>
      </c>
      <c r="E29" t="s">
        <v>75</v>
      </c>
      <c r="F29">
        <v>3961</v>
      </c>
      <c r="G29">
        <v>761</v>
      </c>
      <c r="H29">
        <v>131</v>
      </c>
      <c r="I29">
        <v>67337</v>
      </c>
      <c r="J29">
        <v>66615</v>
      </c>
      <c r="K29">
        <v>161</v>
      </c>
      <c r="L29" t="s">
        <v>31</v>
      </c>
      <c r="M29">
        <v>7.2070332803659209E-2</v>
      </c>
      <c r="N29" t="s">
        <v>612</v>
      </c>
      <c r="O29" t="s">
        <v>62</v>
      </c>
    </row>
    <row r="30" spans="1:15" x14ac:dyDescent="0.3">
      <c r="A30" t="s">
        <v>98</v>
      </c>
      <c r="B30" t="s">
        <v>14</v>
      </c>
      <c r="C30" s="6">
        <v>45757</v>
      </c>
      <c r="D30" t="s">
        <v>45</v>
      </c>
      <c r="E30" t="s">
        <v>49</v>
      </c>
      <c r="F30">
        <v>3128</v>
      </c>
      <c r="G30">
        <v>211</v>
      </c>
      <c r="H30">
        <v>197</v>
      </c>
      <c r="I30">
        <v>59432</v>
      </c>
      <c r="J30">
        <v>59182</v>
      </c>
      <c r="K30">
        <v>238</v>
      </c>
      <c r="L30" t="s">
        <v>19</v>
      </c>
      <c r="M30">
        <v>5.9496567505720827E-2</v>
      </c>
      <c r="N30" t="s">
        <v>612</v>
      </c>
      <c r="O30" t="s">
        <v>37</v>
      </c>
    </row>
    <row r="31" spans="1:15" x14ac:dyDescent="0.3">
      <c r="A31" t="s">
        <v>100</v>
      </c>
      <c r="B31" t="s">
        <v>27</v>
      </c>
      <c r="C31" s="6">
        <v>45752</v>
      </c>
      <c r="D31" t="s">
        <v>16</v>
      </c>
      <c r="E31" t="s">
        <v>29</v>
      </c>
      <c r="F31">
        <v>3009</v>
      </c>
      <c r="G31">
        <v>413</v>
      </c>
      <c r="H31">
        <v>358</v>
      </c>
      <c r="I31">
        <v>42126</v>
      </c>
      <c r="J31">
        <v>41309</v>
      </c>
      <c r="K31">
        <v>211</v>
      </c>
      <c r="L31" t="s">
        <v>25</v>
      </c>
      <c r="M31">
        <v>8.9730807577268201E-2</v>
      </c>
      <c r="N31" t="s">
        <v>612</v>
      </c>
      <c r="O31" t="s">
        <v>62</v>
      </c>
    </row>
    <row r="32" spans="1:15" x14ac:dyDescent="0.3">
      <c r="A32" t="s">
        <v>102</v>
      </c>
      <c r="B32" t="s">
        <v>27</v>
      </c>
      <c r="C32" s="6">
        <v>45552</v>
      </c>
      <c r="D32" t="s">
        <v>22</v>
      </c>
      <c r="E32" t="s">
        <v>104</v>
      </c>
      <c r="F32">
        <v>2076</v>
      </c>
      <c r="G32">
        <v>195</v>
      </c>
      <c r="H32">
        <v>104</v>
      </c>
      <c r="I32">
        <v>33216</v>
      </c>
      <c r="J32">
        <v>32244</v>
      </c>
      <c r="K32">
        <v>51</v>
      </c>
      <c r="L32" t="s">
        <v>38</v>
      </c>
      <c r="M32">
        <v>7.1501685934489398E-2</v>
      </c>
      <c r="N32" t="s">
        <v>612</v>
      </c>
      <c r="O32" t="s">
        <v>62</v>
      </c>
    </row>
    <row r="33" spans="1:15" x14ac:dyDescent="0.3">
      <c r="A33" t="s">
        <v>105</v>
      </c>
      <c r="B33" t="s">
        <v>33</v>
      </c>
      <c r="C33" s="6">
        <v>45720</v>
      </c>
      <c r="D33" t="s">
        <v>74</v>
      </c>
      <c r="E33" t="s">
        <v>85</v>
      </c>
      <c r="F33">
        <v>432</v>
      </c>
      <c r="G33">
        <v>624</v>
      </c>
      <c r="H33">
        <v>123</v>
      </c>
      <c r="I33">
        <v>6912</v>
      </c>
      <c r="J33">
        <v>6259</v>
      </c>
      <c r="K33">
        <v>79</v>
      </c>
      <c r="L33" t="s">
        <v>38</v>
      </c>
      <c r="M33">
        <v>0.17057291666666666</v>
      </c>
      <c r="N33" t="s">
        <v>612</v>
      </c>
      <c r="O33" t="s">
        <v>62</v>
      </c>
    </row>
    <row r="34" spans="1:15" x14ac:dyDescent="0.3">
      <c r="A34" t="s">
        <v>107</v>
      </c>
      <c r="B34" t="s">
        <v>33</v>
      </c>
      <c r="C34" s="6">
        <v>45688</v>
      </c>
      <c r="D34" t="s">
        <v>45</v>
      </c>
      <c r="E34" t="s">
        <v>88</v>
      </c>
      <c r="F34">
        <v>2566</v>
      </c>
      <c r="G34">
        <v>118</v>
      </c>
      <c r="H34">
        <v>37</v>
      </c>
      <c r="I34">
        <v>12830</v>
      </c>
      <c r="J34">
        <v>12264</v>
      </c>
      <c r="K34">
        <v>221</v>
      </c>
      <c r="L34" t="s">
        <v>31</v>
      </c>
      <c r="M34">
        <v>0.21208106001558846</v>
      </c>
      <c r="N34" t="s">
        <v>612</v>
      </c>
      <c r="O34" t="s">
        <v>62</v>
      </c>
    </row>
    <row r="35" spans="1:15" x14ac:dyDescent="0.3">
      <c r="A35" t="s">
        <v>109</v>
      </c>
      <c r="B35" t="s">
        <v>33</v>
      </c>
      <c r="C35" s="6">
        <v>45713</v>
      </c>
      <c r="D35" t="s">
        <v>74</v>
      </c>
      <c r="E35" t="s">
        <v>85</v>
      </c>
      <c r="F35">
        <v>3095</v>
      </c>
      <c r="G35">
        <v>39</v>
      </c>
      <c r="H35">
        <v>78</v>
      </c>
      <c r="I35">
        <v>55710</v>
      </c>
      <c r="J35">
        <v>54808</v>
      </c>
      <c r="K35">
        <v>93</v>
      </c>
      <c r="L35" t="s">
        <v>19</v>
      </c>
      <c r="M35">
        <v>5.7655717106444085E-2</v>
      </c>
      <c r="N35" t="s">
        <v>612</v>
      </c>
      <c r="O35" t="s">
        <v>37</v>
      </c>
    </row>
    <row r="36" spans="1:15" x14ac:dyDescent="0.3">
      <c r="A36" t="s">
        <v>111</v>
      </c>
      <c r="B36" t="s">
        <v>33</v>
      </c>
      <c r="C36" s="6">
        <v>45642</v>
      </c>
      <c r="D36" t="s">
        <v>22</v>
      </c>
      <c r="E36" t="s">
        <v>113</v>
      </c>
      <c r="F36">
        <v>438</v>
      </c>
      <c r="G36">
        <v>153</v>
      </c>
      <c r="H36">
        <v>275</v>
      </c>
      <c r="I36">
        <v>3066</v>
      </c>
      <c r="J36">
        <v>2701</v>
      </c>
      <c r="K36">
        <v>282</v>
      </c>
      <c r="L36" t="s">
        <v>25</v>
      </c>
      <c r="M36">
        <v>0.28245270711024134</v>
      </c>
      <c r="N36" t="s">
        <v>612</v>
      </c>
      <c r="O36" t="s">
        <v>30</v>
      </c>
    </row>
    <row r="37" spans="1:15" x14ac:dyDescent="0.3">
      <c r="A37" t="s">
        <v>114</v>
      </c>
      <c r="B37" t="s">
        <v>14</v>
      </c>
      <c r="C37" s="6">
        <v>45504</v>
      </c>
      <c r="D37" t="s">
        <v>45</v>
      </c>
      <c r="E37" t="s">
        <v>49</v>
      </c>
      <c r="F37">
        <v>2278</v>
      </c>
      <c r="G37">
        <v>10</v>
      </c>
      <c r="H37">
        <v>321</v>
      </c>
      <c r="I37">
        <v>13668</v>
      </c>
      <c r="J37">
        <v>12676</v>
      </c>
      <c r="K37">
        <v>275</v>
      </c>
      <c r="L37" t="s">
        <v>19</v>
      </c>
      <c r="M37">
        <v>0.19088381621305239</v>
      </c>
      <c r="N37" t="s">
        <v>612</v>
      </c>
      <c r="O37" t="s">
        <v>37</v>
      </c>
    </row>
    <row r="38" spans="1:15" x14ac:dyDescent="0.3">
      <c r="A38" t="s">
        <v>116</v>
      </c>
      <c r="B38" t="s">
        <v>43</v>
      </c>
      <c r="C38" s="6">
        <v>45525</v>
      </c>
      <c r="D38" t="s">
        <v>52</v>
      </c>
      <c r="E38" t="s">
        <v>59</v>
      </c>
      <c r="F38">
        <v>1407</v>
      </c>
      <c r="G38">
        <v>400</v>
      </c>
      <c r="H38">
        <v>351</v>
      </c>
      <c r="I38">
        <v>16884</v>
      </c>
      <c r="J38">
        <v>15954</v>
      </c>
      <c r="K38">
        <v>113</v>
      </c>
      <c r="L38" t="s">
        <v>19</v>
      </c>
      <c r="M38">
        <v>0.12781331438047855</v>
      </c>
      <c r="N38" t="s">
        <v>612</v>
      </c>
      <c r="O38" t="s">
        <v>30</v>
      </c>
    </row>
    <row r="39" spans="1:15" x14ac:dyDescent="0.3">
      <c r="A39" t="s">
        <v>118</v>
      </c>
      <c r="B39" t="s">
        <v>43</v>
      </c>
      <c r="C39" s="6">
        <v>45742</v>
      </c>
      <c r="D39" t="s">
        <v>22</v>
      </c>
      <c r="E39" t="s">
        <v>56</v>
      </c>
      <c r="F39">
        <v>1652</v>
      </c>
      <c r="G39">
        <v>89</v>
      </c>
      <c r="H39">
        <v>357</v>
      </c>
      <c r="I39">
        <v>29736</v>
      </c>
      <c r="J39">
        <v>28771</v>
      </c>
      <c r="K39">
        <v>215</v>
      </c>
      <c r="L39" t="s">
        <v>31</v>
      </c>
      <c r="M39">
        <v>7.055421038471886E-2</v>
      </c>
      <c r="N39" t="s">
        <v>612</v>
      </c>
      <c r="O39" t="s">
        <v>30</v>
      </c>
    </row>
    <row r="40" spans="1:15" x14ac:dyDescent="0.3">
      <c r="A40" t="s">
        <v>120</v>
      </c>
      <c r="B40" t="s">
        <v>33</v>
      </c>
      <c r="C40" s="6">
        <v>45626</v>
      </c>
      <c r="D40" t="s">
        <v>74</v>
      </c>
      <c r="E40" t="s">
        <v>85</v>
      </c>
      <c r="F40">
        <v>3775</v>
      </c>
      <c r="G40">
        <v>16</v>
      </c>
      <c r="H40">
        <v>239</v>
      </c>
      <c r="I40">
        <v>33975</v>
      </c>
      <c r="J40">
        <v>33310</v>
      </c>
      <c r="K40">
        <v>271</v>
      </c>
      <c r="L40" t="s">
        <v>25</v>
      </c>
      <c r="M40">
        <v>0.11861662987490802</v>
      </c>
      <c r="N40" t="s">
        <v>612</v>
      </c>
      <c r="O40" t="s">
        <v>62</v>
      </c>
    </row>
    <row r="41" spans="1:15" x14ac:dyDescent="0.3">
      <c r="A41" t="s">
        <v>122</v>
      </c>
      <c r="B41" t="s">
        <v>33</v>
      </c>
      <c r="C41" s="6">
        <v>45766</v>
      </c>
      <c r="D41" t="s">
        <v>35</v>
      </c>
      <c r="E41" t="s">
        <v>36</v>
      </c>
      <c r="F41">
        <v>4518</v>
      </c>
      <c r="G41">
        <v>285</v>
      </c>
      <c r="H41">
        <v>383</v>
      </c>
      <c r="I41">
        <v>67770</v>
      </c>
      <c r="J41">
        <v>67621</v>
      </c>
      <c r="K41">
        <v>31</v>
      </c>
      <c r="L41" t="s">
        <v>25</v>
      </c>
      <c r="M41">
        <v>7.6523535487678915E-2</v>
      </c>
      <c r="N41" t="s">
        <v>612</v>
      </c>
      <c r="O41" t="s">
        <v>37</v>
      </c>
    </row>
    <row r="42" spans="1:15" x14ac:dyDescent="0.3">
      <c r="A42" t="s">
        <v>124</v>
      </c>
      <c r="B42" t="s">
        <v>43</v>
      </c>
      <c r="C42" s="6">
        <v>45663</v>
      </c>
      <c r="D42" t="s">
        <v>45</v>
      </c>
      <c r="E42" t="s">
        <v>46</v>
      </c>
      <c r="F42">
        <v>3024</v>
      </c>
      <c r="G42">
        <v>925</v>
      </c>
      <c r="H42">
        <v>350</v>
      </c>
      <c r="I42">
        <v>24192</v>
      </c>
      <c r="J42">
        <v>23518</v>
      </c>
      <c r="K42">
        <v>36</v>
      </c>
      <c r="L42" t="s">
        <v>25</v>
      </c>
      <c r="M42">
        <v>0.17770337301587302</v>
      </c>
      <c r="N42" t="s">
        <v>612</v>
      </c>
      <c r="O42" t="s">
        <v>37</v>
      </c>
    </row>
    <row r="43" spans="1:15" x14ac:dyDescent="0.3">
      <c r="A43" t="s">
        <v>126</v>
      </c>
      <c r="B43" t="s">
        <v>27</v>
      </c>
      <c r="C43" s="6">
        <v>45705</v>
      </c>
      <c r="D43" t="s">
        <v>16</v>
      </c>
      <c r="E43" t="s">
        <v>29</v>
      </c>
      <c r="F43">
        <v>3138</v>
      </c>
      <c r="G43">
        <v>123</v>
      </c>
      <c r="H43">
        <v>291</v>
      </c>
      <c r="I43">
        <v>28242</v>
      </c>
      <c r="J43">
        <v>27550</v>
      </c>
      <c r="K43">
        <v>87</v>
      </c>
      <c r="L43" t="s">
        <v>38</v>
      </c>
      <c r="M43">
        <v>0.12577012959422137</v>
      </c>
      <c r="N43" t="s">
        <v>612</v>
      </c>
      <c r="O43" t="s">
        <v>30</v>
      </c>
    </row>
    <row r="44" spans="1:15" x14ac:dyDescent="0.3">
      <c r="A44" t="s">
        <v>128</v>
      </c>
      <c r="B44" t="s">
        <v>43</v>
      </c>
      <c r="C44" s="6">
        <v>45621</v>
      </c>
      <c r="D44" t="s">
        <v>52</v>
      </c>
      <c r="E44" t="s">
        <v>59</v>
      </c>
      <c r="F44">
        <v>3564</v>
      </c>
      <c r="G44">
        <v>629</v>
      </c>
      <c r="H44">
        <v>177</v>
      </c>
      <c r="I44">
        <v>60588</v>
      </c>
      <c r="J44">
        <v>59627</v>
      </c>
      <c r="K44">
        <v>92</v>
      </c>
      <c r="L44" t="s">
        <v>25</v>
      </c>
      <c r="M44">
        <v>7.2126493695121141E-2</v>
      </c>
      <c r="N44" t="s">
        <v>612</v>
      </c>
      <c r="O44" t="s">
        <v>30</v>
      </c>
    </row>
    <row r="45" spans="1:15" x14ac:dyDescent="0.3">
      <c r="A45" t="s">
        <v>130</v>
      </c>
      <c r="B45" t="s">
        <v>14</v>
      </c>
      <c r="C45" s="6">
        <v>45723</v>
      </c>
      <c r="D45" t="s">
        <v>52</v>
      </c>
      <c r="E45" t="s">
        <v>132</v>
      </c>
      <c r="F45">
        <v>4750</v>
      </c>
      <c r="G45">
        <v>151</v>
      </c>
      <c r="H45">
        <v>415</v>
      </c>
      <c r="I45">
        <v>38000</v>
      </c>
      <c r="J45">
        <v>37792</v>
      </c>
      <c r="K45">
        <v>299</v>
      </c>
      <c r="L45" t="s">
        <v>38</v>
      </c>
      <c r="M45">
        <v>0.13989473684210527</v>
      </c>
      <c r="N45" t="s">
        <v>612</v>
      </c>
      <c r="O45" t="s">
        <v>37</v>
      </c>
    </row>
    <row r="46" spans="1:15" x14ac:dyDescent="0.3">
      <c r="A46" t="s">
        <v>133</v>
      </c>
      <c r="B46" t="s">
        <v>33</v>
      </c>
      <c r="C46" s="6">
        <v>45724</v>
      </c>
      <c r="D46" t="s">
        <v>16</v>
      </c>
      <c r="E46" t="s">
        <v>82</v>
      </c>
      <c r="F46">
        <v>456</v>
      </c>
      <c r="G46">
        <v>629</v>
      </c>
      <c r="H46">
        <v>428</v>
      </c>
      <c r="I46">
        <v>8208</v>
      </c>
      <c r="J46">
        <v>7377</v>
      </c>
      <c r="K46">
        <v>205</v>
      </c>
      <c r="L46" t="s">
        <v>38</v>
      </c>
      <c r="M46">
        <v>0.18433235867446393</v>
      </c>
      <c r="N46" t="s">
        <v>612</v>
      </c>
      <c r="O46" t="s">
        <v>62</v>
      </c>
    </row>
    <row r="47" spans="1:15" x14ac:dyDescent="0.3">
      <c r="A47" t="s">
        <v>135</v>
      </c>
      <c r="B47" t="s">
        <v>27</v>
      </c>
      <c r="C47" s="6">
        <v>45721</v>
      </c>
      <c r="D47" t="s">
        <v>16</v>
      </c>
      <c r="E47" t="s">
        <v>29</v>
      </c>
      <c r="F47">
        <v>1543</v>
      </c>
      <c r="G47">
        <v>820</v>
      </c>
      <c r="H47">
        <v>333</v>
      </c>
      <c r="I47">
        <v>12344</v>
      </c>
      <c r="J47">
        <v>11496</v>
      </c>
      <c r="K47">
        <v>241</v>
      </c>
      <c r="L47" t="s">
        <v>19</v>
      </c>
      <c r="M47">
        <v>0.21840570317563188</v>
      </c>
      <c r="N47" t="s">
        <v>612</v>
      </c>
      <c r="O47" t="s">
        <v>37</v>
      </c>
    </row>
    <row r="48" spans="1:15" x14ac:dyDescent="0.3">
      <c r="A48" t="s">
        <v>137</v>
      </c>
      <c r="B48" t="s">
        <v>33</v>
      </c>
      <c r="C48" s="6">
        <v>45640</v>
      </c>
      <c r="D48" t="s">
        <v>45</v>
      </c>
      <c r="E48" t="s">
        <v>88</v>
      </c>
      <c r="F48">
        <v>2174</v>
      </c>
      <c r="G48">
        <v>658</v>
      </c>
      <c r="H48">
        <v>15</v>
      </c>
      <c r="I48">
        <v>13044</v>
      </c>
      <c r="J48">
        <v>12206</v>
      </c>
      <c r="K48">
        <v>137</v>
      </c>
      <c r="L48" t="s">
        <v>31</v>
      </c>
      <c r="M48">
        <v>0.21826126954921804</v>
      </c>
      <c r="N48" t="s">
        <v>612</v>
      </c>
      <c r="O48" t="s">
        <v>30</v>
      </c>
    </row>
    <row r="49" spans="1:15" x14ac:dyDescent="0.3">
      <c r="A49" t="s">
        <v>139</v>
      </c>
      <c r="B49" t="s">
        <v>14</v>
      </c>
      <c r="C49" s="6">
        <v>45718</v>
      </c>
      <c r="D49" t="s">
        <v>52</v>
      </c>
      <c r="E49" t="s">
        <v>132</v>
      </c>
      <c r="F49">
        <v>2358</v>
      </c>
      <c r="G49">
        <v>784</v>
      </c>
      <c r="H49">
        <v>344</v>
      </c>
      <c r="I49">
        <v>35370</v>
      </c>
      <c r="J49">
        <v>34475</v>
      </c>
      <c r="K49">
        <v>216</v>
      </c>
      <c r="L49" t="s">
        <v>25</v>
      </c>
      <c r="M49">
        <v>9.8558100084817649E-2</v>
      </c>
      <c r="N49" t="s">
        <v>612</v>
      </c>
      <c r="O49" t="s">
        <v>30</v>
      </c>
    </row>
    <row r="50" spans="1:15" x14ac:dyDescent="0.3">
      <c r="A50" t="s">
        <v>141</v>
      </c>
      <c r="B50" t="s">
        <v>43</v>
      </c>
      <c r="C50" s="6">
        <v>45597</v>
      </c>
      <c r="D50" t="s">
        <v>74</v>
      </c>
      <c r="E50" t="s">
        <v>75</v>
      </c>
      <c r="F50">
        <v>3371</v>
      </c>
      <c r="G50">
        <v>106</v>
      </c>
      <c r="H50">
        <v>327</v>
      </c>
      <c r="I50">
        <v>50565</v>
      </c>
      <c r="J50">
        <v>49816</v>
      </c>
      <c r="K50">
        <v>176</v>
      </c>
      <c r="L50" t="s">
        <v>19</v>
      </c>
      <c r="M50">
        <v>7.5229902106199939E-2</v>
      </c>
      <c r="N50" t="s">
        <v>612</v>
      </c>
      <c r="O50" t="s">
        <v>62</v>
      </c>
    </row>
    <row r="51" spans="1:15" x14ac:dyDescent="0.3">
      <c r="A51" t="s">
        <v>143</v>
      </c>
      <c r="B51" t="s">
        <v>14</v>
      </c>
      <c r="C51" s="6">
        <v>45779</v>
      </c>
      <c r="D51" t="s">
        <v>74</v>
      </c>
      <c r="E51" t="s">
        <v>145</v>
      </c>
      <c r="F51">
        <v>1108</v>
      </c>
      <c r="G51">
        <v>177</v>
      </c>
      <c r="H51">
        <v>212</v>
      </c>
      <c r="I51">
        <v>8864</v>
      </c>
      <c r="J51">
        <v>8710</v>
      </c>
      <c r="K51">
        <v>97</v>
      </c>
      <c r="L51" t="s">
        <v>38</v>
      </c>
      <c r="M51">
        <v>0.16888537906137185</v>
      </c>
      <c r="N51" t="s">
        <v>612</v>
      </c>
      <c r="O51" t="s">
        <v>30</v>
      </c>
    </row>
    <row r="52" spans="1:15" x14ac:dyDescent="0.3">
      <c r="A52" t="s">
        <v>146</v>
      </c>
      <c r="B52" t="s">
        <v>14</v>
      </c>
      <c r="C52" s="6">
        <v>45712</v>
      </c>
      <c r="D52" t="s">
        <v>45</v>
      </c>
      <c r="E52" t="s">
        <v>49</v>
      </c>
      <c r="F52">
        <v>2704</v>
      </c>
      <c r="G52">
        <v>752</v>
      </c>
      <c r="H52">
        <v>153</v>
      </c>
      <c r="I52">
        <v>21632</v>
      </c>
      <c r="J52">
        <v>20792</v>
      </c>
      <c r="K52">
        <v>127</v>
      </c>
      <c r="L52" t="s">
        <v>38</v>
      </c>
      <c r="M52">
        <v>0.16683616863905326</v>
      </c>
      <c r="N52" t="s">
        <v>612</v>
      </c>
      <c r="O52" t="s">
        <v>62</v>
      </c>
    </row>
    <row r="53" spans="1:15" x14ac:dyDescent="0.3">
      <c r="A53" t="s">
        <v>148</v>
      </c>
      <c r="B53" t="s">
        <v>14</v>
      </c>
      <c r="C53" s="6">
        <v>45727</v>
      </c>
      <c r="D53" t="s">
        <v>35</v>
      </c>
      <c r="E53" t="s">
        <v>149</v>
      </c>
      <c r="F53">
        <v>1950</v>
      </c>
      <c r="G53">
        <v>295</v>
      </c>
      <c r="H53">
        <v>478</v>
      </c>
      <c r="I53">
        <v>37050</v>
      </c>
      <c r="J53">
        <v>36272</v>
      </c>
      <c r="K53">
        <v>119</v>
      </c>
      <c r="L53" t="s">
        <v>25</v>
      </c>
      <c r="M53">
        <v>7.349527665317139E-2</v>
      </c>
      <c r="N53" t="s">
        <v>612</v>
      </c>
      <c r="O53" t="s">
        <v>30</v>
      </c>
    </row>
    <row r="54" spans="1:15" x14ac:dyDescent="0.3">
      <c r="A54" t="s">
        <v>150</v>
      </c>
      <c r="B54" t="s">
        <v>14</v>
      </c>
      <c r="C54" s="6">
        <v>45453</v>
      </c>
      <c r="D54" t="s">
        <v>35</v>
      </c>
      <c r="E54" t="s">
        <v>149</v>
      </c>
      <c r="F54">
        <v>2164</v>
      </c>
      <c r="G54">
        <v>549</v>
      </c>
      <c r="H54">
        <v>274</v>
      </c>
      <c r="I54">
        <v>28132</v>
      </c>
      <c r="J54">
        <v>27361</v>
      </c>
      <c r="K54">
        <v>177</v>
      </c>
      <c r="L54" t="s">
        <v>38</v>
      </c>
      <c r="M54">
        <v>0.10617801791554102</v>
      </c>
      <c r="N54" t="s">
        <v>612</v>
      </c>
      <c r="O54" t="s">
        <v>30</v>
      </c>
    </row>
    <row r="55" spans="1:15" x14ac:dyDescent="0.3">
      <c r="A55" t="s">
        <v>152</v>
      </c>
      <c r="B55" t="s">
        <v>27</v>
      </c>
      <c r="C55" s="6">
        <v>45476</v>
      </c>
      <c r="D55" t="s">
        <v>35</v>
      </c>
      <c r="E55" t="s">
        <v>154</v>
      </c>
      <c r="F55">
        <v>2754</v>
      </c>
      <c r="G55">
        <v>130</v>
      </c>
      <c r="H55">
        <v>90</v>
      </c>
      <c r="I55">
        <v>22032</v>
      </c>
      <c r="J55">
        <v>21288</v>
      </c>
      <c r="K55">
        <v>112</v>
      </c>
      <c r="L55" t="s">
        <v>31</v>
      </c>
      <c r="M55">
        <v>0.13498547567175018</v>
      </c>
      <c r="N55" t="s">
        <v>612</v>
      </c>
      <c r="O55" t="s">
        <v>30</v>
      </c>
    </row>
    <row r="56" spans="1:15" x14ac:dyDescent="0.3">
      <c r="A56" t="s">
        <v>155</v>
      </c>
      <c r="B56" t="s">
        <v>43</v>
      </c>
      <c r="C56" s="6">
        <v>45456</v>
      </c>
      <c r="D56" t="s">
        <v>45</v>
      </c>
      <c r="E56" t="s">
        <v>46</v>
      </c>
      <c r="F56">
        <v>2200</v>
      </c>
      <c r="G56">
        <v>504</v>
      </c>
      <c r="H56">
        <v>239</v>
      </c>
      <c r="I56">
        <v>37400</v>
      </c>
      <c r="J56">
        <v>36938</v>
      </c>
      <c r="K56">
        <v>225</v>
      </c>
      <c r="L56" t="s">
        <v>25</v>
      </c>
      <c r="M56">
        <v>7.8689839572192513E-2</v>
      </c>
      <c r="N56" t="s">
        <v>612</v>
      </c>
      <c r="O56" t="s">
        <v>62</v>
      </c>
    </row>
    <row r="57" spans="1:15" x14ac:dyDescent="0.3">
      <c r="A57" t="s">
        <v>157</v>
      </c>
      <c r="B57" t="s">
        <v>43</v>
      </c>
      <c r="C57" s="6">
        <v>45660</v>
      </c>
      <c r="D57" t="s">
        <v>52</v>
      </c>
      <c r="E57" t="s">
        <v>59</v>
      </c>
      <c r="F57">
        <v>947</v>
      </c>
      <c r="G57">
        <v>338</v>
      </c>
      <c r="H57">
        <v>350</v>
      </c>
      <c r="I57">
        <v>10417</v>
      </c>
      <c r="J57">
        <v>9730</v>
      </c>
      <c r="K57">
        <v>34</v>
      </c>
      <c r="L57" t="s">
        <v>38</v>
      </c>
      <c r="M57">
        <v>0.1569549774407219</v>
      </c>
      <c r="N57" t="s">
        <v>612</v>
      </c>
      <c r="O57" t="s">
        <v>30</v>
      </c>
    </row>
    <row r="58" spans="1:15" x14ac:dyDescent="0.3">
      <c r="A58" t="s">
        <v>159</v>
      </c>
      <c r="B58" t="s">
        <v>27</v>
      </c>
      <c r="C58" s="6">
        <v>45712</v>
      </c>
      <c r="D58" t="s">
        <v>45</v>
      </c>
      <c r="E58" t="s">
        <v>68</v>
      </c>
      <c r="F58">
        <v>804</v>
      </c>
      <c r="G58">
        <v>639</v>
      </c>
      <c r="H58">
        <v>43</v>
      </c>
      <c r="I58">
        <v>4020</v>
      </c>
      <c r="J58">
        <v>3144</v>
      </c>
      <c r="K58">
        <v>11</v>
      </c>
      <c r="L58" t="s">
        <v>19</v>
      </c>
      <c r="M58">
        <v>0.36965174129353234</v>
      </c>
      <c r="N58" t="s">
        <v>612</v>
      </c>
      <c r="O58" t="s">
        <v>37</v>
      </c>
    </row>
    <row r="59" spans="1:15" x14ac:dyDescent="0.3">
      <c r="A59" t="s">
        <v>159</v>
      </c>
      <c r="B59" t="s">
        <v>27</v>
      </c>
      <c r="C59" s="6">
        <v>45712</v>
      </c>
      <c r="D59" t="s">
        <v>45</v>
      </c>
      <c r="E59" t="s">
        <v>68</v>
      </c>
      <c r="F59">
        <v>804</v>
      </c>
      <c r="G59">
        <v>639</v>
      </c>
      <c r="H59">
        <v>43</v>
      </c>
      <c r="I59">
        <v>4020</v>
      </c>
      <c r="J59">
        <v>3144</v>
      </c>
      <c r="K59">
        <v>11</v>
      </c>
      <c r="L59" t="s">
        <v>19</v>
      </c>
      <c r="M59">
        <v>0.36965174129353234</v>
      </c>
      <c r="N59" t="s">
        <v>613</v>
      </c>
      <c r="O59" t="s">
        <v>616</v>
      </c>
    </row>
    <row r="60" spans="1:15" x14ac:dyDescent="0.3">
      <c r="A60" t="s">
        <v>161</v>
      </c>
      <c r="B60" t="s">
        <v>27</v>
      </c>
      <c r="C60" s="6">
        <v>45729</v>
      </c>
      <c r="D60" t="s">
        <v>45</v>
      </c>
      <c r="E60" t="s">
        <v>68</v>
      </c>
      <c r="F60">
        <v>1686</v>
      </c>
      <c r="G60">
        <v>904</v>
      </c>
      <c r="H60">
        <v>472</v>
      </c>
      <c r="I60">
        <v>18546</v>
      </c>
      <c r="J60">
        <v>18171</v>
      </c>
      <c r="K60">
        <v>52</v>
      </c>
      <c r="L60" t="s">
        <v>25</v>
      </c>
      <c r="M60">
        <v>0.16510298716704411</v>
      </c>
      <c r="N60" t="s">
        <v>612</v>
      </c>
      <c r="O60" t="s">
        <v>62</v>
      </c>
    </row>
    <row r="61" spans="1:15" x14ac:dyDescent="0.3">
      <c r="A61" t="s">
        <v>163</v>
      </c>
      <c r="B61" t="s">
        <v>43</v>
      </c>
      <c r="C61" s="6">
        <v>45460</v>
      </c>
      <c r="D61" t="s">
        <v>52</v>
      </c>
      <c r="E61" t="s">
        <v>59</v>
      </c>
      <c r="F61">
        <v>1226</v>
      </c>
      <c r="G61">
        <v>119</v>
      </c>
      <c r="H61">
        <v>7</v>
      </c>
      <c r="I61">
        <v>14712</v>
      </c>
      <c r="J61">
        <v>14049</v>
      </c>
      <c r="K61">
        <v>123</v>
      </c>
      <c r="L61" t="s">
        <v>38</v>
      </c>
      <c r="M61">
        <v>9.1897770527460579E-2</v>
      </c>
      <c r="N61" t="s">
        <v>612</v>
      </c>
      <c r="O61" t="s">
        <v>37</v>
      </c>
    </row>
    <row r="62" spans="1:15" x14ac:dyDescent="0.3">
      <c r="A62" t="s">
        <v>165</v>
      </c>
      <c r="B62" t="s">
        <v>43</v>
      </c>
      <c r="C62" s="6">
        <v>45644</v>
      </c>
      <c r="D62" t="s">
        <v>45</v>
      </c>
      <c r="E62" t="s">
        <v>46</v>
      </c>
      <c r="F62">
        <v>2946</v>
      </c>
      <c r="G62">
        <v>498</v>
      </c>
      <c r="H62">
        <v>367</v>
      </c>
      <c r="I62">
        <v>29460</v>
      </c>
      <c r="J62">
        <v>28527</v>
      </c>
      <c r="K62">
        <v>60</v>
      </c>
      <c r="L62" t="s">
        <v>31</v>
      </c>
      <c r="M62">
        <v>0.12936184657162253</v>
      </c>
      <c r="N62" t="s">
        <v>612</v>
      </c>
      <c r="O62" t="s">
        <v>62</v>
      </c>
    </row>
    <row r="63" spans="1:15" x14ac:dyDescent="0.3">
      <c r="A63" t="s">
        <v>167</v>
      </c>
      <c r="B63" t="s">
        <v>14</v>
      </c>
      <c r="C63" s="6">
        <v>45586</v>
      </c>
      <c r="D63" t="s">
        <v>74</v>
      </c>
      <c r="E63" t="s">
        <v>145</v>
      </c>
      <c r="F63">
        <v>2825</v>
      </c>
      <c r="G63">
        <v>535</v>
      </c>
      <c r="H63">
        <v>295</v>
      </c>
      <c r="I63">
        <v>45200</v>
      </c>
      <c r="J63">
        <v>44739</v>
      </c>
      <c r="K63">
        <v>169</v>
      </c>
      <c r="L63" t="s">
        <v>19</v>
      </c>
      <c r="M63">
        <v>8.0862831858407078E-2</v>
      </c>
      <c r="N63" t="s">
        <v>612</v>
      </c>
      <c r="O63" t="s">
        <v>30</v>
      </c>
    </row>
    <row r="64" spans="1:15" x14ac:dyDescent="0.3">
      <c r="A64" t="s">
        <v>169</v>
      </c>
      <c r="B64" t="s">
        <v>33</v>
      </c>
      <c r="C64" s="6">
        <v>45762</v>
      </c>
      <c r="D64" t="s">
        <v>16</v>
      </c>
      <c r="E64" t="s">
        <v>82</v>
      </c>
      <c r="F64">
        <v>103</v>
      </c>
      <c r="G64">
        <v>770</v>
      </c>
      <c r="H64">
        <v>19</v>
      </c>
      <c r="I64">
        <v>1030</v>
      </c>
      <c r="J64">
        <v>410</v>
      </c>
      <c r="K64">
        <v>262</v>
      </c>
      <c r="L64" t="s">
        <v>38</v>
      </c>
      <c r="M64">
        <v>0.86601941747572819</v>
      </c>
      <c r="N64" t="s">
        <v>612</v>
      </c>
      <c r="O64" t="s">
        <v>30</v>
      </c>
    </row>
    <row r="65" spans="1:15" x14ac:dyDescent="0.3">
      <c r="A65" t="s">
        <v>171</v>
      </c>
      <c r="B65" t="s">
        <v>33</v>
      </c>
      <c r="C65" s="6">
        <v>45465</v>
      </c>
      <c r="D65" t="s">
        <v>22</v>
      </c>
      <c r="E65" t="s">
        <v>113</v>
      </c>
      <c r="F65">
        <v>2180</v>
      </c>
      <c r="G65">
        <v>263</v>
      </c>
      <c r="H65">
        <v>387</v>
      </c>
      <c r="I65">
        <v>30520</v>
      </c>
      <c r="J65">
        <v>30059</v>
      </c>
      <c r="K65">
        <v>174</v>
      </c>
      <c r="L65" t="s">
        <v>19</v>
      </c>
      <c r="M65">
        <v>9.2726081258191345E-2</v>
      </c>
      <c r="N65" t="s">
        <v>612</v>
      </c>
      <c r="O65" t="s">
        <v>37</v>
      </c>
    </row>
    <row r="66" spans="1:15" x14ac:dyDescent="0.3">
      <c r="A66" t="s">
        <v>173</v>
      </c>
      <c r="B66" t="s">
        <v>33</v>
      </c>
      <c r="C66" s="6">
        <v>45685</v>
      </c>
      <c r="D66" t="s">
        <v>74</v>
      </c>
      <c r="E66" t="s">
        <v>85</v>
      </c>
      <c r="F66">
        <v>904</v>
      </c>
      <c r="G66">
        <v>973</v>
      </c>
      <c r="H66">
        <v>63</v>
      </c>
      <c r="I66">
        <v>11752</v>
      </c>
      <c r="J66">
        <v>11580</v>
      </c>
      <c r="K66">
        <v>84</v>
      </c>
      <c r="L66" t="s">
        <v>31</v>
      </c>
      <c r="M66">
        <v>0.1650782845473111</v>
      </c>
      <c r="N66" t="s">
        <v>612</v>
      </c>
      <c r="O66" t="s">
        <v>37</v>
      </c>
    </row>
    <row r="67" spans="1:15" x14ac:dyDescent="0.3">
      <c r="A67" t="s">
        <v>173</v>
      </c>
      <c r="B67" t="s">
        <v>33</v>
      </c>
      <c r="C67" s="6">
        <v>45685</v>
      </c>
      <c r="D67" t="s">
        <v>74</v>
      </c>
      <c r="E67" t="s">
        <v>85</v>
      </c>
      <c r="F67">
        <v>904</v>
      </c>
      <c r="G67">
        <v>973</v>
      </c>
      <c r="H67">
        <v>63</v>
      </c>
      <c r="I67">
        <v>11752</v>
      </c>
      <c r="J67">
        <v>11580</v>
      </c>
      <c r="K67">
        <v>84</v>
      </c>
      <c r="L67" t="s">
        <v>31</v>
      </c>
      <c r="M67">
        <v>0.1650782845473111</v>
      </c>
      <c r="N67" t="s">
        <v>613</v>
      </c>
      <c r="O67" t="s">
        <v>30</v>
      </c>
    </row>
    <row r="68" spans="1:15" x14ac:dyDescent="0.3">
      <c r="A68" t="s">
        <v>173</v>
      </c>
      <c r="B68" t="s">
        <v>33</v>
      </c>
      <c r="C68" s="6">
        <v>45685</v>
      </c>
      <c r="D68" t="s">
        <v>74</v>
      </c>
      <c r="E68" t="s">
        <v>85</v>
      </c>
      <c r="F68">
        <v>904</v>
      </c>
      <c r="G68">
        <v>973</v>
      </c>
      <c r="H68">
        <v>63</v>
      </c>
      <c r="I68">
        <v>11752</v>
      </c>
      <c r="J68">
        <v>11580</v>
      </c>
      <c r="K68">
        <v>84</v>
      </c>
      <c r="L68" t="s">
        <v>31</v>
      </c>
      <c r="M68">
        <v>0.1650782845473111</v>
      </c>
      <c r="N68" t="s">
        <v>614</v>
      </c>
      <c r="O68" t="s">
        <v>615</v>
      </c>
    </row>
    <row r="69" spans="1:15" x14ac:dyDescent="0.3">
      <c r="A69" t="s">
        <v>176</v>
      </c>
      <c r="B69" t="s">
        <v>14</v>
      </c>
      <c r="C69" s="6">
        <v>45540</v>
      </c>
      <c r="D69" t="s">
        <v>74</v>
      </c>
      <c r="E69" t="s">
        <v>145</v>
      </c>
      <c r="F69">
        <v>4886</v>
      </c>
      <c r="G69">
        <v>983</v>
      </c>
      <c r="H69">
        <v>409</v>
      </c>
      <c r="I69">
        <v>43974</v>
      </c>
      <c r="J69">
        <v>43239</v>
      </c>
      <c r="K69">
        <v>65</v>
      </c>
      <c r="L69" t="s">
        <v>19</v>
      </c>
      <c r="M69">
        <v>0.14276618001546368</v>
      </c>
      <c r="N69" t="s">
        <v>612</v>
      </c>
      <c r="O69" t="s">
        <v>30</v>
      </c>
    </row>
    <row r="70" spans="1:15" x14ac:dyDescent="0.3">
      <c r="A70" t="s">
        <v>178</v>
      </c>
      <c r="B70" t="s">
        <v>14</v>
      </c>
      <c r="C70" s="6">
        <v>45618</v>
      </c>
      <c r="D70" t="s">
        <v>45</v>
      </c>
      <c r="E70" t="s">
        <v>49</v>
      </c>
      <c r="F70">
        <v>53</v>
      </c>
      <c r="G70">
        <v>81</v>
      </c>
      <c r="H70">
        <v>379</v>
      </c>
      <c r="I70">
        <v>954</v>
      </c>
      <c r="J70">
        <v>7</v>
      </c>
      <c r="K70">
        <v>148</v>
      </c>
      <c r="L70" t="s">
        <v>31</v>
      </c>
      <c r="M70">
        <v>0.53773584905660377</v>
      </c>
      <c r="N70" t="s">
        <v>612</v>
      </c>
      <c r="O70" t="s">
        <v>30</v>
      </c>
    </row>
    <row r="71" spans="1:15" x14ac:dyDescent="0.3">
      <c r="A71" t="s">
        <v>180</v>
      </c>
      <c r="B71" t="s">
        <v>14</v>
      </c>
      <c r="C71" s="6">
        <v>45504</v>
      </c>
      <c r="D71" t="s">
        <v>45</v>
      </c>
      <c r="E71" t="s">
        <v>49</v>
      </c>
      <c r="F71">
        <v>4507</v>
      </c>
      <c r="G71">
        <v>217</v>
      </c>
      <c r="H71">
        <v>13</v>
      </c>
      <c r="I71">
        <v>90140</v>
      </c>
      <c r="J71">
        <v>89591</v>
      </c>
      <c r="K71">
        <v>125</v>
      </c>
      <c r="L71" t="s">
        <v>31</v>
      </c>
      <c r="M71">
        <v>5.2551586421122697E-2</v>
      </c>
      <c r="N71" t="s">
        <v>612</v>
      </c>
      <c r="O71" t="s">
        <v>62</v>
      </c>
    </row>
    <row r="72" spans="1:15" x14ac:dyDescent="0.3">
      <c r="A72" t="s">
        <v>181</v>
      </c>
      <c r="B72" t="s">
        <v>43</v>
      </c>
      <c r="C72" s="6">
        <v>45521</v>
      </c>
      <c r="D72" t="s">
        <v>52</v>
      </c>
      <c r="E72" t="s">
        <v>59</v>
      </c>
      <c r="F72">
        <v>2878</v>
      </c>
      <c r="G72">
        <v>248</v>
      </c>
      <c r="H72">
        <v>416</v>
      </c>
      <c r="I72">
        <v>43170</v>
      </c>
      <c r="J72">
        <v>42667</v>
      </c>
      <c r="K72">
        <v>75</v>
      </c>
      <c r="L72" t="s">
        <v>31</v>
      </c>
      <c r="M72">
        <v>8.2047718322909427E-2</v>
      </c>
      <c r="N72" t="s">
        <v>612</v>
      </c>
      <c r="O72" t="s">
        <v>62</v>
      </c>
    </row>
    <row r="73" spans="1:15" x14ac:dyDescent="0.3">
      <c r="A73" t="s">
        <v>183</v>
      </c>
      <c r="B73" t="s">
        <v>33</v>
      </c>
      <c r="C73" s="6">
        <v>45744</v>
      </c>
      <c r="D73" t="s">
        <v>35</v>
      </c>
      <c r="E73" t="s">
        <v>36</v>
      </c>
      <c r="F73">
        <v>1881</v>
      </c>
      <c r="G73">
        <v>501</v>
      </c>
      <c r="H73">
        <v>99</v>
      </c>
      <c r="I73">
        <v>20691</v>
      </c>
      <c r="J73">
        <v>19987</v>
      </c>
      <c r="K73">
        <v>289</v>
      </c>
      <c r="L73" t="s">
        <v>19</v>
      </c>
      <c r="M73">
        <v>0.11990720603160794</v>
      </c>
      <c r="N73" t="s">
        <v>612</v>
      </c>
      <c r="O73" t="s">
        <v>37</v>
      </c>
    </row>
    <row r="74" spans="1:15" x14ac:dyDescent="0.3">
      <c r="A74" t="s">
        <v>185</v>
      </c>
      <c r="B74" t="s">
        <v>14</v>
      </c>
      <c r="C74" s="6">
        <v>45499</v>
      </c>
      <c r="D74" t="s">
        <v>45</v>
      </c>
      <c r="E74" t="s">
        <v>49</v>
      </c>
      <c r="F74">
        <v>432</v>
      </c>
      <c r="G74">
        <v>171</v>
      </c>
      <c r="H74">
        <v>280</v>
      </c>
      <c r="I74">
        <v>3024</v>
      </c>
      <c r="J74">
        <v>2285</v>
      </c>
      <c r="K74">
        <v>184</v>
      </c>
      <c r="L74" t="s">
        <v>19</v>
      </c>
      <c r="M74">
        <v>0.29199735449735448</v>
      </c>
      <c r="N74" t="s">
        <v>612</v>
      </c>
      <c r="O74" t="s">
        <v>37</v>
      </c>
    </row>
    <row r="75" spans="1:15" x14ac:dyDescent="0.3">
      <c r="A75" t="s">
        <v>187</v>
      </c>
      <c r="B75" t="s">
        <v>43</v>
      </c>
      <c r="C75" s="6">
        <v>45745</v>
      </c>
      <c r="D75" t="s">
        <v>45</v>
      </c>
      <c r="E75" t="s">
        <v>46</v>
      </c>
      <c r="F75">
        <v>4712</v>
      </c>
      <c r="G75">
        <v>568</v>
      </c>
      <c r="H75">
        <v>127</v>
      </c>
      <c r="I75">
        <v>84816</v>
      </c>
      <c r="J75">
        <v>84691</v>
      </c>
      <c r="K75">
        <v>100</v>
      </c>
      <c r="L75" t="s">
        <v>31</v>
      </c>
      <c r="M75">
        <v>6.3749764195434822E-2</v>
      </c>
      <c r="N75" t="s">
        <v>612</v>
      </c>
      <c r="O75" t="s">
        <v>37</v>
      </c>
    </row>
    <row r="76" spans="1:15" x14ac:dyDescent="0.3">
      <c r="A76" t="s">
        <v>189</v>
      </c>
      <c r="B76" t="s">
        <v>33</v>
      </c>
      <c r="C76" s="6">
        <v>45634</v>
      </c>
      <c r="D76" t="s">
        <v>35</v>
      </c>
      <c r="E76" t="s">
        <v>36</v>
      </c>
      <c r="F76">
        <v>2610</v>
      </c>
      <c r="G76">
        <v>126</v>
      </c>
      <c r="H76">
        <v>288</v>
      </c>
      <c r="I76">
        <v>15660</v>
      </c>
      <c r="J76">
        <v>15145</v>
      </c>
      <c r="K76">
        <v>73</v>
      </c>
      <c r="L76" t="s">
        <v>19</v>
      </c>
      <c r="M76">
        <v>0.19310344827586207</v>
      </c>
      <c r="N76" t="s">
        <v>612</v>
      </c>
      <c r="O76" t="s">
        <v>37</v>
      </c>
    </row>
    <row r="77" spans="1:15" x14ac:dyDescent="0.3">
      <c r="A77" t="s">
        <v>191</v>
      </c>
      <c r="B77" t="s">
        <v>14</v>
      </c>
      <c r="C77" s="6">
        <v>45724</v>
      </c>
      <c r="D77" t="s">
        <v>22</v>
      </c>
      <c r="E77" t="s">
        <v>23</v>
      </c>
      <c r="F77">
        <v>1292</v>
      </c>
      <c r="G77">
        <v>626</v>
      </c>
      <c r="H77">
        <v>496</v>
      </c>
      <c r="I77">
        <v>25840</v>
      </c>
      <c r="J77">
        <v>24916</v>
      </c>
      <c r="K77">
        <v>149</v>
      </c>
      <c r="L77" t="s">
        <v>31</v>
      </c>
      <c r="M77">
        <v>9.3421052631578946E-2</v>
      </c>
      <c r="N77" t="s">
        <v>612</v>
      </c>
      <c r="O77" t="s">
        <v>62</v>
      </c>
    </row>
    <row r="78" spans="1:15" x14ac:dyDescent="0.3">
      <c r="A78" t="s">
        <v>192</v>
      </c>
      <c r="B78" t="s">
        <v>43</v>
      </c>
      <c r="C78" s="6">
        <v>45749</v>
      </c>
      <c r="D78" t="s">
        <v>74</v>
      </c>
      <c r="E78" t="s">
        <v>75</v>
      </c>
      <c r="F78">
        <v>199</v>
      </c>
      <c r="G78">
        <v>772</v>
      </c>
      <c r="H78">
        <v>400</v>
      </c>
      <c r="I78">
        <v>3582</v>
      </c>
      <c r="J78">
        <v>2988</v>
      </c>
      <c r="K78">
        <v>43</v>
      </c>
      <c r="L78" t="s">
        <v>25</v>
      </c>
      <c r="M78">
        <v>0.38274706867671693</v>
      </c>
      <c r="N78" t="s">
        <v>612</v>
      </c>
      <c r="O78" t="s">
        <v>30</v>
      </c>
    </row>
    <row r="79" spans="1:15" x14ac:dyDescent="0.3">
      <c r="A79" t="s">
        <v>194</v>
      </c>
      <c r="B79" t="s">
        <v>27</v>
      </c>
      <c r="C79" s="6">
        <v>45537</v>
      </c>
      <c r="D79" t="s">
        <v>45</v>
      </c>
      <c r="E79" t="s">
        <v>68</v>
      </c>
      <c r="F79">
        <v>2551</v>
      </c>
      <c r="G79">
        <v>915</v>
      </c>
      <c r="H79">
        <v>205</v>
      </c>
      <c r="I79">
        <v>30612</v>
      </c>
      <c r="J79">
        <v>30360</v>
      </c>
      <c r="K79">
        <v>227</v>
      </c>
      <c r="L79" t="s">
        <v>25</v>
      </c>
      <c r="M79">
        <v>0.1199202926956749</v>
      </c>
      <c r="N79" t="s">
        <v>612</v>
      </c>
      <c r="O79" t="s">
        <v>30</v>
      </c>
    </row>
    <row r="80" spans="1:15" x14ac:dyDescent="0.3">
      <c r="A80" t="s">
        <v>196</v>
      </c>
      <c r="B80" t="s">
        <v>27</v>
      </c>
      <c r="C80" s="6">
        <v>45719</v>
      </c>
      <c r="D80" t="s">
        <v>16</v>
      </c>
      <c r="E80" t="s">
        <v>29</v>
      </c>
      <c r="F80">
        <v>296</v>
      </c>
      <c r="G80">
        <v>60</v>
      </c>
      <c r="H80">
        <v>141</v>
      </c>
      <c r="I80">
        <v>5624</v>
      </c>
      <c r="J80">
        <v>5239</v>
      </c>
      <c r="K80">
        <v>88</v>
      </c>
      <c r="L80" t="s">
        <v>25</v>
      </c>
      <c r="M80">
        <v>8.837126600284495E-2</v>
      </c>
      <c r="N80" t="s">
        <v>612</v>
      </c>
      <c r="O80" t="s">
        <v>37</v>
      </c>
    </row>
    <row r="81" spans="1:15" x14ac:dyDescent="0.3">
      <c r="A81" t="s">
        <v>198</v>
      </c>
      <c r="B81" t="s">
        <v>43</v>
      </c>
      <c r="C81" s="6">
        <v>45583</v>
      </c>
      <c r="D81" t="s">
        <v>35</v>
      </c>
      <c r="E81" t="s">
        <v>71</v>
      </c>
      <c r="F81">
        <v>4126</v>
      </c>
      <c r="G81">
        <v>426</v>
      </c>
      <c r="H81">
        <v>486</v>
      </c>
      <c r="I81">
        <v>78394</v>
      </c>
      <c r="J81">
        <v>77798</v>
      </c>
      <c r="K81">
        <v>88</v>
      </c>
      <c r="L81" t="s">
        <v>38</v>
      </c>
      <c r="M81">
        <v>6.4265122330790625E-2</v>
      </c>
      <c r="N81" t="s">
        <v>612</v>
      </c>
      <c r="O81" t="s">
        <v>62</v>
      </c>
    </row>
    <row r="82" spans="1:15" x14ac:dyDescent="0.3">
      <c r="A82" t="s">
        <v>200</v>
      </c>
      <c r="B82" t="s">
        <v>27</v>
      </c>
      <c r="C82" s="6">
        <v>45593</v>
      </c>
      <c r="D82" t="s">
        <v>16</v>
      </c>
      <c r="E82" t="s">
        <v>29</v>
      </c>
      <c r="F82">
        <v>1855</v>
      </c>
      <c r="G82">
        <v>200</v>
      </c>
      <c r="H82">
        <v>174</v>
      </c>
      <c r="I82">
        <v>16695</v>
      </c>
      <c r="J82">
        <v>16330</v>
      </c>
      <c r="K82">
        <v>123</v>
      </c>
      <c r="L82" t="s">
        <v>31</v>
      </c>
      <c r="M82">
        <v>0.13351302785265048</v>
      </c>
      <c r="N82" t="s">
        <v>612</v>
      </c>
      <c r="O82" t="s">
        <v>30</v>
      </c>
    </row>
    <row r="83" spans="1:15" x14ac:dyDescent="0.3">
      <c r="A83" t="s">
        <v>202</v>
      </c>
      <c r="B83" t="s">
        <v>33</v>
      </c>
      <c r="C83" s="6">
        <v>45505</v>
      </c>
      <c r="D83" t="s">
        <v>16</v>
      </c>
      <c r="E83" t="s">
        <v>82</v>
      </c>
      <c r="F83">
        <v>1674</v>
      </c>
      <c r="G83">
        <v>929</v>
      </c>
      <c r="H83">
        <v>37</v>
      </c>
      <c r="I83">
        <v>21762</v>
      </c>
      <c r="J83">
        <v>20998</v>
      </c>
      <c r="K83">
        <v>255</v>
      </c>
      <c r="L83" t="s">
        <v>38</v>
      </c>
      <c r="M83">
        <v>0.12131237937689551</v>
      </c>
      <c r="N83" t="s">
        <v>612</v>
      </c>
      <c r="O83" t="s">
        <v>30</v>
      </c>
    </row>
    <row r="84" spans="1:15" x14ac:dyDescent="0.3">
      <c r="A84" t="s">
        <v>204</v>
      </c>
      <c r="B84" t="s">
        <v>14</v>
      </c>
      <c r="C84" s="6">
        <v>45603</v>
      </c>
      <c r="D84" t="s">
        <v>35</v>
      </c>
      <c r="E84" t="s">
        <v>149</v>
      </c>
      <c r="F84">
        <v>1121</v>
      </c>
      <c r="G84">
        <v>135</v>
      </c>
      <c r="H84">
        <v>18</v>
      </c>
      <c r="I84">
        <v>15694</v>
      </c>
      <c r="J84">
        <v>14957</v>
      </c>
      <c r="K84">
        <v>99</v>
      </c>
      <c r="L84" t="s">
        <v>38</v>
      </c>
      <c r="M84">
        <v>8.1177520071364848E-2</v>
      </c>
      <c r="N84" t="s">
        <v>612</v>
      </c>
      <c r="O84" t="s">
        <v>30</v>
      </c>
    </row>
    <row r="85" spans="1:15" x14ac:dyDescent="0.3">
      <c r="A85" t="s">
        <v>206</v>
      </c>
      <c r="B85" t="s">
        <v>43</v>
      </c>
      <c r="C85" s="6">
        <v>45720</v>
      </c>
      <c r="D85" t="s">
        <v>35</v>
      </c>
      <c r="E85" t="s">
        <v>71</v>
      </c>
      <c r="F85">
        <v>1249</v>
      </c>
      <c r="G85">
        <v>116</v>
      </c>
      <c r="H85">
        <v>420</v>
      </c>
      <c r="I85">
        <v>8743</v>
      </c>
      <c r="J85">
        <v>8538</v>
      </c>
      <c r="K85">
        <v>63</v>
      </c>
      <c r="L85" t="s">
        <v>25</v>
      </c>
      <c r="M85">
        <v>0.20416333066453163</v>
      </c>
      <c r="N85" t="s">
        <v>612</v>
      </c>
      <c r="O85" t="s">
        <v>30</v>
      </c>
    </row>
    <row r="86" spans="1:15" x14ac:dyDescent="0.3">
      <c r="A86" t="s">
        <v>207</v>
      </c>
      <c r="B86" t="s">
        <v>14</v>
      </c>
      <c r="C86" s="6">
        <v>45460</v>
      </c>
      <c r="D86" t="s">
        <v>52</v>
      </c>
      <c r="E86" t="s">
        <v>132</v>
      </c>
      <c r="F86">
        <v>954</v>
      </c>
      <c r="G86">
        <v>324</v>
      </c>
      <c r="H86">
        <v>288</v>
      </c>
      <c r="I86">
        <v>19080</v>
      </c>
      <c r="J86">
        <v>18859</v>
      </c>
      <c r="K86">
        <v>21</v>
      </c>
      <c r="L86" t="s">
        <v>38</v>
      </c>
      <c r="M86">
        <v>8.2075471698113203E-2</v>
      </c>
      <c r="N86" t="s">
        <v>612</v>
      </c>
      <c r="O86" t="s">
        <v>62</v>
      </c>
    </row>
    <row r="87" spans="1:15" x14ac:dyDescent="0.3">
      <c r="A87" t="s">
        <v>208</v>
      </c>
      <c r="B87" t="s">
        <v>33</v>
      </c>
      <c r="C87" s="6">
        <v>45574</v>
      </c>
      <c r="D87" t="s">
        <v>45</v>
      </c>
      <c r="E87" t="s">
        <v>88</v>
      </c>
      <c r="F87">
        <v>3068</v>
      </c>
      <c r="G87">
        <v>137</v>
      </c>
      <c r="H87">
        <v>329</v>
      </c>
      <c r="I87">
        <v>39884</v>
      </c>
      <c r="J87">
        <v>39404</v>
      </c>
      <c r="K87">
        <v>266</v>
      </c>
      <c r="L87" t="s">
        <v>25</v>
      </c>
      <c r="M87">
        <v>8.860696018453515E-2</v>
      </c>
      <c r="N87" t="s">
        <v>612</v>
      </c>
      <c r="O87" t="s">
        <v>37</v>
      </c>
    </row>
    <row r="88" spans="1:15" x14ac:dyDescent="0.3">
      <c r="A88" t="s">
        <v>210</v>
      </c>
      <c r="B88" t="s">
        <v>33</v>
      </c>
      <c r="C88" s="6">
        <v>45456</v>
      </c>
      <c r="D88" t="s">
        <v>35</v>
      </c>
      <c r="E88" t="s">
        <v>36</v>
      </c>
      <c r="F88">
        <v>2103</v>
      </c>
      <c r="G88">
        <v>892</v>
      </c>
      <c r="H88">
        <v>103</v>
      </c>
      <c r="I88">
        <v>39957</v>
      </c>
      <c r="J88">
        <v>39466</v>
      </c>
      <c r="K88">
        <v>28</v>
      </c>
      <c r="L88" t="s">
        <v>38</v>
      </c>
      <c r="M88">
        <v>7.7533348349475686E-2</v>
      </c>
      <c r="N88" t="s">
        <v>612</v>
      </c>
      <c r="O88" t="s">
        <v>62</v>
      </c>
    </row>
    <row r="89" spans="1:15" x14ac:dyDescent="0.3">
      <c r="A89" t="s">
        <v>211</v>
      </c>
      <c r="B89" t="s">
        <v>33</v>
      </c>
      <c r="C89" s="6">
        <v>45584</v>
      </c>
      <c r="D89" t="s">
        <v>35</v>
      </c>
      <c r="E89" t="s">
        <v>36</v>
      </c>
      <c r="F89">
        <v>1816</v>
      </c>
      <c r="G89">
        <v>29</v>
      </c>
      <c r="H89">
        <v>41</v>
      </c>
      <c r="I89">
        <v>19976</v>
      </c>
      <c r="J89">
        <v>19262</v>
      </c>
      <c r="K89">
        <v>283</v>
      </c>
      <c r="L89" t="s">
        <v>31</v>
      </c>
      <c r="M89">
        <v>9.4413295955146179E-2</v>
      </c>
      <c r="N89" t="s">
        <v>612</v>
      </c>
      <c r="O89" t="s">
        <v>30</v>
      </c>
    </row>
    <row r="90" spans="1:15" x14ac:dyDescent="0.3">
      <c r="A90" t="s">
        <v>213</v>
      </c>
      <c r="B90" t="s">
        <v>33</v>
      </c>
      <c r="C90" s="6">
        <v>45497</v>
      </c>
      <c r="D90" t="s">
        <v>52</v>
      </c>
      <c r="E90" t="s">
        <v>215</v>
      </c>
      <c r="F90">
        <v>725</v>
      </c>
      <c r="G90">
        <v>88</v>
      </c>
      <c r="H90">
        <v>428</v>
      </c>
      <c r="I90">
        <v>14500</v>
      </c>
      <c r="J90">
        <v>13637</v>
      </c>
      <c r="K90">
        <v>200</v>
      </c>
      <c r="L90" t="s">
        <v>31</v>
      </c>
      <c r="M90">
        <v>8.558620689655172E-2</v>
      </c>
      <c r="N90" t="s">
        <v>612</v>
      </c>
      <c r="O90" t="s">
        <v>62</v>
      </c>
    </row>
    <row r="91" spans="1:15" x14ac:dyDescent="0.3">
      <c r="A91" t="s">
        <v>213</v>
      </c>
      <c r="B91" t="s">
        <v>33</v>
      </c>
      <c r="C91" s="6">
        <v>45497</v>
      </c>
      <c r="D91" t="s">
        <v>52</v>
      </c>
      <c r="E91" t="s">
        <v>215</v>
      </c>
      <c r="F91">
        <v>725</v>
      </c>
      <c r="G91">
        <v>88</v>
      </c>
      <c r="H91">
        <v>428</v>
      </c>
      <c r="I91">
        <v>14500</v>
      </c>
      <c r="J91">
        <v>13637</v>
      </c>
      <c r="K91">
        <v>200</v>
      </c>
      <c r="L91" t="s">
        <v>31</v>
      </c>
      <c r="M91">
        <v>8.558620689655172E-2</v>
      </c>
      <c r="N91" t="s">
        <v>613</v>
      </c>
      <c r="O91" t="s">
        <v>30</v>
      </c>
    </row>
    <row r="92" spans="1:15" x14ac:dyDescent="0.3">
      <c r="A92" t="s">
        <v>213</v>
      </c>
      <c r="B92" t="s">
        <v>33</v>
      </c>
      <c r="C92" s="6">
        <v>45497</v>
      </c>
      <c r="D92" t="s">
        <v>52</v>
      </c>
      <c r="E92" t="s">
        <v>215</v>
      </c>
      <c r="F92">
        <v>725</v>
      </c>
      <c r="G92">
        <v>88</v>
      </c>
      <c r="H92">
        <v>428</v>
      </c>
      <c r="I92">
        <v>14500</v>
      </c>
      <c r="J92">
        <v>13637</v>
      </c>
      <c r="K92">
        <v>200</v>
      </c>
      <c r="L92" t="s">
        <v>31</v>
      </c>
      <c r="M92">
        <v>8.558620689655172E-2</v>
      </c>
      <c r="N92" t="s">
        <v>614</v>
      </c>
      <c r="O92" t="s">
        <v>615</v>
      </c>
    </row>
    <row r="93" spans="1:15" x14ac:dyDescent="0.3">
      <c r="A93" t="s">
        <v>217</v>
      </c>
      <c r="B93" t="s">
        <v>27</v>
      </c>
      <c r="C93" s="6">
        <v>45580</v>
      </c>
      <c r="D93" t="s">
        <v>74</v>
      </c>
      <c r="E93" t="s">
        <v>219</v>
      </c>
      <c r="F93">
        <v>1094</v>
      </c>
      <c r="G93">
        <v>472</v>
      </c>
      <c r="H93">
        <v>21</v>
      </c>
      <c r="I93">
        <v>9846</v>
      </c>
      <c r="J93">
        <v>9609</v>
      </c>
      <c r="K93">
        <v>112</v>
      </c>
      <c r="L93" t="s">
        <v>19</v>
      </c>
      <c r="M93">
        <v>0.16118220597196831</v>
      </c>
      <c r="N93" t="s">
        <v>612</v>
      </c>
      <c r="O93" t="s">
        <v>37</v>
      </c>
    </row>
    <row r="94" spans="1:15" x14ac:dyDescent="0.3">
      <c r="A94" t="s">
        <v>220</v>
      </c>
      <c r="B94" t="s">
        <v>43</v>
      </c>
      <c r="C94" s="6">
        <v>45635</v>
      </c>
      <c r="D94" t="s">
        <v>52</v>
      </c>
      <c r="E94" t="s">
        <v>59</v>
      </c>
      <c r="F94">
        <v>1841</v>
      </c>
      <c r="G94">
        <v>851</v>
      </c>
      <c r="H94">
        <v>342</v>
      </c>
      <c r="I94">
        <v>34979</v>
      </c>
      <c r="J94">
        <v>34154</v>
      </c>
      <c r="K94">
        <v>255</v>
      </c>
      <c r="L94" t="s">
        <v>38</v>
      </c>
      <c r="M94">
        <v>8.6737756939878216E-2</v>
      </c>
      <c r="N94" t="s">
        <v>612</v>
      </c>
      <c r="O94" t="s">
        <v>62</v>
      </c>
    </row>
    <row r="95" spans="1:15" x14ac:dyDescent="0.3">
      <c r="A95" t="s">
        <v>222</v>
      </c>
      <c r="B95" t="s">
        <v>33</v>
      </c>
      <c r="C95" s="6">
        <v>45766</v>
      </c>
      <c r="D95" t="s">
        <v>52</v>
      </c>
      <c r="E95" t="s">
        <v>215</v>
      </c>
      <c r="F95">
        <v>4177</v>
      </c>
      <c r="G95">
        <v>569</v>
      </c>
      <c r="H95">
        <v>55</v>
      </c>
      <c r="I95">
        <v>25062</v>
      </c>
      <c r="J95">
        <v>24847</v>
      </c>
      <c r="K95">
        <v>230</v>
      </c>
      <c r="L95" t="s">
        <v>19</v>
      </c>
      <c r="M95">
        <v>0.19156491900087783</v>
      </c>
      <c r="N95" t="s">
        <v>612</v>
      </c>
      <c r="O95" t="s">
        <v>62</v>
      </c>
    </row>
    <row r="96" spans="1:15" x14ac:dyDescent="0.3">
      <c r="A96" t="s">
        <v>223</v>
      </c>
      <c r="B96" t="s">
        <v>27</v>
      </c>
      <c r="C96" s="6">
        <v>45684</v>
      </c>
      <c r="D96" t="s">
        <v>22</v>
      </c>
      <c r="E96" t="s">
        <v>104</v>
      </c>
      <c r="F96">
        <v>3428</v>
      </c>
      <c r="G96">
        <v>305</v>
      </c>
      <c r="H96">
        <v>85</v>
      </c>
      <c r="I96">
        <v>58276</v>
      </c>
      <c r="J96">
        <v>58052</v>
      </c>
      <c r="K96">
        <v>242</v>
      </c>
      <c r="L96" t="s">
        <v>38</v>
      </c>
      <c r="M96">
        <v>6.5515821264328367E-2</v>
      </c>
      <c r="N96" t="s">
        <v>612</v>
      </c>
      <c r="O96" t="s">
        <v>37</v>
      </c>
    </row>
    <row r="97" spans="1:15" x14ac:dyDescent="0.3">
      <c r="A97" t="s">
        <v>223</v>
      </c>
      <c r="B97" t="s">
        <v>27</v>
      </c>
      <c r="C97" s="6">
        <v>45684</v>
      </c>
      <c r="D97" t="s">
        <v>22</v>
      </c>
      <c r="E97" t="s">
        <v>104</v>
      </c>
      <c r="F97">
        <v>3428</v>
      </c>
      <c r="G97">
        <v>305</v>
      </c>
      <c r="H97">
        <v>85</v>
      </c>
      <c r="I97">
        <v>58276</v>
      </c>
      <c r="J97">
        <v>58052</v>
      </c>
      <c r="K97">
        <v>242</v>
      </c>
      <c r="L97" t="s">
        <v>38</v>
      </c>
      <c r="M97">
        <v>6.5515821264328367E-2</v>
      </c>
      <c r="N97" t="s">
        <v>613</v>
      </c>
      <c r="O97" t="s">
        <v>616</v>
      </c>
    </row>
    <row r="98" spans="1:15" x14ac:dyDescent="0.3">
      <c r="A98" t="s">
        <v>225</v>
      </c>
      <c r="B98" t="s">
        <v>14</v>
      </c>
      <c r="C98" s="6">
        <v>45449</v>
      </c>
      <c r="D98" t="s">
        <v>74</v>
      </c>
      <c r="E98" t="s">
        <v>145</v>
      </c>
      <c r="F98">
        <v>1436</v>
      </c>
      <c r="G98">
        <v>765</v>
      </c>
      <c r="H98">
        <v>496</v>
      </c>
      <c r="I98">
        <v>12924</v>
      </c>
      <c r="J98">
        <v>12701</v>
      </c>
      <c r="K98">
        <v>197</v>
      </c>
      <c r="L98" t="s">
        <v>31</v>
      </c>
      <c r="M98">
        <v>0.20868152274837512</v>
      </c>
      <c r="N98" t="s">
        <v>612</v>
      </c>
      <c r="O98" t="s">
        <v>62</v>
      </c>
    </row>
    <row r="99" spans="1:15" x14ac:dyDescent="0.3">
      <c r="A99" t="s">
        <v>227</v>
      </c>
      <c r="B99" t="s">
        <v>43</v>
      </c>
      <c r="C99" s="6">
        <v>45480</v>
      </c>
      <c r="D99" t="s">
        <v>35</v>
      </c>
      <c r="E99" t="s">
        <v>71</v>
      </c>
      <c r="F99">
        <v>302</v>
      </c>
      <c r="G99">
        <v>47</v>
      </c>
      <c r="H99">
        <v>430</v>
      </c>
      <c r="I99">
        <v>5738</v>
      </c>
      <c r="J99">
        <v>4890</v>
      </c>
      <c r="K99">
        <v>25</v>
      </c>
      <c r="L99" t="s">
        <v>38</v>
      </c>
      <c r="M99">
        <v>0.13576158940397351</v>
      </c>
      <c r="N99" t="s">
        <v>612</v>
      </c>
      <c r="O99" t="s">
        <v>30</v>
      </c>
    </row>
    <row r="100" spans="1:15" x14ac:dyDescent="0.3">
      <c r="A100" t="s">
        <v>229</v>
      </c>
      <c r="B100" t="s">
        <v>14</v>
      </c>
      <c r="C100" s="6">
        <v>45667</v>
      </c>
      <c r="D100" t="s">
        <v>52</v>
      </c>
      <c r="E100" t="s">
        <v>132</v>
      </c>
      <c r="F100">
        <v>2214</v>
      </c>
      <c r="G100">
        <v>249</v>
      </c>
      <c r="H100">
        <v>152</v>
      </c>
      <c r="I100">
        <v>15498</v>
      </c>
      <c r="J100">
        <v>14800</v>
      </c>
      <c r="K100">
        <v>180</v>
      </c>
      <c r="L100" t="s">
        <v>19</v>
      </c>
      <c r="M100">
        <v>0.16873144921925409</v>
      </c>
      <c r="N100" t="s">
        <v>612</v>
      </c>
      <c r="O100" t="s">
        <v>37</v>
      </c>
    </row>
    <row r="101" spans="1:15" x14ac:dyDescent="0.3">
      <c r="A101" t="s">
        <v>231</v>
      </c>
      <c r="B101" t="s">
        <v>33</v>
      </c>
      <c r="C101" s="6">
        <v>45446</v>
      </c>
      <c r="D101" t="s">
        <v>52</v>
      </c>
      <c r="E101" t="s">
        <v>215</v>
      </c>
      <c r="F101">
        <v>3861</v>
      </c>
      <c r="G101">
        <v>960</v>
      </c>
      <c r="H101">
        <v>101</v>
      </c>
      <c r="I101">
        <v>69498</v>
      </c>
      <c r="J101">
        <v>68817</v>
      </c>
      <c r="K101">
        <v>297</v>
      </c>
      <c r="L101" t="s">
        <v>38</v>
      </c>
      <c r="M101">
        <v>7.0822181933293038E-2</v>
      </c>
      <c r="N101" t="s">
        <v>612</v>
      </c>
      <c r="O101" t="s">
        <v>30</v>
      </c>
    </row>
    <row r="102" spans="1:15" x14ac:dyDescent="0.3">
      <c r="A102" t="s">
        <v>233</v>
      </c>
      <c r="B102" t="s">
        <v>43</v>
      </c>
      <c r="C102" s="6">
        <v>45740</v>
      </c>
      <c r="D102" t="s">
        <v>52</v>
      </c>
      <c r="E102" t="s">
        <v>59</v>
      </c>
      <c r="F102">
        <v>1263</v>
      </c>
      <c r="G102">
        <v>397</v>
      </c>
      <c r="H102">
        <v>357</v>
      </c>
      <c r="I102">
        <v>25260</v>
      </c>
      <c r="J102">
        <v>24615</v>
      </c>
      <c r="K102">
        <v>137</v>
      </c>
      <c r="L102" t="s">
        <v>38</v>
      </c>
      <c r="M102">
        <v>7.984956452889945E-2</v>
      </c>
      <c r="N102" t="s">
        <v>612</v>
      </c>
      <c r="O102" t="s">
        <v>37</v>
      </c>
    </row>
    <row r="103" spans="1:15" x14ac:dyDescent="0.3">
      <c r="A103" t="s">
        <v>235</v>
      </c>
      <c r="B103" t="s">
        <v>14</v>
      </c>
      <c r="C103" s="6">
        <v>45586</v>
      </c>
      <c r="D103" t="s">
        <v>35</v>
      </c>
      <c r="E103" t="s">
        <v>149</v>
      </c>
      <c r="F103">
        <v>3801</v>
      </c>
      <c r="G103">
        <v>967</v>
      </c>
      <c r="H103">
        <v>401</v>
      </c>
      <c r="I103">
        <v>38010</v>
      </c>
      <c r="J103">
        <v>37625</v>
      </c>
      <c r="K103">
        <v>236</v>
      </c>
      <c r="L103" t="s">
        <v>31</v>
      </c>
      <c r="M103">
        <v>0.13599052880820836</v>
      </c>
      <c r="N103" t="s">
        <v>612</v>
      </c>
      <c r="O103" t="s">
        <v>62</v>
      </c>
    </row>
    <row r="104" spans="1:15" x14ac:dyDescent="0.3">
      <c r="A104" t="s">
        <v>236</v>
      </c>
      <c r="B104" t="s">
        <v>33</v>
      </c>
      <c r="C104" s="6">
        <v>45637</v>
      </c>
      <c r="D104" t="s">
        <v>74</v>
      </c>
      <c r="E104" t="s">
        <v>85</v>
      </c>
      <c r="F104">
        <v>1431</v>
      </c>
      <c r="G104">
        <v>951</v>
      </c>
      <c r="H104">
        <v>26</v>
      </c>
      <c r="I104">
        <v>8586</v>
      </c>
      <c r="J104">
        <v>8396</v>
      </c>
      <c r="K104">
        <v>150</v>
      </c>
      <c r="L104" t="s">
        <v>31</v>
      </c>
      <c r="M104">
        <v>0.28045655718611695</v>
      </c>
      <c r="N104" t="s">
        <v>612</v>
      </c>
      <c r="O104" t="s">
        <v>37</v>
      </c>
    </row>
    <row r="105" spans="1:15" x14ac:dyDescent="0.3">
      <c r="A105" t="s">
        <v>238</v>
      </c>
      <c r="B105" t="s">
        <v>33</v>
      </c>
      <c r="C105" s="6">
        <v>45603</v>
      </c>
      <c r="D105" t="s">
        <v>52</v>
      </c>
      <c r="E105" t="s">
        <v>215</v>
      </c>
      <c r="F105">
        <v>2647</v>
      </c>
      <c r="G105">
        <v>304</v>
      </c>
      <c r="H105">
        <v>170</v>
      </c>
      <c r="I105">
        <v>18529</v>
      </c>
      <c r="J105">
        <v>17841</v>
      </c>
      <c r="K105">
        <v>46</v>
      </c>
      <c r="L105" t="s">
        <v>31</v>
      </c>
      <c r="M105">
        <v>0.16843866371633656</v>
      </c>
      <c r="N105" t="s">
        <v>612</v>
      </c>
      <c r="O105" t="s">
        <v>62</v>
      </c>
    </row>
    <row r="106" spans="1:15" x14ac:dyDescent="0.3">
      <c r="A106" t="s">
        <v>239</v>
      </c>
      <c r="B106" t="s">
        <v>33</v>
      </c>
      <c r="C106" s="6">
        <v>45604</v>
      </c>
      <c r="D106" t="s">
        <v>22</v>
      </c>
      <c r="E106" t="s">
        <v>113</v>
      </c>
      <c r="F106">
        <v>3182</v>
      </c>
      <c r="G106">
        <v>559</v>
      </c>
      <c r="H106">
        <v>160</v>
      </c>
      <c r="I106">
        <v>57276</v>
      </c>
      <c r="J106">
        <v>56890</v>
      </c>
      <c r="K106">
        <v>163</v>
      </c>
      <c r="L106" t="s">
        <v>38</v>
      </c>
      <c r="M106">
        <v>6.8108806480899509E-2</v>
      </c>
      <c r="N106" t="s">
        <v>612</v>
      </c>
      <c r="O106" t="s">
        <v>62</v>
      </c>
    </row>
    <row r="107" spans="1:15" x14ac:dyDescent="0.3">
      <c r="A107" t="s">
        <v>241</v>
      </c>
      <c r="B107" t="s">
        <v>14</v>
      </c>
      <c r="C107" s="6">
        <v>45545</v>
      </c>
      <c r="D107" t="s">
        <v>52</v>
      </c>
      <c r="E107" t="s">
        <v>132</v>
      </c>
      <c r="F107">
        <v>1238</v>
      </c>
      <c r="G107">
        <v>366</v>
      </c>
      <c r="H107">
        <v>444</v>
      </c>
      <c r="I107">
        <v>19808</v>
      </c>
      <c r="J107">
        <v>19334</v>
      </c>
      <c r="K107">
        <v>123</v>
      </c>
      <c r="L107" t="s">
        <v>38</v>
      </c>
      <c r="M107">
        <v>0.10339256865912763</v>
      </c>
      <c r="N107" t="s">
        <v>612</v>
      </c>
      <c r="O107" t="s">
        <v>62</v>
      </c>
    </row>
    <row r="108" spans="1:15" x14ac:dyDescent="0.3">
      <c r="A108" t="s">
        <v>243</v>
      </c>
      <c r="B108" t="s">
        <v>33</v>
      </c>
      <c r="C108" s="6">
        <v>45517</v>
      </c>
      <c r="D108" t="s">
        <v>52</v>
      </c>
      <c r="E108" t="s">
        <v>215</v>
      </c>
      <c r="F108">
        <v>4739</v>
      </c>
      <c r="G108">
        <v>527</v>
      </c>
      <c r="H108">
        <v>135</v>
      </c>
      <c r="I108">
        <v>61607</v>
      </c>
      <c r="J108">
        <v>61333</v>
      </c>
      <c r="K108">
        <v>36</v>
      </c>
      <c r="L108" t="s">
        <v>25</v>
      </c>
      <c r="M108">
        <v>8.7668609086629767E-2</v>
      </c>
      <c r="N108" t="s">
        <v>612</v>
      </c>
      <c r="O108" t="s">
        <v>30</v>
      </c>
    </row>
    <row r="109" spans="1:15" x14ac:dyDescent="0.3">
      <c r="A109" t="s">
        <v>243</v>
      </c>
      <c r="B109" t="s">
        <v>33</v>
      </c>
      <c r="C109" s="6">
        <v>45517</v>
      </c>
      <c r="D109" t="s">
        <v>52</v>
      </c>
      <c r="E109" t="s">
        <v>215</v>
      </c>
      <c r="F109">
        <v>4739</v>
      </c>
      <c r="G109">
        <v>527</v>
      </c>
      <c r="H109">
        <v>135</v>
      </c>
      <c r="I109">
        <v>61607</v>
      </c>
      <c r="J109">
        <v>61333</v>
      </c>
      <c r="K109">
        <v>36</v>
      </c>
      <c r="L109" t="s">
        <v>25</v>
      </c>
      <c r="M109">
        <v>8.7668609086629767E-2</v>
      </c>
      <c r="N109" t="s">
        <v>613</v>
      </c>
      <c r="O109" t="s">
        <v>615</v>
      </c>
    </row>
    <row r="110" spans="1:15" x14ac:dyDescent="0.3">
      <c r="A110" t="s">
        <v>245</v>
      </c>
      <c r="B110" t="s">
        <v>14</v>
      </c>
      <c r="C110" s="6">
        <v>45453</v>
      </c>
      <c r="D110" t="s">
        <v>35</v>
      </c>
      <c r="E110" t="s">
        <v>149</v>
      </c>
      <c r="F110">
        <v>1575</v>
      </c>
      <c r="G110">
        <v>771</v>
      </c>
      <c r="H110">
        <v>486</v>
      </c>
      <c r="I110">
        <v>25200</v>
      </c>
      <c r="J110">
        <v>24826</v>
      </c>
      <c r="K110">
        <v>17</v>
      </c>
      <c r="L110" t="s">
        <v>38</v>
      </c>
      <c r="M110">
        <v>0.11238095238095239</v>
      </c>
      <c r="N110" t="s">
        <v>612</v>
      </c>
      <c r="O110" t="s">
        <v>62</v>
      </c>
    </row>
    <row r="111" spans="1:15" x14ac:dyDescent="0.3">
      <c r="A111" t="s">
        <v>246</v>
      </c>
      <c r="B111" t="s">
        <v>27</v>
      </c>
      <c r="C111" s="6">
        <v>45475</v>
      </c>
      <c r="D111" t="s">
        <v>45</v>
      </c>
      <c r="E111" t="s">
        <v>68</v>
      </c>
      <c r="F111">
        <v>4171</v>
      </c>
      <c r="G111">
        <v>548</v>
      </c>
      <c r="H111">
        <v>86</v>
      </c>
      <c r="I111">
        <v>66736</v>
      </c>
      <c r="J111">
        <v>66634</v>
      </c>
      <c r="K111">
        <v>173</v>
      </c>
      <c r="L111" t="s">
        <v>31</v>
      </c>
      <c r="M111">
        <v>7.2000119875329657E-2</v>
      </c>
      <c r="N111" t="s">
        <v>612</v>
      </c>
      <c r="O111" t="s">
        <v>62</v>
      </c>
    </row>
    <row r="112" spans="1:15" x14ac:dyDescent="0.3">
      <c r="A112" t="s">
        <v>248</v>
      </c>
      <c r="B112" t="s">
        <v>27</v>
      </c>
      <c r="C112" s="6">
        <v>45698</v>
      </c>
      <c r="D112" t="s">
        <v>74</v>
      </c>
      <c r="E112" t="s">
        <v>219</v>
      </c>
      <c r="F112">
        <v>1766</v>
      </c>
      <c r="G112">
        <v>92</v>
      </c>
      <c r="H112">
        <v>424</v>
      </c>
      <c r="I112">
        <v>24724</v>
      </c>
      <c r="J112">
        <v>24333</v>
      </c>
      <c r="K112">
        <v>52</v>
      </c>
      <c r="L112" t="s">
        <v>19</v>
      </c>
      <c r="M112">
        <v>9.2298980747451867E-2</v>
      </c>
      <c r="N112" t="s">
        <v>612</v>
      </c>
      <c r="O112" t="s">
        <v>37</v>
      </c>
    </row>
    <row r="113" spans="1:15" x14ac:dyDescent="0.3">
      <c r="A113" t="s">
        <v>250</v>
      </c>
      <c r="B113" t="s">
        <v>27</v>
      </c>
      <c r="C113" s="6">
        <v>45583</v>
      </c>
      <c r="D113" t="s">
        <v>74</v>
      </c>
      <c r="E113" t="s">
        <v>219</v>
      </c>
      <c r="F113">
        <v>4450</v>
      </c>
      <c r="G113">
        <v>983</v>
      </c>
      <c r="H113">
        <v>143</v>
      </c>
      <c r="I113">
        <v>75650</v>
      </c>
      <c r="J113">
        <v>75008</v>
      </c>
      <c r="K113">
        <v>12</v>
      </c>
      <c r="L113" t="s">
        <v>31</v>
      </c>
      <c r="M113">
        <v>7.3707865168539333E-2</v>
      </c>
      <c r="N113" t="s">
        <v>612</v>
      </c>
      <c r="O113" t="s">
        <v>62</v>
      </c>
    </row>
    <row r="114" spans="1:15" x14ac:dyDescent="0.3">
      <c r="A114" t="s">
        <v>251</v>
      </c>
      <c r="B114" t="s">
        <v>14</v>
      </c>
      <c r="C114" s="6">
        <v>45553</v>
      </c>
      <c r="D114" t="s">
        <v>16</v>
      </c>
      <c r="E114" t="s">
        <v>17</v>
      </c>
      <c r="F114">
        <v>1000</v>
      </c>
      <c r="G114">
        <v>978</v>
      </c>
      <c r="H114">
        <v>162</v>
      </c>
      <c r="I114">
        <v>6000</v>
      </c>
      <c r="J114">
        <v>5221</v>
      </c>
      <c r="K114">
        <v>223</v>
      </c>
      <c r="L114" t="s">
        <v>25</v>
      </c>
      <c r="M114">
        <v>0.35666666666666669</v>
      </c>
      <c r="N114" t="s">
        <v>612</v>
      </c>
      <c r="O114" t="s">
        <v>37</v>
      </c>
    </row>
    <row r="115" spans="1:15" x14ac:dyDescent="0.3">
      <c r="A115" t="s">
        <v>253</v>
      </c>
      <c r="B115" t="s">
        <v>43</v>
      </c>
      <c r="C115" s="6">
        <v>45454</v>
      </c>
      <c r="D115" t="s">
        <v>52</v>
      </c>
      <c r="E115" t="s">
        <v>59</v>
      </c>
      <c r="F115">
        <v>3689</v>
      </c>
      <c r="G115">
        <v>48</v>
      </c>
      <c r="H115">
        <v>306</v>
      </c>
      <c r="I115">
        <v>40579</v>
      </c>
      <c r="J115">
        <v>39588</v>
      </c>
      <c r="K115">
        <v>212</v>
      </c>
      <c r="L115" t="s">
        <v>25</v>
      </c>
      <c r="M115">
        <v>9.9632815002833983E-2</v>
      </c>
      <c r="N115" t="s">
        <v>612</v>
      </c>
      <c r="O115" t="s">
        <v>37</v>
      </c>
    </row>
    <row r="116" spans="1:15" x14ac:dyDescent="0.3">
      <c r="A116" t="s">
        <v>255</v>
      </c>
      <c r="B116" t="s">
        <v>27</v>
      </c>
      <c r="C116" s="6">
        <v>45739</v>
      </c>
      <c r="D116" t="s">
        <v>35</v>
      </c>
      <c r="E116" t="s">
        <v>154</v>
      </c>
      <c r="F116">
        <v>3655</v>
      </c>
      <c r="G116">
        <v>568</v>
      </c>
      <c r="H116">
        <v>286</v>
      </c>
      <c r="I116">
        <v>32895</v>
      </c>
      <c r="J116">
        <v>32015</v>
      </c>
      <c r="K116">
        <v>199</v>
      </c>
      <c r="L116" t="s">
        <v>31</v>
      </c>
      <c r="M116">
        <v>0.13707250341997265</v>
      </c>
      <c r="N116" t="s">
        <v>612</v>
      </c>
      <c r="O116" t="s">
        <v>30</v>
      </c>
    </row>
    <row r="117" spans="1:15" x14ac:dyDescent="0.3">
      <c r="A117" t="s">
        <v>257</v>
      </c>
      <c r="B117" t="s">
        <v>33</v>
      </c>
      <c r="C117" s="6">
        <v>45457</v>
      </c>
      <c r="D117" t="s">
        <v>45</v>
      </c>
      <c r="E117" t="s">
        <v>88</v>
      </c>
      <c r="F117">
        <v>498</v>
      </c>
      <c r="G117">
        <v>38</v>
      </c>
      <c r="H117">
        <v>42</v>
      </c>
      <c r="I117">
        <v>4482</v>
      </c>
      <c r="J117">
        <v>3647</v>
      </c>
      <c r="K117">
        <v>32</v>
      </c>
      <c r="L117" t="s">
        <v>19</v>
      </c>
      <c r="M117">
        <v>0.12896028558679162</v>
      </c>
      <c r="N117" t="s">
        <v>612</v>
      </c>
      <c r="O117" t="s">
        <v>62</v>
      </c>
    </row>
    <row r="118" spans="1:15" x14ac:dyDescent="0.3">
      <c r="A118" t="s">
        <v>259</v>
      </c>
      <c r="B118" t="s">
        <v>33</v>
      </c>
      <c r="C118" s="6">
        <v>45692</v>
      </c>
      <c r="D118" t="s">
        <v>52</v>
      </c>
      <c r="E118" t="s">
        <v>215</v>
      </c>
      <c r="F118">
        <v>4619</v>
      </c>
      <c r="G118">
        <v>821</v>
      </c>
      <c r="H118">
        <v>499</v>
      </c>
      <c r="I118">
        <v>69285</v>
      </c>
      <c r="J118">
        <v>69141</v>
      </c>
      <c r="K118">
        <v>298</v>
      </c>
      <c r="L118" t="s">
        <v>38</v>
      </c>
      <c r="M118">
        <v>8.5718409468138843E-2</v>
      </c>
      <c r="N118" t="s">
        <v>612</v>
      </c>
      <c r="O118" t="s">
        <v>30</v>
      </c>
    </row>
    <row r="119" spans="1:15" x14ac:dyDescent="0.3">
      <c r="A119" t="s">
        <v>261</v>
      </c>
      <c r="B119" t="s">
        <v>27</v>
      </c>
      <c r="C119" s="6">
        <v>45464</v>
      </c>
      <c r="D119" t="s">
        <v>52</v>
      </c>
      <c r="E119" t="s">
        <v>53</v>
      </c>
      <c r="F119">
        <v>4832</v>
      </c>
      <c r="G119">
        <v>893</v>
      </c>
      <c r="H119">
        <v>10</v>
      </c>
      <c r="I119">
        <v>91808</v>
      </c>
      <c r="J119">
        <v>91296</v>
      </c>
      <c r="K119">
        <v>182</v>
      </c>
      <c r="L119" t="s">
        <v>25</v>
      </c>
      <c r="M119">
        <v>6.2467323109097243E-2</v>
      </c>
      <c r="N119" t="s">
        <v>612</v>
      </c>
      <c r="O119" t="s">
        <v>30</v>
      </c>
    </row>
    <row r="120" spans="1:15" x14ac:dyDescent="0.3">
      <c r="A120" t="s">
        <v>263</v>
      </c>
      <c r="B120" t="s">
        <v>14</v>
      </c>
      <c r="C120" s="6">
        <v>45741</v>
      </c>
      <c r="D120" t="s">
        <v>74</v>
      </c>
      <c r="E120" t="s">
        <v>145</v>
      </c>
      <c r="F120">
        <v>4050</v>
      </c>
      <c r="G120">
        <v>871</v>
      </c>
      <c r="H120">
        <v>347</v>
      </c>
      <c r="I120">
        <v>52650</v>
      </c>
      <c r="J120">
        <v>51755</v>
      </c>
      <c r="K120">
        <v>209</v>
      </c>
      <c r="L120" t="s">
        <v>25</v>
      </c>
      <c r="M120">
        <v>0.10005698005698006</v>
      </c>
      <c r="N120" t="s">
        <v>612</v>
      </c>
      <c r="O120" t="s">
        <v>30</v>
      </c>
    </row>
    <row r="121" spans="1:15" x14ac:dyDescent="0.3">
      <c r="A121" t="s">
        <v>265</v>
      </c>
      <c r="B121" t="s">
        <v>14</v>
      </c>
      <c r="C121" s="6">
        <v>45512</v>
      </c>
      <c r="D121" t="s">
        <v>35</v>
      </c>
      <c r="E121" t="s">
        <v>149</v>
      </c>
      <c r="F121">
        <v>3649</v>
      </c>
      <c r="G121">
        <v>215</v>
      </c>
      <c r="H121">
        <v>413</v>
      </c>
      <c r="I121">
        <v>25543</v>
      </c>
      <c r="J121">
        <v>24963</v>
      </c>
      <c r="K121">
        <v>167</v>
      </c>
      <c r="L121" t="s">
        <v>31</v>
      </c>
      <c r="M121">
        <v>0.16744313510550835</v>
      </c>
      <c r="N121" t="s">
        <v>612</v>
      </c>
      <c r="O121" t="s">
        <v>62</v>
      </c>
    </row>
    <row r="122" spans="1:15" x14ac:dyDescent="0.3">
      <c r="A122" t="s">
        <v>267</v>
      </c>
      <c r="B122" t="s">
        <v>33</v>
      </c>
      <c r="C122" s="6">
        <v>45502</v>
      </c>
      <c r="D122" t="s">
        <v>16</v>
      </c>
      <c r="E122" t="s">
        <v>82</v>
      </c>
      <c r="F122">
        <v>3523</v>
      </c>
      <c r="G122">
        <v>753</v>
      </c>
      <c r="H122">
        <v>482</v>
      </c>
      <c r="I122">
        <v>38753</v>
      </c>
      <c r="J122">
        <v>38579</v>
      </c>
      <c r="K122">
        <v>270</v>
      </c>
      <c r="L122" t="s">
        <v>25</v>
      </c>
      <c r="M122">
        <v>0.12277759141227776</v>
      </c>
      <c r="N122" t="s">
        <v>612</v>
      </c>
      <c r="O122" t="s">
        <v>37</v>
      </c>
    </row>
    <row r="123" spans="1:15" x14ac:dyDescent="0.3">
      <c r="A123" t="s">
        <v>269</v>
      </c>
      <c r="B123" t="s">
        <v>27</v>
      </c>
      <c r="C123" s="6">
        <v>45619</v>
      </c>
      <c r="D123" t="s">
        <v>52</v>
      </c>
      <c r="E123" t="s">
        <v>53</v>
      </c>
      <c r="F123">
        <v>2719</v>
      </c>
      <c r="G123">
        <v>17</v>
      </c>
      <c r="H123">
        <v>285</v>
      </c>
      <c r="I123">
        <v>40785</v>
      </c>
      <c r="J123">
        <v>40281</v>
      </c>
      <c r="K123">
        <v>40</v>
      </c>
      <c r="L123" t="s">
        <v>25</v>
      </c>
      <c r="M123">
        <v>7.4071349760941527E-2</v>
      </c>
      <c r="N123" t="s">
        <v>612</v>
      </c>
      <c r="O123" t="s">
        <v>30</v>
      </c>
    </row>
    <row r="124" spans="1:15" x14ac:dyDescent="0.3">
      <c r="A124" t="s">
        <v>271</v>
      </c>
      <c r="B124" t="s">
        <v>14</v>
      </c>
      <c r="C124" s="6">
        <v>45570</v>
      </c>
      <c r="D124" t="s">
        <v>35</v>
      </c>
      <c r="E124" t="s">
        <v>149</v>
      </c>
      <c r="F124">
        <v>1957</v>
      </c>
      <c r="G124">
        <v>877</v>
      </c>
      <c r="H124">
        <v>238</v>
      </c>
      <c r="I124">
        <v>17613</v>
      </c>
      <c r="J124">
        <v>16865</v>
      </c>
      <c r="K124">
        <v>297</v>
      </c>
      <c r="L124" t="s">
        <v>31</v>
      </c>
      <c r="M124">
        <v>0.17441662408448305</v>
      </c>
      <c r="N124" t="s">
        <v>612</v>
      </c>
      <c r="O124" t="s">
        <v>62</v>
      </c>
    </row>
    <row r="125" spans="1:15" x14ac:dyDescent="0.3">
      <c r="A125" t="s">
        <v>273</v>
      </c>
      <c r="B125" t="s">
        <v>14</v>
      </c>
      <c r="C125" s="6">
        <v>45567</v>
      </c>
      <c r="D125" t="s">
        <v>45</v>
      </c>
      <c r="E125" t="s">
        <v>49</v>
      </c>
      <c r="F125">
        <v>4419</v>
      </c>
      <c r="G125">
        <v>236</v>
      </c>
      <c r="H125">
        <v>369</v>
      </c>
      <c r="I125">
        <v>44190</v>
      </c>
      <c r="J125">
        <v>43582</v>
      </c>
      <c r="K125">
        <v>10</v>
      </c>
      <c r="L125" t="s">
        <v>19</v>
      </c>
      <c r="M125">
        <v>0.11369088028965829</v>
      </c>
      <c r="N125" t="s">
        <v>612</v>
      </c>
      <c r="O125" t="s">
        <v>37</v>
      </c>
    </row>
    <row r="126" spans="1:15" x14ac:dyDescent="0.3">
      <c r="A126" t="s">
        <v>275</v>
      </c>
      <c r="B126" t="s">
        <v>14</v>
      </c>
      <c r="C126" s="6">
        <v>45610</v>
      </c>
      <c r="D126" t="s">
        <v>35</v>
      </c>
      <c r="E126" t="s">
        <v>149</v>
      </c>
      <c r="F126">
        <v>4000</v>
      </c>
      <c r="G126">
        <v>689</v>
      </c>
      <c r="H126">
        <v>488</v>
      </c>
      <c r="I126">
        <v>40000</v>
      </c>
      <c r="J126">
        <v>39569</v>
      </c>
      <c r="K126">
        <v>44</v>
      </c>
      <c r="L126" t="s">
        <v>19</v>
      </c>
      <c r="M126">
        <v>0.12942500000000001</v>
      </c>
      <c r="N126" t="s">
        <v>612</v>
      </c>
      <c r="O126" t="s">
        <v>62</v>
      </c>
    </row>
    <row r="127" spans="1:15" x14ac:dyDescent="0.3">
      <c r="A127" t="s">
        <v>277</v>
      </c>
      <c r="B127" t="s">
        <v>14</v>
      </c>
      <c r="C127" s="6">
        <v>45788</v>
      </c>
      <c r="D127" t="s">
        <v>52</v>
      </c>
      <c r="E127" t="s">
        <v>132</v>
      </c>
      <c r="F127">
        <v>2493</v>
      </c>
      <c r="G127">
        <v>97</v>
      </c>
      <c r="H127">
        <v>44</v>
      </c>
      <c r="I127">
        <v>42381</v>
      </c>
      <c r="J127">
        <v>41991</v>
      </c>
      <c r="K127">
        <v>242</v>
      </c>
      <c r="L127" t="s">
        <v>38</v>
      </c>
      <c r="M127">
        <v>6.2150491965739366E-2</v>
      </c>
      <c r="N127" t="s">
        <v>612</v>
      </c>
      <c r="O127" t="s">
        <v>30</v>
      </c>
    </row>
    <row r="128" spans="1:15" x14ac:dyDescent="0.3">
      <c r="A128" t="s">
        <v>277</v>
      </c>
      <c r="B128" t="s">
        <v>14</v>
      </c>
      <c r="C128" s="6">
        <v>45788</v>
      </c>
      <c r="D128" t="s">
        <v>52</v>
      </c>
      <c r="E128" t="s">
        <v>132</v>
      </c>
      <c r="F128">
        <v>2493</v>
      </c>
      <c r="G128">
        <v>97</v>
      </c>
      <c r="H128">
        <v>44</v>
      </c>
      <c r="I128">
        <v>42381</v>
      </c>
      <c r="J128">
        <v>41991</v>
      </c>
      <c r="K128">
        <v>242</v>
      </c>
      <c r="L128" t="s">
        <v>38</v>
      </c>
      <c r="M128">
        <v>6.2150491965739366E-2</v>
      </c>
      <c r="N128" t="s">
        <v>613</v>
      </c>
      <c r="O128" t="s">
        <v>615</v>
      </c>
    </row>
    <row r="129" spans="1:15" x14ac:dyDescent="0.3">
      <c r="A129" t="s">
        <v>279</v>
      </c>
      <c r="B129" t="s">
        <v>27</v>
      </c>
      <c r="C129" s="6">
        <v>45734</v>
      </c>
      <c r="D129" t="s">
        <v>16</v>
      </c>
      <c r="E129" t="s">
        <v>29</v>
      </c>
      <c r="F129">
        <v>3704</v>
      </c>
      <c r="G129">
        <v>186</v>
      </c>
      <c r="H129">
        <v>458</v>
      </c>
      <c r="I129">
        <v>25928</v>
      </c>
      <c r="J129">
        <v>25081</v>
      </c>
      <c r="K129">
        <v>131</v>
      </c>
      <c r="L129" t="s">
        <v>25</v>
      </c>
      <c r="M129">
        <v>0.16769515581610614</v>
      </c>
      <c r="N129" t="s">
        <v>612</v>
      </c>
      <c r="O129" t="s">
        <v>30</v>
      </c>
    </row>
    <row r="130" spans="1:15" x14ac:dyDescent="0.3">
      <c r="A130" t="s">
        <v>281</v>
      </c>
      <c r="B130" t="s">
        <v>14</v>
      </c>
      <c r="C130" s="6">
        <v>45600</v>
      </c>
      <c r="D130" t="s">
        <v>52</v>
      </c>
      <c r="E130" t="s">
        <v>132</v>
      </c>
      <c r="F130">
        <v>1606</v>
      </c>
      <c r="G130">
        <v>451</v>
      </c>
      <c r="H130">
        <v>405</v>
      </c>
      <c r="I130">
        <v>20878</v>
      </c>
      <c r="J130">
        <v>20190</v>
      </c>
      <c r="K130">
        <v>219</v>
      </c>
      <c r="L130" t="s">
        <v>38</v>
      </c>
      <c r="M130">
        <v>0.11792317271769326</v>
      </c>
      <c r="N130" t="s">
        <v>612</v>
      </c>
      <c r="O130" t="s">
        <v>37</v>
      </c>
    </row>
    <row r="131" spans="1:15" x14ac:dyDescent="0.3">
      <c r="A131" t="s">
        <v>283</v>
      </c>
      <c r="B131" t="s">
        <v>43</v>
      </c>
      <c r="C131" s="6">
        <v>45600</v>
      </c>
      <c r="D131" t="s">
        <v>52</v>
      </c>
      <c r="E131" t="s">
        <v>59</v>
      </c>
      <c r="F131">
        <v>4551</v>
      </c>
      <c r="G131">
        <v>714</v>
      </c>
      <c r="H131">
        <v>207</v>
      </c>
      <c r="I131">
        <v>68265</v>
      </c>
      <c r="J131">
        <v>67754</v>
      </c>
      <c r="K131">
        <v>57</v>
      </c>
      <c r="L131" t="s">
        <v>31</v>
      </c>
      <c r="M131">
        <v>8.0158206987475278E-2</v>
      </c>
      <c r="N131" t="s">
        <v>612</v>
      </c>
      <c r="O131" t="s">
        <v>62</v>
      </c>
    </row>
    <row r="132" spans="1:15" x14ac:dyDescent="0.3">
      <c r="A132" t="s">
        <v>284</v>
      </c>
      <c r="B132" t="s">
        <v>33</v>
      </c>
      <c r="C132" s="6">
        <v>45695</v>
      </c>
      <c r="D132" t="s">
        <v>16</v>
      </c>
      <c r="E132" t="s">
        <v>82</v>
      </c>
      <c r="F132">
        <v>1970</v>
      </c>
      <c r="G132">
        <v>675</v>
      </c>
      <c r="H132">
        <v>478</v>
      </c>
      <c r="I132">
        <v>9850</v>
      </c>
      <c r="J132">
        <v>8924</v>
      </c>
      <c r="K132">
        <v>117</v>
      </c>
      <c r="L132" t="s">
        <v>38</v>
      </c>
      <c r="M132">
        <v>0.31705583756345179</v>
      </c>
      <c r="N132" t="s">
        <v>612</v>
      </c>
      <c r="O132" t="s">
        <v>62</v>
      </c>
    </row>
    <row r="133" spans="1:15" x14ac:dyDescent="0.3">
      <c r="A133" t="s">
        <v>286</v>
      </c>
      <c r="B133" t="s">
        <v>43</v>
      </c>
      <c r="C133" s="6">
        <v>45586</v>
      </c>
      <c r="D133" t="s">
        <v>35</v>
      </c>
      <c r="E133" t="s">
        <v>71</v>
      </c>
      <c r="F133">
        <v>780</v>
      </c>
      <c r="G133">
        <v>928</v>
      </c>
      <c r="H133">
        <v>301</v>
      </c>
      <c r="I133">
        <v>8580</v>
      </c>
      <c r="J133">
        <v>8081</v>
      </c>
      <c r="K133">
        <v>91</v>
      </c>
      <c r="L133" t="s">
        <v>31</v>
      </c>
      <c r="M133">
        <v>0.23414918414918415</v>
      </c>
      <c r="N133" t="s">
        <v>612</v>
      </c>
      <c r="O133" t="s">
        <v>37</v>
      </c>
    </row>
    <row r="134" spans="1:15" x14ac:dyDescent="0.3">
      <c r="A134" t="s">
        <v>287</v>
      </c>
      <c r="B134" t="s">
        <v>33</v>
      </c>
      <c r="C134" s="6">
        <v>45502</v>
      </c>
      <c r="D134" t="s">
        <v>35</v>
      </c>
      <c r="E134" t="s">
        <v>36</v>
      </c>
      <c r="F134">
        <v>498</v>
      </c>
      <c r="G134">
        <v>701</v>
      </c>
      <c r="H134">
        <v>412</v>
      </c>
      <c r="I134">
        <v>4980</v>
      </c>
      <c r="J134">
        <v>4185</v>
      </c>
      <c r="K134">
        <v>185</v>
      </c>
      <c r="L134" t="s">
        <v>38</v>
      </c>
      <c r="M134">
        <v>0.32349397590361445</v>
      </c>
      <c r="N134" t="s">
        <v>612</v>
      </c>
      <c r="O134" t="s">
        <v>62</v>
      </c>
    </row>
    <row r="135" spans="1:15" x14ac:dyDescent="0.3">
      <c r="A135" t="s">
        <v>288</v>
      </c>
      <c r="B135" t="s">
        <v>33</v>
      </c>
      <c r="C135" s="6">
        <v>45567</v>
      </c>
      <c r="D135" t="s">
        <v>22</v>
      </c>
      <c r="E135" t="s">
        <v>113</v>
      </c>
      <c r="F135">
        <v>3432</v>
      </c>
      <c r="G135">
        <v>869</v>
      </c>
      <c r="H135">
        <v>123</v>
      </c>
      <c r="I135">
        <v>54912</v>
      </c>
      <c r="J135">
        <v>53916</v>
      </c>
      <c r="K135">
        <v>264</v>
      </c>
      <c r="L135" t="s">
        <v>25</v>
      </c>
      <c r="M135">
        <v>8.0565268065268064E-2</v>
      </c>
      <c r="N135" t="s">
        <v>612</v>
      </c>
      <c r="O135" t="s">
        <v>37</v>
      </c>
    </row>
    <row r="136" spans="1:15" x14ac:dyDescent="0.3">
      <c r="A136" t="s">
        <v>289</v>
      </c>
      <c r="B136" t="s">
        <v>33</v>
      </c>
      <c r="C136" s="6">
        <v>45457</v>
      </c>
      <c r="D136" t="s">
        <v>35</v>
      </c>
      <c r="E136" t="s">
        <v>36</v>
      </c>
      <c r="F136">
        <v>4363</v>
      </c>
      <c r="G136">
        <v>649</v>
      </c>
      <c r="H136">
        <v>140</v>
      </c>
      <c r="I136">
        <v>21815</v>
      </c>
      <c r="J136">
        <v>21481</v>
      </c>
      <c r="K136">
        <v>157</v>
      </c>
      <c r="L136" t="s">
        <v>19</v>
      </c>
      <c r="M136">
        <v>0.23616777446710979</v>
      </c>
      <c r="N136" t="s">
        <v>612</v>
      </c>
      <c r="O136" t="s">
        <v>37</v>
      </c>
    </row>
    <row r="137" spans="1:15" x14ac:dyDescent="0.3">
      <c r="A137" t="s">
        <v>290</v>
      </c>
      <c r="B137" t="s">
        <v>27</v>
      </c>
      <c r="C137" s="6">
        <v>45753</v>
      </c>
      <c r="D137" t="s">
        <v>45</v>
      </c>
      <c r="E137" t="s">
        <v>68</v>
      </c>
      <c r="F137">
        <v>736</v>
      </c>
      <c r="G137">
        <v>771</v>
      </c>
      <c r="H137">
        <v>225</v>
      </c>
      <c r="I137">
        <v>5152</v>
      </c>
      <c r="J137">
        <v>4706</v>
      </c>
      <c r="K137">
        <v>19</v>
      </c>
      <c r="L137" t="s">
        <v>19</v>
      </c>
      <c r="M137">
        <v>0.33618012422360249</v>
      </c>
      <c r="N137" t="s">
        <v>612</v>
      </c>
      <c r="O137" t="s">
        <v>37</v>
      </c>
    </row>
    <row r="138" spans="1:15" x14ac:dyDescent="0.3">
      <c r="A138" t="s">
        <v>292</v>
      </c>
      <c r="B138" t="s">
        <v>14</v>
      </c>
      <c r="C138" s="6">
        <v>45543</v>
      </c>
      <c r="D138" t="s">
        <v>45</v>
      </c>
      <c r="E138" t="s">
        <v>49</v>
      </c>
      <c r="F138">
        <v>3811</v>
      </c>
      <c r="G138">
        <v>866</v>
      </c>
      <c r="H138">
        <v>216</v>
      </c>
      <c r="I138">
        <v>34299</v>
      </c>
      <c r="J138">
        <v>34088</v>
      </c>
      <c r="K138">
        <v>233</v>
      </c>
      <c r="L138" t="s">
        <v>38</v>
      </c>
      <c r="M138">
        <v>0.14265722032712325</v>
      </c>
      <c r="N138" t="s">
        <v>612</v>
      </c>
      <c r="O138" t="s">
        <v>30</v>
      </c>
    </row>
    <row r="139" spans="1:15" x14ac:dyDescent="0.3">
      <c r="A139" t="s">
        <v>294</v>
      </c>
      <c r="B139" t="s">
        <v>33</v>
      </c>
      <c r="C139" s="6">
        <v>45744</v>
      </c>
      <c r="D139" t="s">
        <v>45</v>
      </c>
      <c r="E139" t="s">
        <v>88</v>
      </c>
      <c r="F139">
        <v>4158</v>
      </c>
      <c r="G139">
        <v>167</v>
      </c>
      <c r="H139">
        <v>241</v>
      </c>
      <c r="I139">
        <v>45738</v>
      </c>
      <c r="J139">
        <v>45183</v>
      </c>
      <c r="K139">
        <v>142</v>
      </c>
      <c r="L139" t="s">
        <v>38</v>
      </c>
      <c r="M139">
        <v>9.9829463465827106E-2</v>
      </c>
      <c r="N139" t="s">
        <v>612</v>
      </c>
      <c r="O139" t="s">
        <v>62</v>
      </c>
    </row>
    <row r="140" spans="1:15" x14ac:dyDescent="0.3">
      <c r="A140" t="s">
        <v>295</v>
      </c>
      <c r="B140" t="s">
        <v>43</v>
      </c>
      <c r="C140" s="6">
        <v>45684</v>
      </c>
      <c r="D140" t="s">
        <v>16</v>
      </c>
      <c r="E140" t="s">
        <v>65</v>
      </c>
      <c r="F140">
        <v>3452</v>
      </c>
      <c r="G140">
        <v>652</v>
      </c>
      <c r="H140">
        <v>442</v>
      </c>
      <c r="I140">
        <v>65588</v>
      </c>
      <c r="J140">
        <v>65049</v>
      </c>
      <c r="K140">
        <v>158</v>
      </c>
      <c r="L140" t="s">
        <v>31</v>
      </c>
      <c r="M140">
        <v>6.9311459413307311E-2</v>
      </c>
      <c r="N140" t="s">
        <v>612</v>
      </c>
      <c r="O140" t="s">
        <v>62</v>
      </c>
    </row>
    <row r="141" spans="1:15" x14ac:dyDescent="0.3">
      <c r="A141" t="s">
        <v>296</v>
      </c>
      <c r="B141" t="s">
        <v>14</v>
      </c>
      <c r="C141" s="6">
        <v>45667</v>
      </c>
      <c r="D141" t="s">
        <v>52</v>
      </c>
      <c r="E141" t="s">
        <v>132</v>
      </c>
      <c r="F141">
        <v>3092</v>
      </c>
      <c r="G141">
        <v>106</v>
      </c>
      <c r="H141">
        <v>291</v>
      </c>
      <c r="I141">
        <v>27828</v>
      </c>
      <c r="J141">
        <v>27217</v>
      </c>
      <c r="K141">
        <v>102</v>
      </c>
      <c r="L141" t="s">
        <v>38</v>
      </c>
      <c r="M141">
        <v>0.12537731780940059</v>
      </c>
      <c r="N141" t="s">
        <v>612</v>
      </c>
      <c r="O141" t="s">
        <v>62</v>
      </c>
    </row>
    <row r="142" spans="1:15" x14ac:dyDescent="0.3">
      <c r="A142" t="s">
        <v>297</v>
      </c>
      <c r="B142" t="s">
        <v>14</v>
      </c>
      <c r="C142" s="6">
        <v>45494</v>
      </c>
      <c r="D142" t="s">
        <v>22</v>
      </c>
      <c r="E142" t="s">
        <v>23</v>
      </c>
      <c r="F142">
        <v>2147</v>
      </c>
      <c r="G142">
        <v>430</v>
      </c>
      <c r="H142">
        <v>393</v>
      </c>
      <c r="I142">
        <v>17176</v>
      </c>
      <c r="J142">
        <v>16483</v>
      </c>
      <c r="K142">
        <v>170</v>
      </c>
      <c r="L142" t="s">
        <v>25</v>
      </c>
      <c r="M142">
        <v>0.17291569632044715</v>
      </c>
      <c r="N142" t="s">
        <v>612</v>
      </c>
      <c r="O142" t="s">
        <v>30</v>
      </c>
    </row>
    <row r="143" spans="1:15" x14ac:dyDescent="0.3">
      <c r="A143" t="s">
        <v>298</v>
      </c>
      <c r="B143" t="s">
        <v>27</v>
      </c>
      <c r="C143" s="6">
        <v>45564</v>
      </c>
      <c r="D143" t="s">
        <v>16</v>
      </c>
      <c r="E143" t="s">
        <v>29</v>
      </c>
      <c r="F143">
        <v>2936</v>
      </c>
      <c r="G143">
        <v>439</v>
      </c>
      <c r="H143">
        <v>44</v>
      </c>
      <c r="I143">
        <v>38168</v>
      </c>
      <c r="J143">
        <v>37571</v>
      </c>
      <c r="K143">
        <v>22</v>
      </c>
      <c r="L143" t="s">
        <v>38</v>
      </c>
      <c r="M143">
        <v>8.9577656675749323E-2</v>
      </c>
      <c r="N143" t="s">
        <v>612</v>
      </c>
      <c r="O143" t="s">
        <v>37</v>
      </c>
    </row>
    <row r="144" spans="1:15" x14ac:dyDescent="0.3">
      <c r="A144" t="s">
        <v>300</v>
      </c>
      <c r="B144" t="s">
        <v>33</v>
      </c>
      <c r="C144" s="6">
        <v>45586</v>
      </c>
      <c r="D144" t="s">
        <v>16</v>
      </c>
      <c r="E144" t="s">
        <v>82</v>
      </c>
      <c r="F144">
        <v>4840</v>
      </c>
      <c r="G144">
        <v>658</v>
      </c>
      <c r="H144">
        <v>211</v>
      </c>
      <c r="I144">
        <v>43560</v>
      </c>
      <c r="J144">
        <v>43225</v>
      </c>
      <c r="K144">
        <v>57</v>
      </c>
      <c r="L144" t="s">
        <v>31</v>
      </c>
      <c r="M144">
        <v>0.13106060606060607</v>
      </c>
      <c r="N144" t="s">
        <v>612</v>
      </c>
      <c r="O144" t="s">
        <v>62</v>
      </c>
    </row>
    <row r="145" spans="1:15" x14ac:dyDescent="0.3">
      <c r="A145" t="s">
        <v>301</v>
      </c>
      <c r="B145" t="s">
        <v>33</v>
      </c>
      <c r="C145" s="6">
        <v>45720</v>
      </c>
      <c r="D145" t="s">
        <v>35</v>
      </c>
      <c r="E145" t="s">
        <v>36</v>
      </c>
      <c r="F145">
        <v>1947</v>
      </c>
      <c r="G145">
        <v>842</v>
      </c>
      <c r="H145">
        <v>101</v>
      </c>
      <c r="I145">
        <v>21417</v>
      </c>
      <c r="J145">
        <v>20967</v>
      </c>
      <c r="K145">
        <v>186</v>
      </c>
      <c r="L145" t="s">
        <v>25</v>
      </c>
      <c r="M145">
        <v>0.13493953401503478</v>
      </c>
      <c r="N145" t="s">
        <v>612</v>
      </c>
      <c r="O145" t="s">
        <v>62</v>
      </c>
    </row>
    <row r="146" spans="1:15" x14ac:dyDescent="0.3">
      <c r="A146" t="s">
        <v>302</v>
      </c>
      <c r="B146" t="s">
        <v>43</v>
      </c>
      <c r="C146" s="6">
        <v>45694</v>
      </c>
      <c r="D146" t="s">
        <v>52</v>
      </c>
      <c r="E146" t="s">
        <v>59</v>
      </c>
      <c r="F146">
        <v>2072</v>
      </c>
      <c r="G146">
        <v>532</v>
      </c>
      <c r="H146">
        <v>71</v>
      </c>
      <c r="I146">
        <v>37296</v>
      </c>
      <c r="J146">
        <v>36467</v>
      </c>
      <c r="K146">
        <v>25</v>
      </c>
      <c r="L146" t="s">
        <v>38</v>
      </c>
      <c r="M146">
        <v>7.172350922350923E-2</v>
      </c>
      <c r="N146" t="s">
        <v>612</v>
      </c>
      <c r="O146" t="s">
        <v>30</v>
      </c>
    </row>
    <row r="147" spans="1:15" x14ac:dyDescent="0.3">
      <c r="A147" t="s">
        <v>304</v>
      </c>
      <c r="B147" t="s">
        <v>14</v>
      </c>
      <c r="C147" s="6">
        <v>45771</v>
      </c>
      <c r="D147" t="s">
        <v>16</v>
      </c>
      <c r="E147" t="s">
        <v>17</v>
      </c>
      <c r="F147">
        <v>3731</v>
      </c>
      <c r="G147">
        <v>115</v>
      </c>
      <c r="H147">
        <v>135</v>
      </c>
      <c r="I147">
        <v>55965</v>
      </c>
      <c r="J147">
        <v>55436</v>
      </c>
      <c r="K147">
        <v>103</v>
      </c>
      <c r="L147" t="s">
        <v>19</v>
      </c>
      <c r="M147">
        <v>7.1133744304476013E-2</v>
      </c>
      <c r="N147" t="s">
        <v>612</v>
      </c>
      <c r="O147" t="s">
        <v>30</v>
      </c>
    </row>
    <row r="148" spans="1:15" x14ac:dyDescent="0.3">
      <c r="A148" t="s">
        <v>306</v>
      </c>
      <c r="B148" t="s">
        <v>43</v>
      </c>
      <c r="C148" s="6">
        <v>45624</v>
      </c>
      <c r="D148" t="s">
        <v>22</v>
      </c>
      <c r="E148" t="s">
        <v>56</v>
      </c>
      <c r="F148">
        <v>4213</v>
      </c>
      <c r="G148">
        <v>253</v>
      </c>
      <c r="H148">
        <v>434</v>
      </c>
      <c r="I148">
        <v>75834</v>
      </c>
      <c r="J148">
        <v>75437</v>
      </c>
      <c r="K148">
        <v>272</v>
      </c>
      <c r="L148" t="s">
        <v>38</v>
      </c>
      <c r="M148">
        <v>6.461481657304112E-2</v>
      </c>
      <c r="N148" t="s">
        <v>612</v>
      </c>
      <c r="O148" t="s">
        <v>62</v>
      </c>
    </row>
    <row r="149" spans="1:15" x14ac:dyDescent="0.3">
      <c r="A149" t="s">
        <v>308</v>
      </c>
      <c r="B149" t="s">
        <v>33</v>
      </c>
      <c r="C149" s="6">
        <v>45484</v>
      </c>
      <c r="D149" t="s">
        <v>22</v>
      </c>
      <c r="E149" t="s">
        <v>113</v>
      </c>
      <c r="F149">
        <v>3134</v>
      </c>
      <c r="G149">
        <v>888</v>
      </c>
      <c r="H149">
        <v>444</v>
      </c>
      <c r="I149">
        <v>21938</v>
      </c>
      <c r="J149">
        <v>21337</v>
      </c>
      <c r="K149">
        <v>130</v>
      </c>
      <c r="L149" t="s">
        <v>38</v>
      </c>
      <c r="M149">
        <v>0.20357370772176134</v>
      </c>
      <c r="N149" t="s">
        <v>612</v>
      </c>
      <c r="O149" t="s">
        <v>37</v>
      </c>
    </row>
    <row r="150" spans="1:15" x14ac:dyDescent="0.3">
      <c r="A150" t="s">
        <v>310</v>
      </c>
      <c r="B150" t="s">
        <v>43</v>
      </c>
      <c r="C150" s="6">
        <v>45504</v>
      </c>
      <c r="D150" t="s">
        <v>74</v>
      </c>
      <c r="E150" t="s">
        <v>75</v>
      </c>
      <c r="F150">
        <v>3008</v>
      </c>
      <c r="G150">
        <v>94</v>
      </c>
      <c r="H150">
        <v>37</v>
      </c>
      <c r="I150">
        <v>15040</v>
      </c>
      <c r="J150">
        <v>14639</v>
      </c>
      <c r="K150">
        <v>277</v>
      </c>
      <c r="L150" t="s">
        <v>38</v>
      </c>
      <c r="M150">
        <v>0.20871010638297871</v>
      </c>
      <c r="N150" t="s">
        <v>612</v>
      </c>
      <c r="O150" t="s">
        <v>62</v>
      </c>
    </row>
    <row r="151" spans="1:15" x14ac:dyDescent="0.3">
      <c r="A151" t="s">
        <v>311</v>
      </c>
      <c r="B151" t="s">
        <v>14</v>
      </c>
      <c r="C151" s="6">
        <v>45745</v>
      </c>
      <c r="D151" t="s">
        <v>52</v>
      </c>
      <c r="E151" t="s">
        <v>132</v>
      </c>
      <c r="F151">
        <v>305</v>
      </c>
      <c r="G151">
        <v>187</v>
      </c>
      <c r="H151">
        <v>243</v>
      </c>
      <c r="I151">
        <v>4575</v>
      </c>
      <c r="J151">
        <v>3704</v>
      </c>
      <c r="K151">
        <v>234</v>
      </c>
      <c r="L151" t="s">
        <v>31</v>
      </c>
      <c r="M151">
        <v>0.16065573770491803</v>
      </c>
      <c r="N151" t="s">
        <v>612</v>
      </c>
      <c r="O151" t="s">
        <v>62</v>
      </c>
    </row>
    <row r="152" spans="1:15" x14ac:dyDescent="0.3">
      <c r="A152" t="s">
        <v>312</v>
      </c>
      <c r="B152" t="s">
        <v>27</v>
      </c>
      <c r="C152" s="6">
        <v>45594</v>
      </c>
      <c r="D152" t="s">
        <v>22</v>
      </c>
      <c r="E152" t="s">
        <v>104</v>
      </c>
      <c r="F152">
        <v>2746</v>
      </c>
      <c r="G152">
        <v>156</v>
      </c>
      <c r="H152">
        <v>203</v>
      </c>
      <c r="I152">
        <v>32952</v>
      </c>
      <c r="J152">
        <v>32147</v>
      </c>
      <c r="K152">
        <v>147</v>
      </c>
      <c r="L152" t="s">
        <v>19</v>
      </c>
      <c r="M152">
        <v>9.422796795338674E-2</v>
      </c>
      <c r="N152" t="s">
        <v>612</v>
      </c>
      <c r="O152" t="s">
        <v>37</v>
      </c>
    </row>
    <row r="153" spans="1:15" x14ac:dyDescent="0.3">
      <c r="A153" t="s">
        <v>314</v>
      </c>
      <c r="B153" t="s">
        <v>43</v>
      </c>
      <c r="C153" s="6">
        <v>45488</v>
      </c>
      <c r="D153" t="s">
        <v>52</v>
      </c>
      <c r="E153" t="s">
        <v>59</v>
      </c>
      <c r="F153">
        <v>2291</v>
      </c>
      <c r="G153">
        <v>78</v>
      </c>
      <c r="H153">
        <v>485</v>
      </c>
      <c r="I153">
        <v>18328</v>
      </c>
      <c r="J153">
        <v>18101</v>
      </c>
      <c r="K153">
        <v>10</v>
      </c>
      <c r="L153" t="s">
        <v>25</v>
      </c>
      <c r="M153">
        <v>0.15571802706241816</v>
      </c>
      <c r="N153" t="s">
        <v>612</v>
      </c>
      <c r="O153" t="s">
        <v>37</v>
      </c>
    </row>
    <row r="154" spans="1:15" x14ac:dyDescent="0.3">
      <c r="A154" t="s">
        <v>314</v>
      </c>
      <c r="B154" t="s">
        <v>43</v>
      </c>
      <c r="C154" s="6">
        <v>45488</v>
      </c>
      <c r="D154" t="s">
        <v>52</v>
      </c>
      <c r="E154" t="s">
        <v>59</v>
      </c>
      <c r="F154">
        <v>2291</v>
      </c>
      <c r="G154">
        <v>78</v>
      </c>
      <c r="H154">
        <v>485</v>
      </c>
      <c r="I154">
        <v>18328</v>
      </c>
      <c r="J154">
        <v>18101</v>
      </c>
      <c r="K154">
        <v>10</v>
      </c>
      <c r="L154" t="s">
        <v>25</v>
      </c>
      <c r="M154">
        <v>0.15571802706241816</v>
      </c>
      <c r="N154" t="s">
        <v>613</v>
      </c>
      <c r="O154" t="s">
        <v>607</v>
      </c>
    </row>
    <row r="155" spans="1:15" x14ac:dyDescent="0.3">
      <c r="A155" t="s">
        <v>317</v>
      </c>
      <c r="B155" t="s">
        <v>14</v>
      </c>
      <c r="C155" s="6">
        <v>45535</v>
      </c>
      <c r="D155" t="s">
        <v>52</v>
      </c>
      <c r="E155" t="s">
        <v>132</v>
      </c>
      <c r="F155">
        <v>3170</v>
      </c>
      <c r="G155">
        <v>857</v>
      </c>
      <c r="H155">
        <v>379</v>
      </c>
      <c r="I155">
        <v>19020</v>
      </c>
      <c r="J155">
        <v>18559</v>
      </c>
      <c r="K155">
        <v>240</v>
      </c>
      <c r="L155" t="s">
        <v>38</v>
      </c>
      <c r="M155">
        <v>0.2316508937960042</v>
      </c>
      <c r="N155" t="s">
        <v>612</v>
      </c>
      <c r="O155" t="s">
        <v>62</v>
      </c>
    </row>
    <row r="156" spans="1:15" x14ac:dyDescent="0.3">
      <c r="A156" t="s">
        <v>319</v>
      </c>
      <c r="B156" t="s">
        <v>27</v>
      </c>
      <c r="C156" s="6">
        <v>45741</v>
      </c>
      <c r="D156" t="s">
        <v>35</v>
      </c>
      <c r="E156" t="s">
        <v>154</v>
      </c>
      <c r="F156">
        <v>2070</v>
      </c>
      <c r="G156">
        <v>275</v>
      </c>
      <c r="H156">
        <v>386</v>
      </c>
      <c r="I156">
        <v>39330</v>
      </c>
      <c r="J156">
        <v>38627</v>
      </c>
      <c r="K156">
        <v>114</v>
      </c>
      <c r="L156" t="s">
        <v>38</v>
      </c>
      <c r="M156">
        <v>6.9438087973557078E-2</v>
      </c>
      <c r="N156" t="s">
        <v>612</v>
      </c>
      <c r="O156" t="s">
        <v>62</v>
      </c>
    </row>
    <row r="157" spans="1:15" x14ac:dyDescent="0.3">
      <c r="A157" t="s">
        <v>320</v>
      </c>
      <c r="B157" t="s">
        <v>27</v>
      </c>
      <c r="C157" s="6">
        <v>45567</v>
      </c>
      <c r="D157" t="s">
        <v>45</v>
      </c>
      <c r="E157" t="s">
        <v>68</v>
      </c>
      <c r="F157">
        <v>80</v>
      </c>
      <c r="G157">
        <v>362</v>
      </c>
      <c r="H157">
        <v>80</v>
      </c>
      <c r="I157">
        <v>1040</v>
      </c>
      <c r="J157">
        <v>349</v>
      </c>
      <c r="K157">
        <v>117</v>
      </c>
      <c r="L157" t="s">
        <v>31</v>
      </c>
      <c r="M157">
        <v>0.50192307692307692</v>
      </c>
      <c r="N157" t="s">
        <v>612</v>
      </c>
      <c r="O157" t="s">
        <v>30</v>
      </c>
    </row>
    <row r="158" spans="1:15" x14ac:dyDescent="0.3">
      <c r="A158" t="s">
        <v>321</v>
      </c>
      <c r="B158" t="s">
        <v>27</v>
      </c>
      <c r="C158" s="6">
        <v>45593</v>
      </c>
      <c r="D158" t="s">
        <v>35</v>
      </c>
      <c r="E158" t="s">
        <v>154</v>
      </c>
      <c r="F158">
        <v>4929</v>
      </c>
      <c r="G158">
        <v>749</v>
      </c>
      <c r="H158">
        <v>452</v>
      </c>
      <c r="I158">
        <v>93651</v>
      </c>
      <c r="J158">
        <v>92810</v>
      </c>
      <c r="K158">
        <v>66</v>
      </c>
      <c r="L158" t="s">
        <v>38</v>
      </c>
      <c r="M158">
        <v>6.5455787978772245E-2</v>
      </c>
      <c r="N158" t="s">
        <v>612</v>
      </c>
      <c r="O158" t="s">
        <v>37</v>
      </c>
    </row>
    <row r="159" spans="1:15" x14ac:dyDescent="0.3">
      <c r="A159" t="s">
        <v>322</v>
      </c>
      <c r="B159" t="s">
        <v>33</v>
      </c>
      <c r="C159" s="6">
        <v>45516</v>
      </c>
      <c r="D159" t="s">
        <v>45</v>
      </c>
      <c r="E159" t="s">
        <v>88</v>
      </c>
      <c r="F159">
        <v>1878</v>
      </c>
      <c r="G159">
        <v>62</v>
      </c>
      <c r="H159">
        <v>179</v>
      </c>
      <c r="I159">
        <v>37560</v>
      </c>
      <c r="J159">
        <v>36874</v>
      </c>
      <c r="K159">
        <v>142</v>
      </c>
      <c r="L159" t="s">
        <v>38</v>
      </c>
      <c r="M159">
        <v>5.6416400425985093E-2</v>
      </c>
      <c r="N159" t="s">
        <v>612</v>
      </c>
      <c r="O159" t="s">
        <v>30</v>
      </c>
    </row>
    <row r="160" spans="1:15" x14ac:dyDescent="0.3">
      <c r="A160" t="s">
        <v>323</v>
      </c>
      <c r="B160" t="s">
        <v>27</v>
      </c>
      <c r="C160" s="6">
        <v>45448</v>
      </c>
      <c r="D160" t="s">
        <v>16</v>
      </c>
      <c r="E160" t="s">
        <v>29</v>
      </c>
      <c r="F160">
        <v>3065</v>
      </c>
      <c r="G160">
        <v>772</v>
      </c>
      <c r="H160">
        <v>142</v>
      </c>
      <c r="I160">
        <v>18390</v>
      </c>
      <c r="J160">
        <v>17875</v>
      </c>
      <c r="K160">
        <v>200</v>
      </c>
      <c r="L160" t="s">
        <v>19</v>
      </c>
      <c r="M160">
        <v>0.21636759108210984</v>
      </c>
      <c r="N160" t="s">
        <v>612</v>
      </c>
      <c r="O160" t="s">
        <v>37</v>
      </c>
    </row>
    <row r="161" spans="1:15" x14ac:dyDescent="0.3">
      <c r="A161" t="s">
        <v>323</v>
      </c>
      <c r="B161" t="s">
        <v>27</v>
      </c>
      <c r="C161" s="6">
        <v>45448</v>
      </c>
      <c r="D161" t="s">
        <v>16</v>
      </c>
      <c r="E161" t="s">
        <v>29</v>
      </c>
      <c r="F161">
        <v>3065</v>
      </c>
      <c r="G161">
        <v>772</v>
      </c>
      <c r="H161">
        <v>142</v>
      </c>
      <c r="I161">
        <v>18390</v>
      </c>
      <c r="J161">
        <v>17875</v>
      </c>
      <c r="K161">
        <v>200</v>
      </c>
      <c r="L161" t="s">
        <v>19</v>
      </c>
      <c r="M161">
        <v>0.21636759108210984</v>
      </c>
      <c r="N161" t="s">
        <v>613</v>
      </c>
      <c r="O161" t="s">
        <v>615</v>
      </c>
    </row>
    <row r="162" spans="1:15" x14ac:dyDescent="0.3">
      <c r="A162" t="s">
        <v>326</v>
      </c>
      <c r="B162" t="s">
        <v>33</v>
      </c>
      <c r="C162" s="6">
        <v>45586</v>
      </c>
      <c r="D162" t="s">
        <v>16</v>
      </c>
      <c r="E162" t="s">
        <v>82</v>
      </c>
      <c r="F162">
        <v>3256</v>
      </c>
      <c r="G162">
        <v>459</v>
      </c>
      <c r="H162">
        <v>266</v>
      </c>
      <c r="I162">
        <v>26048</v>
      </c>
      <c r="J162">
        <v>25529</v>
      </c>
      <c r="K162">
        <v>143</v>
      </c>
      <c r="L162" t="s">
        <v>25</v>
      </c>
      <c r="M162">
        <v>0.15283323095823095</v>
      </c>
      <c r="N162" t="s">
        <v>612</v>
      </c>
      <c r="O162" t="s">
        <v>30</v>
      </c>
    </row>
    <row r="163" spans="1:15" x14ac:dyDescent="0.3">
      <c r="A163" t="s">
        <v>327</v>
      </c>
      <c r="B163" t="s">
        <v>33</v>
      </c>
      <c r="C163" s="6">
        <v>45762</v>
      </c>
      <c r="D163" t="s">
        <v>74</v>
      </c>
      <c r="E163" t="s">
        <v>85</v>
      </c>
      <c r="F163">
        <v>4133</v>
      </c>
      <c r="G163">
        <v>466</v>
      </c>
      <c r="H163">
        <v>327</v>
      </c>
      <c r="I163">
        <v>24798</v>
      </c>
      <c r="J163">
        <v>24620</v>
      </c>
      <c r="K163">
        <v>176</v>
      </c>
      <c r="L163" t="s">
        <v>38</v>
      </c>
      <c r="M163">
        <v>0.19864505202032423</v>
      </c>
      <c r="N163" t="s">
        <v>612</v>
      </c>
      <c r="O163" t="s">
        <v>37</v>
      </c>
    </row>
    <row r="164" spans="1:15" x14ac:dyDescent="0.3">
      <c r="A164" t="s">
        <v>328</v>
      </c>
      <c r="B164" t="s">
        <v>14</v>
      </c>
      <c r="C164" s="6">
        <v>45459</v>
      </c>
      <c r="D164" t="s">
        <v>74</v>
      </c>
      <c r="E164" t="s">
        <v>145</v>
      </c>
      <c r="F164">
        <v>1702</v>
      </c>
      <c r="G164">
        <v>750</v>
      </c>
      <c r="H164">
        <v>179</v>
      </c>
      <c r="I164">
        <v>34040</v>
      </c>
      <c r="J164">
        <v>33174</v>
      </c>
      <c r="K164">
        <v>76</v>
      </c>
      <c r="L164" t="s">
        <v>19</v>
      </c>
      <c r="M164">
        <v>7.7291421856639245E-2</v>
      </c>
      <c r="N164" t="s">
        <v>612</v>
      </c>
      <c r="O164" t="s">
        <v>37</v>
      </c>
    </row>
    <row r="165" spans="1:15" x14ac:dyDescent="0.3">
      <c r="A165" t="s">
        <v>330</v>
      </c>
      <c r="B165" t="s">
        <v>27</v>
      </c>
      <c r="C165" s="6">
        <v>45526</v>
      </c>
      <c r="D165" t="s">
        <v>45</v>
      </c>
      <c r="E165" t="s">
        <v>68</v>
      </c>
      <c r="F165">
        <v>4295</v>
      </c>
      <c r="G165">
        <v>853</v>
      </c>
      <c r="H165">
        <v>325</v>
      </c>
      <c r="I165">
        <v>85900</v>
      </c>
      <c r="J165">
        <v>85788</v>
      </c>
      <c r="K165">
        <v>290</v>
      </c>
      <c r="L165" t="s">
        <v>38</v>
      </c>
      <c r="M165">
        <v>6.3713620488940623E-2</v>
      </c>
      <c r="N165" t="s">
        <v>612</v>
      </c>
      <c r="O165" t="s">
        <v>30</v>
      </c>
    </row>
    <row r="166" spans="1:15" x14ac:dyDescent="0.3">
      <c r="A166" t="s">
        <v>332</v>
      </c>
      <c r="B166" t="s">
        <v>33</v>
      </c>
      <c r="C166" s="6">
        <v>45499</v>
      </c>
      <c r="D166" t="s">
        <v>52</v>
      </c>
      <c r="E166" t="s">
        <v>215</v>
      </c>
      <c r="F166">
        <v>3559</v>
      </c>
      <c r="G166">
        <v>59</v>
      </c>
      <c r="H166">
        <v>289</v>
      </c>
      <c r="I166">
        <v>35590</v>
      </c>
      <c r="J166">
        <v>35105</v>
      </c>
      <c r="K166">
        <v>122</v>
      </c>
      <c r="L166" t="s">
        <v>19</v>
      </c>
      <c r="M166">
        <v>0.10977802753582468</v>
      </c>
      <c r="N166" t="s">
        <v>612</v>
      </c>
      <c r="O166" t="s">
        <v>37</v>
      </c>
    </row>
    <row r="167" spans="1:15" x14ac:dyDescent="0.3">
      <c r="A167" t="s">
        <v>333</v>
      </c>
      <c r="B167" t="s">
        <v>43</v>
      </c>
      <c r="C167" s="6">
        <v>45769</v>
      </c>
      <c r="D167" t="s">
        <v>52</v>
      </c>
      <c r="E167" t="s">
        <v>59</v>
      </c>
      <c r="F167">
        <v>4804</v>
      </c>
      <c r="G167">
        <v>550</v>
      </c>
      <c r="H167">
        <v>270</v>
      </c>
      <c r="I167">
        <v>28824</v>
      </c>
      <c r="J167">
        <v>28370</v>
      </c>
      <c r="K167">
        <v>47</v>
      </c>
      <c r="L167" t="s">
        <v>38</v>
      </c>
      <c r="M167">
        <v>0.19511518179295032</v>
      </c>
      <c r="N167" t="s">
        <v>612</v>
      </c>
      <c r="O167" t="s">
        <v>37</v>
      </c>
    </row>
    <row r="168" spans="1:15" x14ac:dyDescent="0.3">
      <c r="A168" t="s">
        <v>335</v>
      </c>
      <c r="B168" t="s">
        <v>14</v>
      </c>
      <c r="C168" s="6">
        <v>45658</v>
      </c>
      <c r="D168" t="s">
        <v>74</v>
      </c>
      <c r="E168" t="s">
        <v>145</v>
      </c>
      <c r="F168">
        <v>754</v>
      </c>
      <c r="G168">
        <v>197</v>
      </c>
      <c r="H168">
        <v>257</v>
      </c>
      <c r="I168">
        <v>6786</v>
      </c>
      <c r="J168">
        <v>6221</v>
      </c>
      <c r="K168">
        <v>212</v>
      </c>
      <c r="L168" t="s">
        <v>31</v>
      </c>
      <c r="M168">
        <v>0.17801355732390214</v>
      </c>
      <c r="N168" t="s">
        <v>612</v>
      </c>
      <c r="O168" t="s">
        <v>30</v>
      </c>
    </row>
    <row r="169" spans="1:15" x14ac:dyDescent="0.3">
      <c r="A169" t="s">
        <v>337</v>
      </c>
      <c r="B169" t="s">
        <v>33</v>
      </c>
      <c r="C169" s="6">
        <v>45574</v>
      </c>
      <c r="D169" t="s">
        <v>45</v>
      </c>
      <c r="E169" t="s">
        <v>88</v>
      </c>
      <c r="F169">
        <v>985</v>
      </c>
      <c r="G169">
        <v>932</v>
      </c>
      <c r="H169">
        <v>287</v>
      </c>
      <c r="I169">
        <v>6895</v>
      </c>
      <c r="J169">
        <v>6757</v>
      </c>
      <c r="K169">
        <v>64</v>
      </c>
      <c r="L169" t="s">
        <v>38</v>
      </c>
      <c r="M169">
        <v>0.31965192168237855</v>
      </c>
      <c r="N169" t="s">
        <v>612</v>
      </c>
      <c r="O169" t="s">
        <v>62</v>
      </c>
    </row>
    <row r="170" spans="1:15" x14ac:dyDescent="0.3">
      <c r="A170" t="s">
        <v>338</v>
      </c>
      <c r="B170" t="s">
        <v>27</v>
      </c>
      <c r="C170" s="6">
        <v>45647</v>
      </c>
      <c r="D170" t="s">
        <v>52</v>
      </c>
      <c r="E170" t="s">
        <v>53</v>
      </c>
      <c r="F170">
        <v>2283</v>
      </c>
      <c r="G170">
        <v>210</v>
      </c>
      <c r="H170">
        <v>130</v>
      </c>
      <c r="I170">
        <v>22830</v>
      </c>
      <c r="J170">
        <v>22617</v>
      </c>
      <c r="K170">
        <v>143</v>
      </c>
      <c r="L170" t="s">
        <v>25</v>
      </c>
      <c r="M170">
        <v>0.11489268506351293</v>
      </c>
      <c r="N170" t="s">
        <v>612</v>
      </c>
      <c r="O170" t="s">
        <v>62</v>
      </c>
    </row>
    <row r="171" spans="1:15" x14ac:dyDescent="0.3">
      <c r="A171" t="s">
        <v>340</v>
      </c>
      <c r="B171" t="s">
        <v>43</v>
      </c>
      <c r="C171" s="6">
        <v>45587</v>
      </c>
      <c r="D171" t="s">
        <v>45</v>
      </c>
      <c r="E171" t="s">
        <v>46</v>
      </c>
      <c r="F171">
        <v>3352</v>
      </c>
      <c r="G171">
        <v>941</v>
      </c>
      <c r="H171">
        <v>482</v>
      </c>
      <c r="I171">
        <v>43576</v>
      </c>
      <c r="J171">
        <v>43338</v>
      </c>
      <c r="K171">
        <v>240</v>
      </c>
      <c r="L171" t="s">
        <v>25</v>
      </c>
      <c r="M171">
        <v>0.1095786671562328</v>
      </c>
      <c r="N171" t="s">
        <v>612</v>
      </c>
      <c r="O171" t="s">
        <v>62</v>
      </c>
    </row>
    <row r="172" spans="1:15" x14ac:dyDescent="0.3">
      <c r="A172" t="s">
        <v>342</v>
      </c>
      <c r="B172" t="s">
        <v>27</v>
      </c>
      <c r="C172" s="6">
        <v>45496</v>
      </c>
      <c r="D172" t="s">
        <v>35</v>
      </c>
      <c r="E172" t="s">
        <v>154</v>
      </c>
      <c r="F172">
        <v>4775</v>
      </c>
      <c r="G172">
        <v>173</v>
      </c>
      <c r="H172">
        <v>206</v>
      </c>
      <c r="I172">
        <v>47750</v>
      </c>
      <c r="J172">
        <v>47544</v>
      </c>
      <c r="K172">
        <v>187</v>
      </c>
      <c r="L172" t="s">
        <v>25</v>
      </c>
      <c r="M172">
        <v>0.10793717277486911</v>
      </c>
      <c r="N172" t="s">
        <v>612</v>
      </c>
      <c r="O172" t="s">
        <v>62</v>
      </c>
    </row>
    <row r="173" spans="1:15" x14ac:dyDescent="0.3">
      <c r="A173" t="s">
        <v>344</v>
      </c>
      <c r="B173" t="s">
        <v>33</v>
      </c>
      <c r="C173" s="6">
        <v>45515</v>
      </c>
      <c r="D173" t="s">
        <v>35</v>
      </c>
      <c r="E173" t="s">
        <v>36</v>
      </c>
      <c r="F173">
        <v>1762</v>
      </c>
      <c r="G173">
        <v>405</v>
      </c>
      <c r="H173">
        <v>423</v>
      </c>
      <c r="I173">
        <v>22906</v>
      </c>
      <c r="J173">
        <v>21925</v>
      </c>
      <c r="K173">
        <v>25</v>
      </c>
      <c r="L173" t="s">
        <v>19</v>
      </c>
      <c r="M173">
        <v>0.11307081114118571</v>
      </c>
      <c r="N173" t="s">
        <v>612</v>
      </c>
      <c r="O173" t="s">
        <v>30</v>
      </c>
    </row>
    <row r="174" spans="1:15" x14ac:dyDescent="0.3">
      <c r="A174" t="s">
        <v>346</v>
      </c>
      <c r="B174" t="s">
        <v>43</v>
      </c>
      <c r="C174" s="6">
        <v>45621</v>
      </c>
      <c r="D174" t="s">
        <v>35</v>
      </c>
      <c r="E174" t="s">
        <v>71</v>
      </c>
      <c r="F174">
        <v>2120</v>
      </c>
      <c r="G174">
        <v>158</v>
      </c>
      <c r="H174">
        <v>488</v>
      </c>
      <c r="I174">
        <v>12720</v>
      </c>
      <c r="J174">
        <v>12085</v>
      </c>
      <c r="K174">
        <v>17</v>
      </c>
      <c r="L174" t="s">
        <v>25</v>
      </c>
      <c r="M174">
        <v>0.21745283018867925</v>
      </c>
      <c r="N174" t="s">
        <v>612</v>
      </c>
      <c r="O174" t="s">
        <v>62</v>
      </c>
    </row>
    <row r="175" spans="1:15" x14ac:dyDescent="0.3">
      <c r="A175" t="s">
        <v>347</v>
      </c>
      <c r="B175" t="s">
        <v>14</v>
      </c>
      <c r="C175" s="6">
        <v>45528</v>
      </c>
      <c r="D175" t="s">
        <v>74</v>
      </c>
      <c r="E175" t="s">
        <v>145</v>
      </c>
      <c r="F175">
        <v>1082</v>
      </c>
      <c r="G175">
        <v>209</v>
      </c>
      <c r="H175">
        <v>484</v>
      </c>
      <c r="I175">
        <v>19476</v>
      </c>
      <c r="J175">
        <v>18654</v>
      </c>
      <c r="K175">
        <v>20</v>
      </c>
      <c r="L175" t="s">
        <v>25</v>
      </c>
      <c r="M175">
        <v>9.1137810638734856E-2</v>
      </c>
      <c r="N175" t="s">
        <v>612</v>
      </c>
      <c r="O175" t="s">
        <v>30</v>
      </c>
    </row>
    <row r="176" spans="1:15" x14ac:dyDescent="0.3">
      <c r="A176" t="s">
        <v>349</v>
      </c>
      <c r="B176" t="s">
        <v>14</v>
      </c>
      <c r="C176" s="6">
        <v>45707</v>
      </c>
      <c r="D176" t="s">
        <v>22</v>
      </c>
      <c r="E176" t="s">
        <v>23</v>
      </c>
      <c r="F176">
        <v>4671</v>
      </c>
      <c r="G176">
        <v>876</v>
      </c>
      <c r="H176">
        <v>366</v>
      </c>
      <c r="I176">
        <v>51381</v>
      </c>
      <c r="J176">
        <v>50565</v>
      </c>
      <c r="K176">
        <v>245</v>
      </c>
      <c r="L176" t="s">
        <v>38</v>
      </c>
      <c r="M176">
        <v>0.11508145034156594</v>
      </c>
      <c r="N176" t="s">
        <v>612</v>
      </c>
      <c r="O176" t="s">
        <v>30</v>
      </c>
    </row>
    <row r="177" spans="1:15" x14ac:dyDescent="0.3">
      <c r="A177" t="s">
        <v>351</v>
      </c>
      <c r="B177" t="s">
        <v>43</v>
      </c>
      <c r="C177" s="6">
        <v>45748</v>
      </c>
      <c r="D177" t="s">
        <v>35</v>
      </c>
      <c r="E177" t="s">
        <v>71</v>
      </c>
      <c r="F177">
        <v>3430</v>
      </c>
      <c r="G177">
        <v>566</v>
      </c>
      <c r="H177">
        <v>164</v>
      </c>
      <c r="I177">
        <v>48020</v>
      </c>
      <c r="J177">
        <v>47305</v>
      </c>
      <c r="K177">
        <v>120</v>
      </c>
      <c r="L177" t="s">
        <v>38</v>
      </c>
      <c r="M177">
        <v>8.6630570595585168E-2</v>
      </c>
      <c r="N177" t="s">
        <v>612</v>
      </c>
      <c r="O177" t="s">
        <v>62</v>
      </c>
    </row>
    <row r="178" spans="1:15" x14ac:dyDescent="0.3">
      <c r="A178" t="s">
        <v>353</v>
      </c>
      <c r="B178" t="s">
        <v>33</v>
      </c>
      <c r="C178" s="6">
        <v>45755</v>
      </c>
      <c r="D178" t="s">
        <v>52</v>
      </c>
      <c r="E178" t="s">
        <v>215</v>
      </c>
      <c r="F178">
        <v>4501</v>
      </c>
      <c r="G178">
        <v>375</v>
      </c>
      <c r="H178">
        <v>323</v>
      </c>
      <c r="I178">
        <v>22505</v>
      </c>
      <c r="J178">
        <v>21836</v>
      </c>
      <c r="K178">
        <v>132</v>
      </c>
      <c r="L178" t="s">
        <v>25</v>
      </c>
      <c r="M178">
        <v>0.23101532992668297</v>
      </c>
      <c r="N178" t="s">
        <v>612</v>
      </c>
      <c r="O178" t="s">
        <v>30</v>
      </c>
    </row>
    <row r="179" spans="1:15" x14ac:dyDescent="0.3">
      <c r="A179" t="s">
        <v>355</v>
      </c>
      <c r="B179" t="s">
        <v>27</v>
      </c>
      <c r="C179" s="6">
        <v>45715</v>
      </c>
      <c r="D179" t="s">
        <v>22</v>
      </c>
      <c r="E179" t="s">
        <v>104</v>
      </c>
      <c r="F179">
        <v>4934</v>
      </c>
      <c r="G179">
        <v>971</v>
      </c>
      <c r="H179">
        <v>156</v>
      </c>
      <c r="I179">
        <v>39472</v>
      </c>
      <c r="J179">
        <v>39025</v>
      </c>
      <c r="K179">
        <v>169</v>
      </c>
      <c r="L179" t="s">
        <v>38</v>
      </c>
      <c r="M179">
        <v>0.15355188488042157</v>
      </c>
      <c r="N179" t="s">
        <v>612</v>
      </c>
      <c r="O179" t="s">
        <v>30</v>
      </c>
    </row>
    <row r="180" spans="1:15" x14ac:dyDescent="0.3">
      <c r="A180" t="s">
        <v>355</v>
      </c>
      <c r="B180" t="s">
        <v>27</v>
      </c>
      <c r="C180" s="6">
        <v>45715</v>
      </c>
      <c r="D180" t="s">
        <v>22</v>
      </c>
      <c r="E180" t="s">
        <v>104</v>
      </c>
      <c r="F180">
        <v>4934</v>
      </c>
      <c r="G180">
        <v>971</v>
      </c>
      <c r="H180">
        <v>156</v>
      </c>
      <c r="I180">
        <v>39472</v>
      </c>
      <c r="J180">
        <v>39025</v>
      </c>
      <c r="K180">
        <v>169</v>
      </c>
      <c r="L180" t="s">
        <v>38</v>
      </c>
      <c r="M180">
        <v>0.15355188488042157</v>
      </c>
      <c r="N180" t="s">
        <v>613</v>
      </c>
      <c r="O180" t="s">
        <v>615</v>
      </c>
    </row>
    <row r="181" spans="1:15" x14ac:dyDescent="0.3">
      <c r="A181" t="s">
        <v>356</v>
      </c>
      <c r="B181" t="s">
        <v>14</v>
      </c>
      <c r="C181" s="6">
        <v>45637</v>
      </c>
      <c r="D181" t="s">
        <v>22</v>
      </c>
      <c r="E181" t="s">
        <v>23</v>
      </c>
      <c r="F181">
        <v>3239</v>
      </c>
      <c r="G181">
        <v>43</v>
      </c>
      <c r="H181">
        <v>211</v>
      </c>
      <c r="I181">
        <v>22673</v>
      </c>
      <c r="J181">
        <v>22171</v>
      </c>
      <c r="K181">
        <v>230</v>
      </c>
      <c r="L181" t="s">
        <v>25</v>
      </c>
      <c r="M181">
        <v>0.15405989502933004</v>
      </c>
      <c r="N181" t="s">
        <v>612</v>
      </c>
      <c r="O181" t="s">
        <v>30</v>
      </c>
    </row>
    <row r="182" spans="1:15" x14ac:dyDescent="0.3">
      <c r="A182" t="s">
        <v>357</v>
      </c>
      <c r="B182" t="s">
        <v>14</v>
      </c>
      <c r="C182" s="6">
        <v>45704</v>
      </c>
      <c r="D182" t="s">
        <v>16</v>
      </c>
      <c r="E182" t="s">
        <v>17</v>
      </c>
      <c r="F182">
        <v>1076</v>
      </c>
      <c r="G182">
        <v>313</v>
      </c>
      <c r="H182">
        <v>306</v>
      </c>
      <c r="I182">
        <v>11836</v>
      </c>
      <c r="J182">
        <v>11596</v>
      </c>
      <c r="K182">
        <v>104</v>
      </c>
      <c r="L182" t="s">
        <v>19</v>
      </c>
      <c r="M182">
        <v>0.14320716458262928</v>
      </c>
      <c r="N182" t="s">
        <v>612</v>
      </c>
      <c r="O182" t="s">
        <v>62</v>
      </c>
    </row>
    <row r="183" spans="1:15" x14ac:dyDescent="0.3">
      <c r="A183" t="s">
        <v>358</v>
      </c>
      <c r="B183" t="s">
        <v>33</v>
      </c>
      <c r="C183" s="6">
        <v>45624</v>
      </c>
      <c r="D183" t="s">
        <v>22</v>
      </c>
      <c r="E183" t="s">
        <v>113</v>
      </c>
      <c r="F183">
        <v>4771</v>
      </c>
      <c r="G183">
        <v>818</v>
      </c>
      <c r="H183">
        <v>56</v>
      </c>
      <c r="I183">
        <v>57252</v>
      </c>
      <c r="J183">
        <v>56378</v>
      </c>
      <c r="K183">
        <v>150</v>
      </c>
      <c r="L183" t="s">
        <v>38</v>
      </c>
      <c r="M183">
        <v>9.859917557465242E-2</v>
      </c>
      <c r="N183" t="s">
        <v>612</v>
      </c>
      <c r="O183" t="s">
        <v>62</v>
      </c>
    </row>
    <row r="184" spans="1:15" x14ac:dyDescent="0.3">
      <c r="A184" t="s">
        <v>359</v>
      </c>
      <c r="B184" t="s">
        <v>43</v>
      </c>
      <c r="C184" s="6">
        <v>45608</v>
      </c>
      <c r="D184" t="s">
        <v>22</v>
      </c>
      <c r="E184" t="s">
        <v>56</v>
      </c>
      <c r="F184">
        <v>2418</v>
      </c>
      <c r="G184">
        <v>754</v>
      </c>
      <c r="H184">
        <v>54</v>
      </c>
      <c r="I184">
        <v>43524</v>
      </c>
      <c r="J184">
        <v>42743</v>
      </c>
      <c r="K184">
        <v>182</v>
      </c>
      <c r="L184" t="s">
        <v>19</v>
      </c>
      <c r="M184">
        <v>7.412002573292896E-2</v>
      </c>
      <c r="N184" t="s">
        <v>612</v>
      </c>
      <c r="O184" t="s">
        <v>37</v>
      </c>
    </row>
    <row r="185" spans="1:15" x14ac:dyDescent="0.3">
      <c r="A185" t="s">
        <v>361</v>
      </c>
      <c r="B185" t="s">
        <v>27</v>
      </c>
      <c r="C185" s="6">
        <v>45629</v>
      </c>
      <c r="D185" t="s">
        <v>74</v>
      </c>
      <c r="E185" t="s">
        <v>219</v>
      </c>
      <c r="F185">
        <v>3809</v>
      </c>
      <c r="G185">
        <v>273</v>
      </c>
      <c r="H185">
        <v>200</v>
      </c>
      <c r="I185">
        <v>34281</v>
      </c>
      <c r="J185">
        <v>33534</v>
      </c>
      <c r="K185">
        <v>83</v>
      </c>
      <c r="L185" t="s">
        <v>19</v>
      </c>
      <c r="M185">
        <v>0.12490884163239112</v>
      </c>
      <c r="N185" t="s">
        <v>612</v>
      </c>
      <c r="O185" t="s">
        <v>37</v>
      </c>
    </row>
    <row r="186" spans="1:15" x14ac:dyDescent="0.3">
      <c r="A186" t="s">
        <v>363</v>
      </c>
      <c r="B186" t="s">
        <v>14</v>
      </c>
      <c r="C186" s="6">
        <v>45775</v>
      </c>
      <c r="D186" t="s">
        <v>22</v>
      </c>
      <c r="E186" t="s">
        <v>23</v>
      </c>
      <c r="F186">
        <v>3577</v>
      </c>
      <c r="G186">
        <v>596</v>
      </c>
      <c r="H186">
        <v>493</v>
      </c>
      <c r="I186">
        <v>67963</v>
      </c>
      <c r="J186">
        <v>67839</v>
      </c>
      <c r="K186">
        <v>53</v>
      </c>
      <c r="L186" t="s">
        <v>31</v>
      </c>
      <c r="M186">
        <v>6.8655003457763777E-2</v>
      </c>
      <c r="N186" t="s">
        <v>612</v>
      </c>
      <c r="O186" t="s">
        <v>30</v>
      </c>
    </row>
    <row r="187" spans="1:15" x14ac:dyDescent="0.3">
      <c r="A187" t="s">
        <v>365</v>
      </c>
      <c r="B187" t="s">
        <v>27</v>
      </c>
      <c r="C187" s="6">
        <v>45657</v>
      </c>
      <c r="D187" t="s">
        <v>74</v>
      </c>
      <c r="E187" t="s">
        <v>219</v>
      </c>
      <c r="F187">
        <v>1018</v>
      </c>
      <c r="G187">
        <v>447</v>
      </c>
      <c r="H187">
        <v>332</v>
      </c>
      <c r="I187">
        <v>18324</v>
      </c>
      <c r="J187">
        <v>18164</v>
      </c>
      <c r="K187">
        <v>38</v>
      </c>
      <c r="L187" t="s">
        <v>25</v>
      </c>
      <c r="M187">
        <v>9.8068107400130972E-2</v>
      </c>
      <c r="N187" t="s">
        <v>612</v>
      </c>
      <c r="O187" t="s">
        <v>62</v>
      </c>
    </row>
    <row r="188" spans="1:15" x14ac:dyDescent="0.3">
      <c r="A188" t="s">
        <v>367</v>
      </c>
      <c r="B188" t="s">
        <v>43</v>
      </c>
      <c r="C188" s="6">
        <v>45518</v>
      </c>
      <c r="D188" t="s">
        <v>45</v>
      </c>
      <c r="E188" t="s">
        <v>46</v>
      </c>
      <c r="F188">
        <v>3073</v>
      </c>
      <c r="G188">
        <v>553</v>
      </c>
      <c r="H188">
        <v>174</v>
      </c>
      <c r="I188">
        <v>52241</v>
      </c>
      <c r="J188">
        <v>51605</v>
      </c>
      <c r="K188">
        <v>246</v>
      </c>
      <c r="L188" t="s">
        <v>31</v>
      </c>
      <c r="M188">
        <v>7.2739802071170159E-2</v>
      </c>
      <c r="N188" t="s">
        <v>612</v>
      </c>
      <c r="O188" t="s">
        <v>37</v>
      </c>
    </row>
    <row r="189" spans="1:15" x14ac:dyDescent="0.3">
      <c r="A189" t="s">
        <v>369</v>
      </c>
      <c r="B189" t="s">
        <v>14</v>
      </c>
      <c r="C189" s="6">
        <v>45631</v>
      </c>
      <c r="D189" t="s">
        <v>74</v>
      </c>
      <c r="E189" t="s">
        <v>145</v>
      </c>
      <c r="F189">
        <v>1330</v>
      </c>
      <c r="G189">
        <v>925</v>
      </c>
      <c r="H189">
        <v>35</v>
      </c>
      <c r="I189">
        <v>15960</v>
      </c>
      <c r="J189">
        <v>15379</v>
      </c>
      <c r="K189">
        <v>229</v>
      </c>
      <c r="L189" t="s">
        <v>31</v>
      </c>
      <c r="M189">
        <v>0.14348370927318296</v>
      </c>
      <c r="N189" t="s">
        <v>612</v>
      </c>
      <c r="O189" t="s">
        <v>62</v>
      </c>
    </row>
    <row r="190" spans="1:15" x14ac:dyDescent="0.3">
      <c r="A190" t="s">
        <v>371</v>
      </c>
      <c r="B190" t="s">
        <v>43</v>
      </c>
      <c r="C190" s="6">
        <v>45465</v>
      </c>
      <c r="D190" t="s">
        <v>22</v>
      </c>
      <c r="E190" t="s">
        <v>56</v>
      </c>
      <c r="F190">
        <v>3828</v>
      </c>
      <c r="G190">
        <v>148</v>
      </c>
      <c r="H190">
        <v>253</v>
      </c>
      <c r="I190">
        <v>30624</v>
      </c>
      <c r="J190">
        <v>30229</v>
      </c>
      <c r="K190">
        <v>235</v>
      </c>
      <c r="L190" t="s">
        <v>19</v>
      </c>
      <c r="M190">
        <v>0.13809430512016718</v>
      </c>
      <c r="N190" t="s">
        <v>612</v>
      </c>
      <c r="O190" t="s">
        <v>37</v>
      </c>
    </row>
    <row r="191" spans="1:15" x14ac:dyDescent="0.3">
      <c r="A191" t="s">
        <v>372</v>
      </c>
      <c r="B191" t="s">
        <v>33</v>
      </c>
      <c r="C191" s="6">
        <v>45674</v>
      </c>
      <c r="D191" t="s">
        <v>16</v>
      </c>
      <c r="E191" t="s">
        <v>82</v>
      </c>
      <c r="F191">
        <v>142</v>
      </c>
      <c r="G191">
        <v>784</v>
      </c>
      <c r="H191">
        <v>183</v>
      </c>
      <c r="I191">
        <v>1704</v>
      </c>
      <c r="J191">
        <v>995</v>
      </c>
      <c r="K191">
        <v>154</v>
      </c>
      <c r="L191" t="s">
        <v>38</v>
      </c>
      <c r="M191">
        <v>0.6508215962441315</v>
      </c>
      <c r="N191" t="s">
        <v>612</v>
      </c>
      <c r="O191" t="s">
        <v>62</v>
      </c>
    </row>
    <row r="192" spans="1:15" x14ac:dyDescent="0.3">
      <c r="A192" t="s">
        <v>374</v>
      </c>
      <c r="B192" t="s">
        <v>43</v>
      </c>
      <c r="C192" s="6">
        <v>45463</v>
      </c>
      <c r="D192" t="s">
        <v>74</v>
      </c>
      <c r="E192" t="s">
        <v>75</v>
      </c>
      <c r="F192">
        <v>3798</v>
      </c>
      <c r="G192">
        <v>31</v>
      </c>
      <c r="H192">
        <v>279</v>
      </c>
      <c r="I192">
        <v>75960</v>
      </c>
      <c r="J192">
        <v>75813</v>
      </c>
      <c r="K192">
        <v>266</v>
      </c>
      <c r="L192" t="s">
        <v>19</v>
      </c>
      <c r="M192">
        <v>5.4081095313322801E-2</v>
      </c>
      <c r="N192" t="s">
        <v>612</v>
      </c>
      <c r="O192" t="s">
        <v>30</v>
      </c>
    </row>
    <row r="193" spans="1:15" x14ac:dyDescent="0.3">
      <c r="A193" t="s">
        <v>376</v>
      </c>
      <c r="B193" t="s">
        <v>33</v>
      </c>
      <c r="C193" s="6">
        <v>45483</v>
      </c>
      <c r="D193" t="s">
        <v>45</v>
      </c>
      <c r="E193" t="s">
        <v>88</v>
      </c>
      <c r="F193">
        <v>3099</v>
      </c>
      <c r="G193">
        <v>694</v>
      </c>
      <c r="H193">
        <v>171</v>
      </c>
      <c r="I193">
        <v>43386</v>
      </c>
      <c r="J193">
        <v>42921</v>
      </c>
      <c r="K193">
        <v>52</v>
      </c>
      <c r="L193" t="s">
        <v>31</v>
      </c>
      <c r="M193">
        <v>9.1365878393951966E-2</v>
      </c>
      <c r="N193" t="s">
        <v>612</v>
      </c>
      <c r="O193" t="s">
        <v>30</v>
      </c>
    </row>
    <row r="194" spans="1:15" x14ac:dyDescent="0.3">
      <c r="A194" t="s">
        <v>378</v>
      </c>
      <c r="B194" t="s">
        <v>33</v>
      </c>
      <c r="C194" s="6">
        <v>45603</v>
      </c>
      <c r="D194" t="s">
        <v>74</v>
      </c>
      <c r="E194" t="s">
        <v>85</v>
      </c>
      <c r="F194">
        <v>129</v>
      </c>
      <c r="G194">
        <v>643</v>
      </c>
      <c r="H194">
        <v>136</v>
      </c>
      <c r="I194">
        <v>1290</v>
      </c>
      <c r="J194">
        <v>839</v>
      </c>
      <c r="K194">
        <v>238</v>
      </c>
      <c r="L194" t="s">
        <v>38</v>
      </c>
      <c r="M194">
        <v>0.70387596899224802</v>
      </c>
      <c r="N194" t="s">
        <v>612</v>
      </c>
      <c r="O194" t="s">
        <v>30</v>
      </c>
    </row>
    <row r="195" spans="1:15" x14ac:dyDescent="0.3">
      <c r="A195" t="s">
        <v>379</v>
      </c>
      <c r="B195" t="s">
        <v>43</v>
      </c>
      <c r="C195" s="6">
        <v>45488</v>
      </c>
      <c r="D195" t="s">
        <v>45</v>
      </c>
      <c r="E195" t="s">
        <v>46</v>
      </c>
      <c r="F195">
        <v>3796</v>
      </c>
      <c r="G195">
        <v>667</v>
      </c>
      <c r="H195">
        <v>395</v>
      </c>
      <c r="I195">
        <v>64532</v>
      </c>
      <c r="J195">
        <v>63550</v>
      </c>
      <c r="K195">
        <v>292</v>
      </c>
      <c r="L195" t="s">
        <v>25</v>
      </c>
      <c r="M195">
        <v>7.5280481001673588E-2</v>
      </c>
      <c r="N195" t="s">
        <v>612</v>
      </c>
      <c r="O195" t="s">
        <v>30</v>
      </c>
    </row>
    <row r="196" spans="1:15" x14ac:dyDescent="0.3">
      <c r="A196" t="s">
        <v>380</v>
      </c>
      <c r="B196" t="s">
        <v>27</v>
      </c>
      <c r="C196" s="6">
        <v>45629</v>
      </c>
      <c r="D196" t="s">
        <v>22</v>
      </c>
      <c r="E196" t="s">
        <v>104</v>
      </c>
      <c r="F196">
        <v>3711</v>
      </c>
      <c r="G196">
        <v>352</v>
      </c>
      <c r="H196">
        <v>290</v>
      </c>
      <c r="I196">
        <v>48243</v>
      </c>
      <c r="J196">
        <v>47579</v>
      </c>
      <c r="K196">
        <v>11</v>
      </c>
      <c r="L196" t="s">
        <v>19</v>
      </c>
      <c r="M196">
        <v>9.023070704558174E-2</v>
      </c>
      <c r="N196" t="s">
        <v>612</v>
      </c>
      <c r="O196" t="s">
        <v>30</v>
      </c>
    </row>
    <row r="197" spans="1:15" x14ac:dyDescent="0.3">
      <c r="A197" t="s">
        <v>381</v>
      </c>
      <c r="B197" t="s">
        <v>27</v>
      </c>
      <c r="C197" s="6">
        <v>45737</v>
      </c>
      <c r="D197" t="s">
        <v>52</v>
      </c>
      <c r="E197" t="s">
        <v>53</v>
      </c>
      <c r="F197">
        <v>606</v>
      </c>
      <c r="G197">
        <v>789</v>
      </c>
      <c r="H197">
        <v>470</v>
      </c>
      <c r="I197">
        <v>7878</v>
      </c>
      <c r="J197">
        <v>7389</v>
      </c>
      <c r="K197">
        <v>239</v>
      </c>
      <c r="L197" t="s">
        <v>31</v>
      </c>
      <c r="M197">
        <v>0.23673521198273673</v>
      </c>
      <c r="N197" t="s">
        <v>612</v>
      </c>
      <c r="O197" t="s">
        <v>37</v>
      </c>
    </row>
    <row r="198" spans="1:15" x14ac:dyDescent="0.3">
      <c r="A198" t="s">
        <v>383</v>
      </c>
      <c r="B198" t="s">
        <v>43</v>
      </c>
      <c r="C198" s="6">
        <v>45504</v>
      </c>
      <c r="D198" t="s">
        <v>52</v>
      </c>
      <c r="E198" t="s">
        <v>59</v>
      </c>
      <c r="F198">
        <v>4689</v>
      </c>
      <c r="G198">
        <v>134</v>
      </c>
      <c r="H198">
        <v>403</v>
      </c>
      <c r="I198">
        <v>51579</v>
      </c>
      <c r="J198">
        <v>50924</v>
      </c>
      <c r="K198">
        <v>173</v>
      </c>
      <c r="L198" t="s">
        <v>38</v>
      </c>
      <c r="M198">
        <v>0.10132030477519921</v>
      </c>
      <c r="N198" t="s">
        <v>612</v>
      </c>
      <c r="O198" t="s">
        <v>30</v>
      </c>
    </row>
    <row r="199" spans="1:15" x14ac:dyDescent="0.3">
      <c r="A199" t="s">
        <v>384</v>
      </c>
      <c r="B199" t="s">
        <v>33</v>
      </c>
      <c r="C199" s="6">
        <v>45643</v>
      </c>
      <c r="D199" t="s">
        <v>35</v>
      </c>
      <c r="E199" t="s">
        <v>36</v>
      </c>
      <c r="F199">
        <v>360</v>
      </c>
      <c r="G199">
        <v>590</v>
      </c>
      <c r="H199">
        <v>393</v>
      </c>
      <c r="I199">
        <v>4680</v>
      </c>
      <c r="J199">
        <v>4322</v>
      </c>
      <c r="K199">
        <v>208</v>
      </c>
      <c r="L199" t="s">
        <v>25</v>
      </c>
      <c r="M199">
        <v>0.28696581196581195</v>
      </c>
      <c r="N199" t="s">
        <v>612</v>
      </c>
      <c r="O199" t="s">
        <v>62</v>
      </c>
    </row>
    <row r="200" spans="1:15" x14ac:dyDescent="0.3">
      <c r="A200" t="s">
        <v>386</v>
      </c>
      <c r="B200" t="s">
        <v>14</v>
      </c>
      <c r="C200" s="6">
        <v>45501</v>
      </c>
      <c r="D200" t="s">
        <v>52</v>
      </c>
      <c r="E200" t="s">
        <v>132</v>
      </c>
      <c r="F200">
        <v>3215</v>
      </c>
      <c r="G200">
        <v>960</v>
      </c>
      <c r="H200">
        <v>202</v>
      </c>
      <c r="I200">
        <v>32150</v>
      </c>
      <c r="J200">
        <v>31404</v>
      </c>
      <c r="K200">
        <v>251</v>
      </c>
      <c r="L200" t="s">
        <v>19</v>
      </c>
      <c r="M200">
        <v>0.13614307931570763</v>
      </c>
      <c r="N200" t="s">
        <v>612</v>
      </c>
      <c r="O200" t="s">
        <v>37</v>
      </c>
    </row>
    <row r="201" spans="1:15" x14ac:dyDescent="0.3">
      <c r="A201" t="s">
        <v>388</v>
      </c>
      <c r="B201" t="s">
        <v>33</v>
      </c>
      <c r="C201" s="6">
        <v>45668</v>
      </c>
      <c r="D201" t="s">
        <v>45</v>
      </c>
      <c r="E201" t="s">
        <v>88</v>
      </c>
      <c r="F201">
        <v>4523</v>
      </c>
      <c r="G201">
        <v>61</v>
      </c>
      <c r="H201">
        <v>157</v>
      </c>
      <c r="I201">
        <v>49753</v>
      </c>
      <c r="J201">
        <v>49329</v>
      </c>
      <c r="K201">
        <v>71</v>
      </c>
      <c r="L201" t="s">
        <v>19</v>
      </c>
      <c r="M201">
        <v>9.5290736237010829E-2</v>
      </c>
      <c r="N201" t="s">
        <v>612</v>
      </c>
      <c r="O201" t="s">
        <v>37</v>
      </c>
    </row>
    <row r="202" spans="1:15" x14ac:dyDescent="0.3">
      <c r="A202" t="s">
        <v>390</v>
      </c>
      <c r="B202" t="s">
        <v>43</v>
      </c>
      <c r="C202" s="6">
        <v>45528</v>
      </c>
      <c r="D202" t="s">
        <v>45</v>
      </c>
      <c r="E202" t="s">
        <v>46</v>
      </c>
      <c r="F202">
        <v>4292</v>
      </c>
      <c r="G202">
        <v>51</v>
      </c>
      <c r="H202">
        <v>392</v>
      </c>
      <c r="I202">
        <v>55796</v>
      </c>
      <c r="J202">
        <v>54826</v>
      </c>
      <c r="K202">
        <v>264</v>
      </c>
      <c r="L202" t="s">
        <v>31</v>
      </c>
      <c r="M202">
        <v>8.4862714173059003E-2</v>
      </c>
      <c r="N202" t="s">
        <v>612</v>
      </c>
      <c r="O202" t="s">
        <v>37</v>
      </c>
    </row>
    <row r="203" spans="1:15" x14ac:dyDescent="0.3">
      <c r="A203" t="s">
        <v>391</v>
      </c>
      <c r="B203" t="s">
        <v>14</v>
      </c>
      <c r="C203" s="6">
        <v>45648</v>
      </c>
      <c r="D203" t="s">
        <v>16</v>
      </c>
      <c r="E203" t="s">
        <v>17</v>
      </c>
      <c r="F203">
        <v>1644</v>
      </c>
      <c r="G203">
        <v>546</v>
      </c>
      <c r="H203">
        <v>150</v>
      </c>
      <c r="I203">
        <v>27948</v>
      </c>
      <c r="J203">
        <v>27184</v>
      </c>
      <c r="K203">
        <v>300</v>
      </c>
      <c r="L203" t="s">
        <v>31</v>
      </c>
      <c r="M203">
        <v>8.3726921425504502E-2</v>
      </c>
      <c r="N203" t="s">
        <v>612</v>
      </c>
      <c r="O203" t="s">
        <v>37</v>
      </c>
    </row>
    <row r="204" spans="1:15" x14ac:dyDescent="0.3">
      <c r="A204" t="s">
        <v>393</v>
      </c>
      <c r="B204" t="s">
        <v>27</v>
      </c>
      <c r="C204" s="6">
        <v>45449</v>
      </c>
      <c r="D204" t="s">
        <v>16</v>
      </c>
      <c r="E204" t="s">
        <v>29</v>
      </c>
      <c r="F204">
        <v>2728</v>
      </c>
      <c r="G204">
        <v>533</v>
      </c>
      <c r="H204">
        <v>215</v>
      </c>
      <c r="I204">
        <v>40920</v>
      </c>
      <c r="J204">
        <v>40816</v>
      </c>
      <c r="K204">
        <v>137</v>
      </c>
      <c r="L204" t="s">
        <v>25</v>
      </c>
      <c r="M204">
        <v>8.4946236559139784E-2</v>
      </c>
      <c r="N204" t="s">
        <v>612</v>
      </c>
      <c r="O204" t="s">
        <v>62</v>
      </c>
    </row>
    <row r="205" spans="1:15" x14ac:dyDescent="0.3">
      <c r="A205" t="s">
        <v>394</v>
      </c>
      <c r="B205" t="s">
        <v>43</v>
      </c>
      <c r="C205" s="6">
        <v>45740</v>
      </c>
      <c r="D205" t="s">
        <v>16</v>
      </c>
      <c r="E205" t="s">
        <v>65</v>
      </c>
      <c r="F205">
        <v>3360</v>
      </c>
      <c r="G205">
        <v>525</v>
      </c>
      <c r="H205">
        <v>500</v>
      </c>
      <c r="I205">
        <v>60480</v>
      </c>
      <c r="J205">
        <v>59610</v>
      </c>
      <c r="K205">
        <v>192</v>
      </c>
      <c r="L205" t="s">
        <v>19</v>
      </c>
      <c r="M205">
        <v>7.2503306878306875E-2</v>
      </c>
      <c r="N205" t="s">
        <v>612</v>
      </c>
      <c r="O205" t="s">
        <v>30</v>
      </c>
    </row>
    <row r="206" spans="1:15" x14ac:dyDescent="0.3">
      <c r="A206" t="s">
        <v>395</v>
      </c>
      <c r="B206" t="s">
        <v>27</v>
      </c>
      <c r="C206" s="6">
        <v>45569</v>
      </c>
      <c r="D206" t="s">
        <v>22</v>
      </c>
      <c r="E206" t="s">
        <v>104</v>
      </c>
      <c r="F206">
        <v>1963</v>
      </c>
      <c r="G206">
        <v>213</v>
      </c>
      <c r="H206">
        <v>19</v>
      </c>
      <c r="I206">
        <v>39260</v>
      </c>
      <c r="J206">
        <v>38771</v>
      </c>
      <c r="K206">
        <v>145</v>
      </c>
      <c r="L206" t="s">
        <v>38</v>
      </c>
      <c r="M206">
        <v>5.5909322465613857E-2</v>
      </c>
      <c r="N206" t="s">
        <v>612</v>
      </c>
      <c r="O206" t="s">
        <v>62</v>
      </c>
    </row>
    <row r="207" spans="1:15" x14ac:dyDescent="0.3">
      <c r="A207" t="s">
        <v>397</v>
      </c>
      <c r="B207" t="s">
        <v>27</v>
      </c>
      <c r="C207" s="6">
        <v>45629</v>
      </c>
      <c r="D207" t="s">
        <v>35</v>
      </c>
      <c r="E207" t="s">
        <v>154</v>
      </c>
      <c r="F207">
        <v>4285</v>
      </c>
      <c r="G207">
        <v>886</v>
      </c>
      <c r="H207">
        <v>376</v>
      </c>
      <c r="I207">
        <v>55705</v>
      </c>
      <c r="J207">
        <v>55556</v>
      </c>
      <c r="K207">
        <v>51</v>
      </c>
      <c r="L207" t="s">
        <v>31</v>
      </c>
      <c r="M207">
        <v>9.9578134817341346E-2</v>
      </c>
      <c r="N207" t="s">
        <v>612</v>
      </c>
      <c r="O207" t="s">
        <v>62</v>
      </c>
    </row>
    <row r="208" spans="1:15" x14ac:dyDescent="0.3">
      <c r="A208" t="s">
        <v>398</v>
      </c>
      <c r="B208" t="s">
        <v>33</v>
      </c>
      <c r="C208" s="6">
        <v>45625</v>
      </c>
      <c r="D208" t="s">
        <v>74</v>
      </c>
      <c r="E208" t="s">
        <v>85</v>
      </c>
      <c r="F208">
        <v>1176</v>
      </c>
      <c r="G208">
        <v>464</v>
      </c>
      <c r="H208">
        <v>394</v>
      </c>
      <c r="I208">
        <v>14112</v>
      </c>
      <c r="J208">
        <v>13588</v>
      </c>
      <c r="K208">
        <v>272</v>
      </c>
      <c r="L208" t="s">
        <v>19</v>
      </c>
      <c r="M208">
        <v>0.1441326530612245</v>
      </c>
      <c r="N208" t="s">
        <v>612</v>
      </c>
      <c r="O208" t="s">
        <v>37</v>
      </c>
    </row>
    <row r="209" spans="1:15" x14ac:dyDescent="0.3">
      <c r="A209" t="s">
        <v>400</v>
      </c>
      <c r="B209" t="s">
        <v>14</v>
      </c>
      <c r="C209" s="6">
        <v>45546</v>
      </c>
      <c r="D209" t="s">
        <v>52</v>
      </c>
      <c r="E209" t="s">
        <v>132</v>
      </c>
      <c r="F209">
        <v>4858</v>
      </c>
      <c r="G209">
        <v>317</v>
      </c>
      <c r="H209">
        <v>129</v>
      </c>
      <c r="I209">
        <v>53438</v>
      </c>
      <c r="J209">
        <v>52687</v>
      </c>
      <c r="K209">
        <v>223</v>
      </c>
      <c r="L209" t="s">
        <v>31</v>
      </c>
      <c r="M209">
        <v>9.9255211647142488E-2</v>
      </c>
      <c r="N209" t="s">
        <v>612</v>
      </c>
      <c r="O209" t="s">
        <v>37</v>
      </c>
    </row>
    <row r="210" spans="1:15" x14ac:dyDescent="0.3">
      <c r="A210" t="s">
        <v>402</v>
      </c>
      <c r="B210" t="s">
        <v>27</v>
      </c>
      <c r="C210" s="6">
        <v>45567</v>
      </c>
      <c r="D210" t="s">
        <v>35</v>
      </c>
      <c r="E210" t="s">
        <v>154</v>
      </c>
      <c r="F210">
        <v>4350</v>
      </c>
      <c r="G210">
        <v>771</v>
      </c>
      <c r="H210">
        <v>7</v>
      </c>
      <c r="I210">
        <v>60900</v>
      </c>
      <c r="J210">
        <v>60592</v>
      </c>
      <c r="K210">
        <v>195</v>
      </c>
      <c r="L210" t="s">
        <v>19</v>
      </c>
      <c r="M210">
        <v>8.4203612479474554E-2</v>
      </c>
      <c r="N210" t="s">
        <v>612</v>
      </c>
      <c r="O210" t="s">
        <v>37</v>
      </c>
    </row>
    <row r="211" spans="1:15" x14ac:dyDescent="0.3">
      <c r="A211" t="s">
        <v>403</v>
      </c>
      <c r="B211" t="s">
        <v>33</v>
      </c>
      <c r="C211" s="6">
        <v>45519</v>
      </c>
      <c r="D211" t="s">
        <v>45</v>
      </c>
      <c r="E211" t="s">
        <v>88</v>
      </c>
      <c r="F211">
        <v>914</v>
      </c>
      <c r="G211">
        <v>464</v>
      </c>
      <c r="H211">
        <v>246</v>
      </c>
      <c r="I211">
        <v>11882</v>
      </c>
      <c r="J211">
        <v>11500</v>
      </c>
      <c r="K211">
        <v>282</v>
      </c>
      <c r="L211" t="s">
        <v>38</v>
      </c>
      <c r="M211">
        <v>0.13667732704931829</v>
      </c>
      <c r="N211" t="s">
        <v>612</v>
      </c>
      <c r="O211" t="s">
        <v>62</v>
      </c>
    </row>
    <row r="212" spans="1:15" x14ac:dyDescent="0.3">
      <c r="A212" t="s">
        <v>403</v>
      </c>
      <c r="B212" t="s">
        <v>33</v>
      </c>
      <c r="C212" s="6">
        <v>45519</v>
      </c>
      <c r="D212" t="s">
        <v>45</v>
      </c>
      <c r="E212" t="s">
        <v>88</v>
      </c>
      <c r="F212">
        <v>914</v>
      </c>
      <c r="G212">
        <v>464</v>
      </c>
      <c r="H212">
        <v>246</v>
      </c>
      <c r="I212">
        <v>11882</v>
      </c>
      <c r="J212">
        <v>11500</v>
      </c>
      <c r="K212">
        <v>282</v>
      </c>
      <c r="L212" t="s">
        <v>38</v>
      </c>
      <c r="M212">
        <v>0.13667732704931829</v>
      </c>
      <c r="N212" t="s">
        <v>613</v>
      </c>
      <c r="O212" t="s">
        <v>30</v>
      </c>
    </row>
    <row r="213" spans="1:15" x14ac:dyDescent="0.3">
      <c r="A213" t="s">
        <v>403</v>
      </c>
      <c r="B213" t="s">
        <v>33</v>
      </c>
      <c r="C213" s="6">
        <v>45519</v>
      </c>
      <c r="D213" t="s">
        <v>45</v>
      </c>
      <c r="E213" t="s">
        <v>88</v>
      </c>
      <c r="F213">
        <v>914</v>
      </c>
      <c r="G213">
        <v>464</v>
      </c>
      <c r="H213">
        <v>246</v>
      </c>
      <c r="I213">
        <v>11882</v>
      </c>
      <c r="J213">
        <v>11500</v>
      </c>
      <c r="K213">
        <v>282</v>
      </c>
      <c r="L213" t="s">
        <v>38</v>
      </c>
      <c r="M213">
        <v>0.13667732704931829</v>
      </c>
      <c r="N213" t="s">
        <v>614</v>
      </c>
      <c r="O213" t="s">
        <v>615</v>
      </c>
    </row>
    <row r="214" spans="1:15" x14ac:dyDescent="0.3">
      <c r="A214" t="s">
        <v>405</v>
      </c>
      <c r="B214" t="s">
        <v>33</v>
      </c>
      <c r="C214" s="6">
        <v>45645</v>
      </c>
      <c r="D214" t="s">
        <v>22</v>
      </c>
      <c r="E214" t="s">
        <v>113</v>
      </c>
      <c r="F214">
        <v>1813</v>
      </c>
      <c r="G214">
        <v>623</v>
      </c>
      <c r="H214">
        <v>72</v>
      </c>
      <c r="I214">
        <v>19943</v>
      </c>
      <c r="J214">
        <v>18959</v>
      </c>
      <c r="K214">
        <v>85</v>
      </c>
      <c r="L214" t="s">
        <v>31</v>
      </c>
      <c r="M214">
        <v>0.12575841147269717</v>
      </c>
      <c r="N214" t="s">
        <v>612</v>
      </c>
      <c r="O214" t="s">
        <v>37</v>
      </c>
    </row>
    <row r="215" spans="1:15" x14ac:dyDescent="0.3">
      <c r="A215" t="s">
        <v>407</v>
      </c>
      <c r="B215" t="s">
        <v>14</v>
      </c>
      <c r="C215" s="6">
        <v>45587</v>
      </c>
      <c r="D215" t="s">
        <v>16</v>
      </c>
      <c r="E215" t="s">
        <v>17</v>
      </c>
      <c r="F215">
        <v>4782</v>
      </c>
      <c r="G215">
        <v>721</v>
      </c>
      <c r="H215">
        <v>82</v>
      </c>
      <c r="I215">
        <v>86076</v>
      </c>
      <c r="J215">
        <v>85339</v>
      </c>
      <c r="K215">
        <v>19</v>
      </c>
      <c r="L215" t="s">
        <v>19</v>
      </c>
      <c r="M215">
        <v>6.4884520656164318E-2</v>
      </c>
      <c r="N215" t="s">
        <v>612</v>
      </c>
      <c r="O215" t="s">
        <v>37</v>
      </c>
    </row>
    <row r="216" spans="1:15" x14ac:dyDescent="0.3">
      <c r="A216" t="s">
        <v>408</v>
      </c>
      <c r="B216" t="s">
        <v>14</v>
      </c>
      <c r="C216" s="6">
        <v>45549</v>
      </c>
      <c r="D216" t="s">
        <v>52</v>
      </c>
      <c r="E216" t="s">
        <v>132</v>
      </c>
      <c r="F216">
        <v>1048</v>
      </c>
      <c r="G216">
        <v>374</v>
      </c>
      <c r="H216">
        <v>450</v>
      </c>
      <c r="I216">
        <v>9432</v>
      </c>
      <c r="J216">
        <v>8882</v>
      </c>
      <c r="K216">
        <v>158</v>
      </c>
      <c r="L216" t="s">
        <v>31</v>
      </c>
      <c r="M216">
        <v>0.19847328244274809</v>
      </c>
      <c r="N216" t="s">
        <v>612</v>
      </c>
      <c r="O216" t="s">
        <v>30</v>
      </c>
    </row>
    <row r="217" spans="1:15" x14ac:dyDescent="0.3">
      <c r="A217" t="s">
        <v>410</v>
      </c>
      <c r="B217" t="s">
        <v>27</v>
      </c>
      <c r="C217" s="6">
        <v>45626</v>
      </c>
      <c r="D217" t="s">
        <v>45</v>
      </c>
      <c r="E217" t="s">
        <v>68</v>
      </c>
      <c r="F217">
        <v>2509</v>
      </c>
      <c r="G217">
        <v>324</v>
      </c>
      <c r="H217">
        <v>171</v>
      </c>
      <c r="I217">
        <v>35126</v>
      </c>
      <c r="J217">
        <v>34685</v>
      </c>
      <c r="K217">
        <v>277</v>
      </c>
      <c r="L217" t="s">
        <v>25</v>
      </c>
      <c r="M217">
        <v>8.5520696919660646E-2</v>
      </c>
      <c r="N217" t="s">
        <v>612</v>
      </c>
      <c r="O217" t="s">
        <v>30</v>
      </c>
    </row>
    <row r="218" spans="1:15" x14ac:dyDescent="0.3">
      <c r="A218" t="s">
        <v>411</v>
      </c>
      <c r="B218" t="s">
        <v>43</v>
      </c>
      <c r="C218" s="6">
        <v>45754</v>
      </c>
      <c r="D218" t="s">
        <v>16</v>
      </c>
      <c r="E218" t="s">
        <v>65</v>
      </c>
      <c r="F218">
        <v>3718</v>
      </c>
      <c r="G218">
        <v>385</v>
      </c>
      <c r="H218">
        <v>310</v>
      </c>
      <c r="I218">
        <v>70642</v>
      </c>
      <c r="J218">
        <v>69749</v>
      </c>
      <c r="K218">
        <v>233</v>
      </c>
      <c r="L218" t="s">
        <v>25</v>
      </c>
      <c r="M218">
        <v>6.246991874522239E-2</v>
      </c>
      <c r="N218" t="s">
        <v>612</v>
      </c>
      <c r="O218" t="s">
        <v>30</v>
      </c>
    </row>
    <row r="219" spans="1:15" x14ac:dyDescent="0.3">
      <c r="A219" t="s">
        <v>413</v>
      </c>
      <c r="B219" t="s">
        <v>14</v>
      </c>
      <c r="C219" s="6">
        <v>45672</v>
      </c>
      <c r="D219" t="s">
        <v>16</v>
      </c>
      <c r="E219" t="s">
        <v>17</v>
      </c>
      <c r="F219">
        <v>802</v>
      </c>
      <c r="G219">
        <v>262</v>
      </c>
      <c r="H219">
        <v>244</v>
      </c>
      <c r="I219">
        <v>14436</v>
      </c>
      <c r="J219">
        <v>14280</v>
      </c>
      <c r="K219">
        <v>49</v>
      </c>
      <c r="L219" t="s">
        <v>19</v>
      </c>
      <c r="M219">
        <v>9.0606816292601824E-2</v>
      </c>
      <c r="N219" t="s">
        <v>612</v>
      </c>
      <c r="O219" t="s">
        <v>37</v>
      </c>
    </row>
    <row r="220" spans="1:15" x14ac:dyDescent="0.3">
      <c r="A220" t="s">
        <v>415</v>
      </c>
      <c r="B220" t="s">
        <v>43</v>
      </c>
      <c r="C220" s="6">
        <v>45445</v>
      </c>
      <c r="D220" t="s">
        <v>52</v>
      </c>
      <c r="E220" t="s">
        <v>59</v>
      </c>
      <c r="F220">
        <v>1871</v>
      </c>
      <c r="G220">
        <v>252</v>
      </c>
      <c r="H220">
        <v>335</v>
      </c>
      <c r="I220">
        <v>29936</v>
      </c>
      <c r="J220">
        <v>29576</v>
      </c>
      <c r="K220">
        <v>288</v>
      </c>
      <c r="L220" t="s">
        <v>31</v>
      </c>
      <c r="M220">
        <v>8.2108498129342594E-2</v>
      </c>
      <c r="N220" t="s">
        <v>612</v>
      </c>
      <c r="O220" t="s">
        <v>37</v>
      </c>
    </row>
    <row r="221" spans="1:15" x14ac:dyDescent="0.3">
      <c r="A221" t="s">
        <v>417</v>
      </c>
      <c r="B221" t="s">
        <v>33</v>
      </c>
      <c r="C221" s="6">
        <v>45617</v>
      </c>
      <c r="D221" t="s">
        <v>45</v>
      </c>
      <c r="E221" t="s">
        <v>88</v>
      </c>
      <c r="F221">
        <v>3773</v>
      </c>
      <c r="G221">
        <v>299</v>
      </c>
      <c r="H221">
        <v>38</v>
      </c>
      <c r="I221">
        <v>71687</v>
      </c>
      <c r="J221">
        <v>71447</v>
      </c>
      <c r="K221">
        <v>286</v>
      </c>
      <c r="L221" t="s">
        <v>19</v>
      </c>
      <c r="M221">
        <v>5.7332570758993957E-2</v>
      </c>
      <c r="N221" t="s">
        <v>612</v>
      </c>
      <c r="O221" t="s">
        <v>62</v>
      </c>
    </row>
    <row r="222" spans="1:15" x14ac:dyDescent="0.3">
      <c r="A222" t="s">
        <v>419</v>
      </c>
      <c r="B222" t="s">
        <v>33</v>
      </c>
      <c r="C222" s="6">
        <v>45658</v>
      </c>
      <c r="D222" t="s">
        <v>45</v>
      </c>
      <c r="E222" t="s">
        <v>88</v>
      </c>
      <c r="F222">
        <v>2234</v>
      </c>
      <c r="G222">
        <v>653</v>
      </c>
      <c r="H222">
        <v>432</v>
      </c>
      <c r="I222">
        <v>11170</v>
      </c>
      <c r="J222">
        <v>10569</v>
      </c>
      <c r="K222">
        <v>198</v>
      </c>
      <c r="L222" t="s">
        <v>31</v>
      </c>
      <c r="M222">
        <v>0.29713518352730528</v>
      </c>
      <c r="N222" t="s">
        <v>612</v>
      </c>
      <c r="O222" t="s">
        <v>62</v>
      </c>
    </row>
    <row r="223" spans="1:15" x14ac:dyDescent="0.3">
      <c r="A223" t="s">
        <v>420</v>
      </c>
      <c r="B223" t="s">
        <v>14</v>
      </c>
      <c r="C223" s="6">
        <v>45771</v>
      </c>
      <c r="D223" t="s">
        <v>74</v>
      </c>
      <c r="E223" t="s">
        <v>145</v>
      </c>
      <c r="F223">
        <v>3820</v>
      </c>
      <c r="G223">
        <v>697</v>
      </c>
      <c r="H223">
        <v>268</v>
      </c>
      <c r="I223">
        <v>45840</v>
      </c>
      <c r="J223">
        <v>45631</v>
      </c>
      <c r="K223">
        <v>171</v>
      </c>
      <c r="L223" t="s">
        <v>38</v>
      </c>
      <c r="M223">
        <v>0.1043848167539267</v>
      </c>
      <c r="N223" t="s">
        <v>612</v>
      </c>
      <c r="O223" t="s">
        <v>30</v>
      </c>
    </row>
    <row r="224" spans="1:15" x14ac:dyDescent="0.3">
      <c r="A224" t="s">
        <v>420</v>
      </c>
      <c r="B224" t="s">
        <v>14</v>
      </c>
      <c r="C224" s="6">
        <v>45771</v>
      </c>
      <c r="D224" t="s">
        <v>74</v>
      </c>
      <c r="E224" t="s">
        <v>145</v>
      </c>
      <c r="F224">
        <v>3820</v>
      </c>
      <c r="G224">
        <v>697</v>
      </c>
      <c r="H224">
        <v>268</v>
      </c>
      <c r="I224">
        <v>45840</v>
      </c>
      <c r="J224">
        <v>45631</v>
      </c>
      <c r="K224">
        <v>171</v>
      </c>
      <c r="L224" t="s">
        <v>38</v>
      </c>
      <c r="M224">
        <v>0.1043848167539267</v>
      </c>
      <c r="N224" t="s">
        <v>613</v>
      </c>
      <c r="O224" t="s">
        <v>607</v>
      </c>
    </row>
    <row r="225" spans="1:15" x14ac:dyDescent="0.3">
      <c r="A225" t="s">
        <v>422</v>
      </c>
      <c r="B225" t="s">
        <v>14</v>
      </c>
      <c r="C225" s="6">
        <v>45467</v>
      </c>
      <c r="D225" t="s">
        <v>22</v>
      </c>
      <c r="E225" t="s">
        <v>23</v>
      </c>
      <c r="F225">
        <v>941</v>
      </c>
      <c r="G225">
        <v>121</v>
      </c>
      <c r="H225">
        <v>458</v>
      </c>
      <c r="I225">
        <v>14115</v>
      </c>
      <c r="J225">
        <v>13838</v>
      </c>
      <c r="K225">
        <v>87</v>
      </c>
      <c r="L225" t="s">
        <v>19</v>
      </c>
      <c r="M225">
        <v>0.10768685795253277</v>
      </c>
      <c r="N225" t="s">
        <v>612</v>
      </c>
      <c r="O225" t="s">
        <v>37</v>
      </c>
    </row>
    <row r="226" spans="1:15" x14ac:dyDescent="0.3">
      <c r="A226" t="s">
        <v>423</v>
      </c>
      <c r="B226" t="s">
        <v>14</v>
      </c>
      <c r="C226" s="6">
        <v>45655</v>
      </c>
      <c r="D226" t="s">
        <v>45</v>
      </c>
      <c r="E226" t="s">
        <v>49</v>
      </c>
      <c r="F226">
        <v>4274</v>
      </c>
      <c r="G226">
        <v>340</v>
      </c>
      <c r="H226">
        <v>281</v>
      </c>
      <c r="I226">
        <v>34192</v>
      </c>
      <c r="J226">
        <v>33446</v>
      </c>
      <c r="K226">
        <v>129</v>
      </c>
      <c r="L226" t="s">
        <v>31</v>
      </c>
      <c r="M226">
        <v>0.14316214319138981</v>
      </c>
      <c r="N226" t="s">
        <v>612</v>
      </c>
      <c r="O226" t="s">
        <v>30</v>
      </c>
    </row>
    <row r="227" spans="1:15" x14ac:dyDescent="0.3">
      <c r="A227" t="s">
        <v>423</v>
      </c>
      <c r="B227" t="s">
        <v>14</v>
      </c>
      <c r="C227" s="6">
        <v>45655</v>
      </c>
      <c r="D227" t="s">
        <v>45</v>
      </c>
      <c r="E227" t="s">
        <v>49</v>
      </c>
      <c r="F227">
        <v>4274</v>
      </c>
      <c r="G227">
        <v>340</v>
      </c>
      <c r="H227">
        <v>281</v>
      </c>
      <c r="I227">
        <v>34192</v>
      </c>
      <c r="J227">
        <v>33446</v>
      </c>
      <c r="K227">
        <v>129</v>
      </c>
      <c r="L227" t="s">
        <v>31</v>
      </c>
      <c r="M227">
        <v>0.14316214319138981</v>
      </c>
      <c r="N227" t="s">
        <v>613</v>
      </c>
      <c r="O227" t="s">
        <v>607</v>
      </c>
    </row>
    <row r="228" spans="1:15" x14ac:dyDescent="0.3">
      <c r="A228" t="s">
        <v>425</v>
      </c>
      <c r="B228" t="s">
        <v>27</v>
      </c>
      <c r="C228" s="6">
        <v>45467</v>
      </c>
      <c r="D228" t="s">
        <v>74</v>
      </c>
      <c r="E228" t="s">
        <v>219</v>
      </c>
      <c r="F228">
        <v>2949</v>
      </c>
      <c r="G228">
        <v>476</v>
      </c>
      <c r="H228">
        <v>403</v>
      </c>
      <c r="I228">
        <v>44235</v>
      </c>
      <c r="J228">
        <v>43705</v>
      </c>
      <c r="K228">
        <v>135</v>
      </c>
      <c r="L228" t="s">
        <v>25</v>
      </c>
      <c r="M228">
        <v>8.6537809426924378E-2</v>
      </c>
      <c r="N228" t="s">
        <v>612</v>
      </c>
      <c r="O228" t="s">
        <v>30</v>
      </c>
    </row>
    <row r="229" spans="1:15" x14ac:dyDescent="0.3">
      <c r="A229" t="s">
        <v>426</v>
      </c>
      <c r="B229" t="s">
        <v>14</v>
      </c>
      <c r="C229" s="6">
        <v>45735</v>
      </c>
      <c r="D229" t="s">
        <v>74</v>
      </c>
      <c r="E229" t="s">
        <v>145</v>
      </c>
      <c r="F229">
        <v>3160</v>
      </c>
      <c r="G229">
        <v>204</v>
      </c>
      <c r="H229">
        <v>297</v>
      </c>
      <c r="I229">
        <v>44240</v>
      </c>
      <c r="J229">
        <v>43666</v>
      </c>
      <c r="K229">
        <v>49</v>
      </c>
      <c r="L229" t="s">
        <v>38</v>
      </c>
      <c r="M229">
        <v>8.2753164556962022E-2</v>
      </c>
      <c r="N229" t="s">
        <v>612</v>
      </c>
      <c r="O229" t="s">
        <v>62</v>
      </c>
    </row>
    <row r="230" spans="1:15" x14ac:dyDescent="0.3">
      <c r="A230" t="s">
        <v>426</v>
      </c>
      <c r="B230" t="s">
        <v>14</v>
      </c>
      <c r="C230" s="6">
        <v>45735</v>
      </c>
      <c r="D230" t="s">
        <v>74</v>
      </c>
      <c r="E230" t="s">
        <v>145</v>
      </c>
      <c r="F230">
        <v>3160</v>
      </c>
      <c r="G230">
        <v>204</v>
      </c>
      <c r="H230">
        <v>297</v>
      </c>
      <c r="I230">
        <v>44240</v>
      </c>
      <c r="J230">
        <v>43666</v>
      </c>
      <c r="K230">
        <v>49</v>
      </c>
      <c r="L230" t="s">
        <v>38</v>
      </c>
      <c r="M230">
        <v>8.2753164556962022E-2</v>
      </c>
      <c r="N230" t="s">
        <v>613</v>
      </c>
      <c r="O230" t="s">
        <v>615</v>
      </c>
    </row>
    <row r="231" spans="1:15" x14ac:dyDescent="0.3">
      <c r="A231" t="s">
        <v>428</v>
      </c>
      <c r="B231" t="s">
        <v>27</v>
      </c>
      <c r="C231" s="6">
        <v>45707</v>
      </c>
      <c r="D231" t="s">
        <v>52</v>
      </c>
      <c r="E231" t="s">
        <v>53</v>
      </c>
      <c r="F231">
        <v>257</v>
      </c>
      <c r="G231">
        <v>966</v>
      </c>
      <c r="H231">
        <v>398</v>
      </c>
      <c r="I231">
        <v>3341</v>
      </c>
      <c r="J231">
        <v>2753</v>
      </c>
      <c r="K231">
        <v>287</v>
      </c>
      <c r="L231" t="s">
        <v>19</v>
      </c>
      <c r="M231">
        <v>0.48518407662376534</v>
      </c>
      <c r="N231" t="s">
        <v>612</v>
      </c>
      <c r="O231" t="s">
        <v>62</v>
      </c>
    </row>
    <row r="232" spans="1:15" x14ac:dyDescent="0.3">
      <c r="A232" t="s">
        <v>429</v>
      </c>
      <c r="B232" t="s">
        <v>14</v>
      </c>
      <c r="C232" s="6">
        <v>45491</v>
      </c>
      <c r="D232" t="s">
        <v>45</v>
      </c>
      <c r="E232" t="s">
        <v>49</v>
      </c>
      <c r="F232">
        <v>2120</v>
      </c>
      <c r="G232">
        <v>38</v>
      </c>
      <c r="H232">
        <v>212</v>
      </c>
      <c r="I232">
        <v>12720</v>
      </c>
      <c r="J232">
        <v>12564</v>
      </c>
      <c r="K232">
        <v>21</v>
      </c>
      <c r="L232" t="s">
        <v>38</v>
      </c>
      <c r="M232">
        <v>0.18632075471698112</v>
      </c>
      <c r="N232" t="s">
        <v>612</v>
      </c>
      <c r="O232" t="s">
        <v>62</v>
      </c>
    </row>
    <row r="233" spans="1:15" x14ac:dyDescent="0.3">
      <c r="A233" t="s">
        <v>431</v>
      </c>
      <c r="B233" t="s">
        <v>27</v>
      </c>
      <c r="C233" s="6">
        <v>45719</v>
      </c>
      <c r="D233" t="s">
        <v>74</v>
      </c>
      <c r="E233" t="s">
        <v>219</v>
      </c>
      <c r="F233">
        <v>3874</v>
      </c>
      <c r="G233">
        <v>884</v>
      </c>
      <c r="H233">
        <v>19</v>
      </c>
      <c r="I233">
        <v>38740</v>
      </c>
      <c r="J233">
        <v>38552</v>
      </c>
      <c r="K233">
        <v>219</v>
      </c>
      <c r="L233" t="s">
        <v>25</v>
      </c>
      <c r="M233">
        <v>0.123309241094476</v>
      </c>
      <c r="N233" t="s">
        <v>612</v>
      </c>
      <c r="O233" t="s">
        <v>30</v>
      </c>
    </row>
    <row r="234" spans="1:15" x14ac:dyDescent="0.3">
      <c r="A234" t="s">
        <v>432</v>
      </c>
      <c r="B234" t="s">
        <v>43</v>
      </c>
      <c r="C234" s="6">
        <v>45778</v>
      </c>
      <c r="D234" t="s">
        <v>45</v>
      </c>
      <c r="E234" t="s">
        <v>46</v>
      </c>
      <c r="F234">
        <v>2696</v>
      </c>
      <c r="G234">
        <v>628</v>
      </c>
      <c r="H234">
        <v>443</v>
      </c>
      <c r="I234">
        <v>45832</v>
      </c>
      <c r="J234">
        <v>45632</v>
      </c>
      <c r="K234">
        <v>248</v>
      </c>
      <c r="L234" t="s">
        <v>38</v>
      </c>
      <c r="M234">
        <v>8.21914819340199E-2</v>
      </c>
      <c r="N234" t="s">
        <v>612</v>
      </c>
      <c r="O234" t="s">
        <v>37</v>
      </c>
    </row>
    <row r="235" spans="1:15" x14ac:dyDescent="0.3">
      <c r="A235" t="s">
        <v>434</v>
      </c>
      <c r="B235" t="s">
        <v>33</v>
      </c>
      <c r="C235" s="6">
        <v>45649</v>
      </c>
      <c r="D235" t="s">
        <v>52</v>
      </c>
      <c r="E235" t="s">
        <v>215</v>
      </c>
      <c r="F235">
        <v>521</v>
      </c>
      <c r="G235">
        <v>746</v>
      </c>
      <c r="H235">
        <v>315</v>
      </c>
      <c r="I235">
        <v>4168</v>
      </c>
      <c r="J235">
        <v>3399</v>
      </c>
      <c r="K235">
        <v>282</v>
      </c>
      <c r="L235" t="s">
        <v>25</v>
      </c>
      <c r="M235">
        <v>0.37955854126679461</v>
      </c>
      <c r="N235" t="s">
        <v>612</v>
      </c>
      <c r="O235" t="s">
        <v>62</v>
      </c>
    </row>
    <row r="236" spans="1:15" x14ac:dyDescent="0.3">
      <c r="A236" t="s">
        <v>435</v>
      </c>
      <c r="B236" t="s">
        <v>43</v>
      </c>
      <c r="C236" s="6">
        <v>45783</v>
      </c>
      <c r="D236" t="s">
        <v>52</v>
      </c>
      <c r="E236" t="s">
        <v>59</v>
      </c>
      <c r="F236">
        <v>4872</v>
      </c>
      <c r="G236">
        <v>925</v>
      </c>
      <c r="H236">
        <v>176</v>
      </c>
      <c r="I236">
        <v>82824</v>
      </c>
      <c r="J236">
        <v>82543</v>
      </c>
      <c r="K236">
        <v>89</v>
      </c>
      <c r="L236" t="s">
        <v>25</v>
      </c>
      <c r="M236">
        <v>7.2116777745580993E-2</v>
      </c>
      <c r="N236" t="s">
        <v>612</v>
      </c>
      <c r="O236" t="s">
        <v>37</v>
      </c>
    </row>
    <row r="237" spans="1:15" x14ac:dyDescent="0.3">
      <c r="A237" t="s">
        <v>437</v>
      </c>
      <c r="B237" t="s">
        <v>27</v>
      </c>
      <c r="C237" s="6">
        <v>45502</v>
      </c>
      <c r="D237" t="s">
        <v>35</v>
      </c>
      <c r="E237" t="s">
        <v>154</v>
      </c>
      <c r="F237">
        <v>1509</v>
      </c>
      <c r="G237">
        <v>88</v>
      </c>
      <c r="H237">
        <v>163</v>
      </c>
      <c r="I237">
        <v>30180</v>
      </c>
      <c r="J237">
        <v>29689</v>
      </c>
      <c r="K237">
        <v>119</v>
      </c>
      <c r="L237" t="s">
        <v>25</v>
      </c>
      <c r="M237">
        <v>5.8316766070245198E-2</v>
      </c>
      <c r="N237" t="s">
        <v>612</v>
      </c>
      <c r="O237" t="s">
        <v>37</v>
      </c>
    </row>
    <row r="238" spans="1:15" x14ac:dyDescent="0.3">
      <c r="A238" t="s">
        <v>438</v>
      </c>
      <c r="B238" t="s">
        <v>43</v>
      </c>
      <c r="C238" s="6">
        <v>45629</v>
      </c>
      <c r="D238" t="s">
        <v>52</v>
      </c>
      <c r="E238" t="s">
        <v>59</v>
      </c>
      <c r="F238">
        <v>4606</v>
      </c>
      <c r="G238">
        <v>931</v>
      </c>
      <c r="H238">
        <v>230</v>
      </c>
      <c r="I238">
        <v>92120</v>
      </c>
      <c r="J238">
        <v>91440</v>
      </c>
      <c r="K238">
        <v>56</v>
      </c>
      <c r="L238" t="s">
        <v>25</v>
      </c>
      <c r="M238">
        <v>6.2603126356925748E-2</v>
      </c>
      <c r="N238" t="s">
        <v>612</v>
      </c>
      <c r="O238" t="s">
        <v>30</v>
      </c>
    </row>
    <row r="239" spans="1:15" x14ac:dyDescent="0.3">
      <c r="A239" t="s">
        <v>439</v>
      </c>
      <c r="B239" t="s">
        <v>43</v>
      </c>
      <c r="C239" s="6">
        <v>45454</v>
      </c>
      <c r="D239" t="s">
        <v>45</v>
      </c>
      <c r="E239" t="s">
        <v>46</v>
      </c>
      <c r="F239">
        <v>1869</v>
      </c>
      <c r="G239">
        <v>453</v>
      </c>
      <c r="H239">
        <v>490</v>
      </c>
      <c r="I239">
        <v>14952</v>
      </c>
      <c r="J239">
        <v>14309</v>
      </c>
      <c r="K239">
        <v>275</v>
      </c>
      <c r="L239" t="s">
        <v>38</v>
      </c>
      <c r="M239">
        <v>0.18806848582129482</v>
      </c>
      <c r="N239" t="s">
        <v>612</v>
      </c>
      <c r="O239" t="s">
        <v>30</v>
      </c>
    </row>
    <row r="240" spans="1:15" x14ac:dyDescent="0.3">
      <c r="A240" t="s">
        <v>440</v>
      </c>
      <c r="B240" t="s">
        <v>14</v>
      </c>
      <c r="C240" s="6">
        <v>45685</v>
      </c>
      <c r="D240" t="s">
        <v>16</v>
      </c>
      <c r="E240" t="s">
        <v>17</v>
      </c>
      <c r="F240">
        <v>1188</v>
      </c>
      <c r="G240">
        <v>470</v>
      </c>
      <c r="H240">
        <v>174</v>
      </c>
      <c r="I240">
        <v>7128</v>
      </c>
      <c r="J240">
        <v>6145</v>
      </c>
      <c r="K240">
        <v>270</v>
      </c>
      <c r="L240" t="s">
        <v>38</v>
      </c>
      <c r="M240">
        <v>0.25701459034792368</v>
      </c>
      <c r="N240" t="s">
        <v>612</v>
      </c>
      <c r="O240" t="s">
        <v>30</v>
      </c>
    </row>
    <row r="241" spans="1:15" x14ac:dyDescent="0.3">
      <c r="A241" t="s">
        <v>441</v>
      </c>
      <c r="B241" t="s">
        <v>33</v>
      </c>
      <c r="C241" s="6">
        <v>45445</v>
      </c>
      <c r="D241" t="s">
        <v>35</v>
      </c>
      <c r="E241" t="s">
        <v>36</v>
      </c>
      <c r="F241">
        <v>84</v>
      </c>
      <c r="G241">
        <v>897</v>
      </c>
      <c r="H241">
        <v>85</v>
      </c>
      <c r="I241">
        <v>588</v>
      </c>
      <c r="J241">
        <v>8</v>
      </c>
      <c r="K241">
        <v>12</v>
      </c>
      <c r="L241" t="s">
        <v>19</v>
      </c>
      <c r="M241">
        <v>1.8129251700680271</v>
      </c>
      <c r="N241" t="s">
        <v>612</v>
      </c>
      <c r="O241" t="s">
        <v>37</v>
      </c>
    </row>
    <row r="242" spans="1:15" x14ac:dyDescent="0.3">
      <c r="A242" t="s">
        <v>442</v>
      </c>
      <c r="B242" t="s">
        <v>43</v>
      </c>
      <c r="C242" s="6">
        <v>45739</v>
      </c>
      <c r="D242" t="s">
        <v>74</v>
      </c>
      <c r="E242" t="s">
        <v>75</v>
      </c>
      <c r="F242">
        <v>4453</v>
      </c>
      <c r="G242">
        <v>111</v>
      </c>
      <c r="H242">
        <v>420</v>
      </c>
      <c r="I242">
        <v>31171</v>
      </c>
      <c r="J242">
        <v>30565</v>
      </c>
      <c r="K242">
        <v>23</v>
      </c>
      <c r="L242" t="s">
        <v>25</v>
      </c>
      <c r="M242">
        <v>0.15989220750056141</v>
      </c>
      <c r="N242" t="s">
        <v>612</v>
      </c>
      <c r="O242" t="s">
        <v>30</v>
      </c>
    </row>
    <row r="243" spans="1:15" x14ac:dyDescent="0.3">
      <c r="A243" t="s">
        <v>443</v>
      </c>
      <c r="B243" t="s">
        <v>43</v>
      </c>
      <c r="C243" s="6">
        <v>45573</v>
      </c>
      <c r="D243" t="s">
        <v>16</v>
      </c>
      <c r="E243" t="s">
        <v>65</v>
      </c>
      <c r="F243">
        <v>1814</v>
      </c>
      <c r="G243">
        <v>653</v>
      </c>
      <c r="H243">
        <v>363</v>
      </c>
      <c r="I243">
        <v>25396</v>
      </c>
      <c r="J243">
        <v>25286</v>
      </c>
      <c r="K243">
        <v>39</v>
      </c>
      <c r="L243" t="s">
        <v>19</v>
      </c>
      <c r="M243">
        <v>0.11143487163332809</v>
      </c>
      <c r="N243" t="s">
        <v>612</v>
      </c>
      <c r="O243" t="s">
        <v>62</v>
      </c>
    </row>
    <row r="244" spans="1:15" x14ac:dyDescent="0.3">
      <c r="A244" t="s">
        <v>443</v>
      </c>
      <c r="B244" t="s">
        <v>43</v>
      </c>
      <c r="C244" s="6">
        <v>45573</v>
      </c>
      <c r="D244" t="s">
        <v>16</v>
      </c>
      <c r="E244" t="s">
        <v>65</v>
      </c>
      <c r="F244">
        <v>1814</v>
      </c>
      <c r="G244">
        <v>653</v>
      </c>
      <c r="H244">
        <v>363</v>
      </c>
      <c r="I244">
        <v>25396</v>
      </c>
      <c r="J244">
        <v>25286</v>
      </c>
      <c r="K244">
        <v>39</v>
      </c>
      <c r="L244" t="s">
        <v>19</v>
      </c>
      <c r="M244">
        <v>0.11143487163332809</v>
      </c>
      <c r="N244" t="s">
        <v>613</v>
      </c>
      <c r="O244" t="s">
        <v>607</v>
      </c>
    </row>
    <row r="245" spans="1:15" x14ac:dyDescent="0.3">
      <c r="A245" t="s">
        <v>446</v>
      </c>
      <c r="B245" t="s">
        <v>14</v>
      </c>
      <c r="C245" s="6">
        <v>45608</v>
      </c>
      <c r="D245" t="s">
        <v>52</v>
      </c>
      <c r="E245" t="s">
        <v>132</v>
      </c>
      <c r="F245">
        <v>3338</v>
      </c>
      <c r="G245">
        <v>277</v>
      </c>
      <c r="H245">
        <v>118</v>
      </c>
      <c r="I245">
        <v>60084</v>
      </c>
      <c r="J245">
        <v>59842</v>
      </c>
      <c r="K245">
        <v>252</v>
      </c>
      <c r="L245" t="s">
        <v>25</v>
      </c>
      <c r="M245">
        <v>6.2129685107516146E-2</v>
      </c>
      <c r="N245" t="s">
        <v>612</v>
      </c>
      <c r="O245" t="s">
        <v>30</v>
      </c>
    </row>
    <row r="246" spans="1:15" x14ac:dyDescent="0.3">
      <c r="A246" t="s">
        <v>447</v>
      </c>
      <c r="B246" t="s">
        <v>43</v>
      </c>
      <c r="C246" s="6">
        <v>45790</v>
      </c>
      <c r="D246" t="s">
        <v>52</v>
      </c>
      <c r="E246" t="s">
        <v>59</v>
      </c>
      <c r="F246">
        <v>602</v>
      </c>
      <c r="G246">
        <v>594</v>
      </c>
      <c r="H246">
        <v>156</v>
      </c>
      <c r="I246">
        <v>4214</v>
      </c>
      <c r="J246">
        <v>3363</v>
      </c>
      <c r="K246">
        <v>164</v>
      </c>
      <c r="L246" t="s">
        <v>31</v>
      </c>
      <c r="M246">
        <v>0.32083531086853345</v>
      </c>
      <c r="N246" t="s">
        <v>612</v>
      </c>
      <c r="O246" t="s">
        <v>30</v>
      </c>
    </row>
    <row r="247" spans="1:15" x14ac:dyDescent="0.3">
      <c r="A247" t="s">
        <v>449</v>
      </c>
      <c r="B247" t="s">
        <v>14</v>
      </c>
      <c r="C247" s="6">
        <v>45463</v>
      </c>
      <c r="D247" t="s">
        <v>45</v>
      </c>
      <c r="E247" t="s">
        <v>49</v>
      </c>
      <c r="F247">
        <v>4672</v>
      </c>
      <c r="G247">
        <v>325</v>
      </c>
      <c r="H247">
        <v>32</v>
      </c>
      <c r="I247">
        <v>88768</v>
      </c>
      <c r="J247">
        <v>87833</v>
      </c>
      <c r="K247">
        <v>118</v>
      </c>
      <c r="L247" t="s">
        <v>19</v>
      </c>
      <c r="M247">
        <v>5.6653298485940883E-2</v>
      </c>
      <c r="N247" t="s">
        <v>612</v>
      </c>
      <c r="O247" t="s">
        <v>37</v>
      </c>
    </row>
    <row r="248" spans="1:15" x14ac:dyDescent="0.3">
      <c r="A248" t="s">
        <v>450</v>
      </c>
      <c r="B248" t="s">
        <v>33</v>
      </c>
      <c r="C248" s="6">
        <v>45511</v>
      </c>
      <c r="D248" t="s">
        <v>45</v>
      </c>
      <c r="E248" t="s">
        <v>88</v>
      </c>
      <c r="F248">
        <v>1741</v>
      </c>
      <c r="G248">
        <v>164</v>
      </c>
      <c r="H248">
        <v>318</v>
      </c>
      <c r="I248">
        <v>8705</v>
      </c>
      <c r="J248">
        <v>8272</v>
      </c>
      <c r="K248">
        <v>121</v>
      </c>
      <c r="L248" t="s">
        <v>25</v>
      </c>
      <c r="M248">
        <v>0.25537047673750718</v>
      </c>
      <c r="N248" t="s">
        <v>612</v>
      </c>
      <c r="O248" t="s">
        <v>30</v>
      </c>
    </row>
    <row r="249" spans="1:15" x14ac:dyDescent="0.3">
      <c r="A249" t="s">
        <v>452</v>
      </c>
      <c r="B249" t="s">
        <v>33</v>
      </c>
      <c r="C249" s="6">
        <v>45455</v>
      </c>
      <c r="D249" t="s">
        <v>22</v>
      </c>
      <c r="E249" t="s">
        <v>113</v>
      </c>
      <c r="F249">
        <v>246</v>
      </c>
      <c r="G249">
        <v>149</v>
      </c>
      <c r="H249">
        <v>130</v>
      </c>
      <c r="I249">
        <v>4674</v>
      </c>
      <c r="J249">
        <v>4390</v>
      </c>
      <c r="K249">
        <v>217</v>
      </c>
      <c r="L249" t="s">
        <v>31</v>
      </c>
      <c r="M249">
        <v>0.11232349165596919</v>
      </c>
      <c r="N249" t="s">
        <v>612</v>
      </c>
      <c r="O249" t="s">
        <v>62</v>
      </c>
    </row>
    <row r="250" spans="1:15" x14ac:dyDescent="0.3">
      <c r="A250" t="s">
        <v>454</v>
      </c>
      <c r="B250" t="s">
        <v>33</v>
      </c>
      <c r="C250" s="6">
        <v>45474</v>
      </c>
      <c r="D250" t="s">
        <v>35</v>
      </c>
      <c r="E250" t="s">
        <v>36</v>
      </c>
      <c r="F250">
        <v>4808</v>
      </c>
      <c r="G250">
        <v>772</v>
      </c>
      <c r="H250">
        <v>320</v>
      </c>
      <c r="I250">
        <v>72120</v>
      </c>
      <c r="J250">
        <v>71696</v>
      </c>
      <c r="K250">
        <v>195</v>
      </c>
      <c r="L250" t="s">
        <v>19</v>
      </c>
      <c r="M250">
        <v>8.1808097615085965E-2</v>
      </c>
      <c r="N250" t="s">
        <v>612</v>
      </c>
      <c r="O250" t="s">
        <v>37</v>
      </c>
    </row>
    <row r="251" spans="1:15" x14ac:dyDescent="0.3">
      <c r="A251" t="s">
        <v>456</v>
      </c>
      <c r="B251" t="s">
        <v>33</v>
      </c>
      <c r="C251" s="6">
        <v>45476</v>
      </c>
      <c r="D251" t="s">
        <v>45</v>
      </c>
      <c r="E251" t="s">
        <v>88</v>
      </c>
      <c r="F251">
        <v>4799</v>
      </c>
      <c r="G251">
        <v>694</v>
      </c>
      <c r="H251">
        <v>289</v>
      </c>
      <c r="I251">
        <v>43191</v>
      </c>
      <c r="J251">
        <v>42228</v>
      </c>
      <c r="K251">
        <v>118</v>
      </c>
      <c r="L251" t="s">
        <v>25</v>
      </c>
      <c r="M251">
        <v>0.13387048227640017</v>
      </c>
      <c r="N251" t="s">
        <v>612</v>
      </c>
      <c r="O251" t="s">
        <v>30</v>
      </c>
    </row>
    <row r="252" spans="1:15" x14ac:dyDescent="0.3">
      <c r="A252" t="s">
        <v>457</v>
      </c>
      <c r="B252" t="s">
        <v>43</v>
      </c>
      <c r="C252" s="6">
        <v>45488</v>
      </c>
      <c r="D252" t="s">
        <v>16</v>
      </c>
      <c r="E252" t="s">
        <v>65</v>
      </c>
      <c r="F252">
        <v>3663</v>
      </c>
      <c r="G252">
        <v>17</v>
      </c>
      <c r="H252">
        <v>295</v>
      </c>
      <c r="I252">
        <v>51282</v>
      </c>
      <c r="J252">
        <v>50567</v>
      </c>
      <c r="K252">
        <v>84</v>
      </c>
      <c r="L252" t="s">
        <v>31</v>
      </c>
      <c r="M252">
        <v>7.7512577512577507E-2</v>
      </c>
      <c r="N252" t="s">
        <v>612</v>
      </c>
      <c r="O252" t="s">
        <v>37</v>
      </c>
    </row>
    <row r="253" spans="1:15" x14ac:dyDescent="0.3">
      <c r="A253" t="s">
        <v>458</v>
      </c>
      <c r="B253" t="s">
        <v>33</v>
      </c>
      <c r="C253" s="6">
        <v>45778</v>
      </c>
      <c r="D253" t="s">
        <v>22</v>
      </c>
      <c r="E253" t="s">
        <v>113</v>
      </c>
      <c r="F253">
        <v>1430</v>
      </c>
      <c r="G253">
        <v>376</v>
      </c>
      <c r="H253">
        <v>33</v>
      </c>
      <c r="I253">
        <v>21450</v>
      </c>
      <c r="J253">
        <v>20509</v>
      </c>
      <c r="K253">
        <v>251</v>
      </c>
      <c r="L253" t="s">
        <v>19</v>
      </c>
      <c r="M253">
        <v>8.5734265734265735E-2</v>
      </c>
      <c r="N253" t="s">
        <v>612</v>
      </c>
      <c r="O253" t="s">
        <v>62</v>
      </c>
    </row>
    <row r="254" spans="1:15" x14ac:dyDescent="0.3">
      <c r="A254" t="s">
        <v>459</v>
      </c>
      <c r="B254" t="s">
        <v>14</v>
      </c>
      <c r="C254" s="6">
        <v>45776</v>
      </c>
      <c r="D254" t="s">
        <v>35</v>
      </c>
      <c r="E254" t="s">
        <v>149</v>
      </c>
      <c r="F254">
        <v>249</v>
      </c>
      <c r="G254">
        <v>592</v>
      </c>
      <c r="H254">
        <v>230</v>
      </c>
      <c r="I254">
        <v>1494</v>
      </c>
      <c r="J254">
        <v>1044</v>
      </c>
      <c r="K254">
        <v>201</v>
      </c>
      <c r="L254" t="s">
        <v>38</v>
      </c>
      <c r="M254">
        <v>0.7168674698795181</v>
      </c>
      <c r="N254" t="s">
        <v>612</v>
      </c>
      <c r="O254" t="s">
        <v>37</v>
      </c>
    </row>
    <row r="255" spans="1:15" x14ac:dyDescent="0.3">
      <c r="A255" t="s">
        <v>461</v>
      </c>
      <c r="B255" t="s">
        <v>43</v>
      </c>
      <c r="C255" s="6">
        <v>45724</v>
      </c>
      <c r="D255" t="s">
        <v>52</v>
      </c>
      <c r="E255" t="s">
        <v>59</v>
      </c>
      <c r="F255">
        <v>2382</v>
      </c>
      <c r="G255">
        <v>265</v>
      </c>
      <c r="H255">
        <v>134</v>
      </c>
      <c r="I255">
        <v>38112</v>
      </c>
      <c r="J255">
        <v>37437</v>
      </c>
      <c r="K255">
        <v>249</v>
      </c>
      <c r="L255" t="s">
        <v>38</v>
      </c>
      <c r="M255">
        <v>7.2969143576826198E-2</v>
      </c>
      <c r="N255" t="s">
        <v>612</v>
      </c>
      <c r="O255" t="s">
        <v>62</v>
      </c>
    </row>
    <row r="256" spans="1:15" x14ac:dyDescent="0.3">
      <c r="A256" t="s">
        <v>462</v>
      </c>
      <c r="B256" t="s">
        <v>43</v>
      </c>
      <c r="C256" s="6">
        <v>45444</v>
      </c>
      <c r="D256" t="s">
        <v>22</v>
      </c>
      <c r="E256" t="s">
        <v>56</v>
      </c>
      <c r="F256">
        <v>1272</v>
      </c>
      <c r="G256">
        <v>465</v>
      </c>
      <c r="H256">
        <v>99</v>
      </c>
      <c r="I256">
        <v>24168</v>
      </c>
      <c r="J256">
        <v>23719</v>
      </c>
      <c r="K256">
        <v>42</v>
      </c>
      <c r="L256" t="s">
        <v>25</v>
      </c>
      <c r="M256">
        <v>7.5968222442899705E-2</v>
      </c>
      <c r="N256" t="s">
        <v>612</v>
      </c>
      <c r="O256" t="s">
        <v>30</v>
      </c>
    </row>
    <row r="257" spans="1:15" x14ac:dyDescent="0.3">
      <c r="A257" t="s">
        <v>464</v>
      </c>
      <c r="B257" t="s">
        <v>43</v>
      </c>
      <c r="C257" s="6">
        <v>45648</v>
      </c>
      <c r="D257" t="s">
        <v>52</v>
      </c>
      <c r="E257" t="s">
        <v>59</v>
      </c>
      <c r="F257">
        <v>3196</v>
      </c>
      <c r="G257">
        <v>941</v>
      </c>
      <c r="H257">
        <v>376</v>
      </c>
      <c r="I257">
        <v>35156</v>
      </c>
      <c r="J257">
        <v>34444</v>
      </c>
      <c r="K257">
        <v>241</v>
      </c>
      <c r="L257" t="s">
        <v>31</v>
      </c>
      <c r="M257">
        <v>0.1283706906360223</v>
      </c>
      <c r="N257" t="s">
        <v>612</v>
      </c>
      <c r="O257" t="s">
        <v>30</v>
      </c>
    </row>
    <row r="258" spans="1:15" x14ac:dyDescent="0.3">
      <c r="A258" t="s">
        <v>465</v>
      </c>
      <c r="B258" t="s">
        <v>43</v>
      </c>
      <c r="C258" s="6">
        <v>45523</v>
      </c>
      <c r="D258" t="s">
        <v>22</v>
      </c>
      <c r="E258" t="s">
        <v>56</v>
      </c>
      <c r="F258">
        <v>1257</v>
      </c>
      <c r="G258">
        <v>19</v>
      </c>
      <c r="H258">
        <v>351</v>
      </c>
      <c r="I258">
        <v>12570</v>
      </c>
      <c r="J258">
        <v>11660</v>
      </c>
      <c r="K258">
        <v>194</v>
      </c>
      <c r="L258" t="s">
        <v>25</v>
      </c>
      <c r="M258">
        <v>0.12943516308671441</v>
      </c>
      <c r="N258" t="s">
        <v>612</v>
      </c>
      <c r="O258" t="s">
        <v>62</v>
      </c>
    </row>
    <row r="259" spans="1:15" x14ac:dyDescent="0.3">
      <c r="A259" t="s">
        <v>465</v>
      </c>
      <c r="B259" t="s">
        <v>43</v>
      </c>
      <c r="C259" s="6">
        <v>45523</v>
      </c>
      <c r="D259" t="s">
        <v>22</v>
      </c>
      <c r="E259" t="s">
        <v>56</v>
      </c>
      <c r="F259">
        <v>1257</v>
      </c>
      <c r="G259">
        <v>19</v>
      </c>
      <c r="H259">
        <v>351</v>
      </c>
      <c r="I259">
        <v>12570</v>
      </c>
      <c r="J259">
        <v>11660</v>
      </c>
      <c r="K259">
        <v>194</v>
      </c>
      <c r="L259" t="s">
        <v>25</v>
      </c>
      <c r="M259">
        <v>0.12943516308671441</v>
      </c>
      <c r="N259" t="s">
        <v>613</v>
      </c>
      <c r="O259" t="s">
        <v>615</v>
      </c>
    </row>
    <row r="260" spans="1:15" x14ac:dyDescent="0.3">
      <c r="A260" t="s">
        <v>465</v>
      </c>
      <c r="B260" t="s">
        <v>43</v>
      </c>
      <c r="C260" s="6">
        <v>45523</v>
      </c>
      <c r="D260" t="s">
        <v>22</v>
      </c>
      <c r="E260" t="s">
        <v>56</v>
      </c>
      <c r="F260">
        <v>1257</v>
      </c>
      <c r="G260">
        <v>19</v>
      </c>
      <c r="H260">
        <v>351</v>
      </c>
      <c r="I260">
        <v>12570</v>
      </c>
      <c r="J260">
        <v>11660</v>
      </c>
      <c r="K260">
        <v>194</v>
      </c>
      <c r="L260" t="s">
        <v>25</v>
      </c>
      <c r="M260">
        <v>0.12943516308671441</v>
      </c>
      <c r="N260" t="s">
        <v>614</v>
      </c>
      <c r="O260" t="s">
        <v>37</v>
      </c>
    </row>
    <row r="261" spans="1:15" x14ac:dyDescent="0.3">
      <c r="A261" t="s">
        <v>467</v>
      </c>
      <c r="B261" t="s">
        <v>33</v>
      </c>
      <c r="C261" s="6">
        <v>45587</v>
      </c>
      <c r="D261" t="s">
        <v>35</v>
      </c>
      <c r="E261" t="s">
        <v>36</v>
      </c>
      <c r="F261">
        <v>3770</v>
      </c>
      <c r="G261">
        <v>917</v>
      </c>
      <c r="H261">
        <v>129</v>
      </c>
      <c r="I261">
        <v>71630</v>
      </c>
      <c r="J261">
        <v>71322</v>
      </c>
      <c r="K261">
        <v>76</v>
      </c>
      <c r="L261" t="s">
        <v>19</v>
      </c>
      <c r="M261">
        <v>6.7234398994834563E-2</v>
      </c>
      <c r="N261" t="s">
        <v>612</v>
      </c>
      <c r="O261" t="s">
        <v>62</v>
      </c>
    </row>
    <row r="262" spans="1:15" x14ac:dyDescent="0.3">
      <c r="A262" t="s">
        <v>468</v>
      </c>
      <c r="B262" t="s">
        <v>14</v>
      </c>
      <c r="C262" s="6">
        <v>45489</v>
      </c>
      <c r="D262" t="s">
        <v>22</v>
      </c>
      <c r="E262" t="s">
        <v>23</v>
      </c>
      <c r="F262">
        <v>4725</v>
      </c>
      <c r="G262">
        <v>400</v>
      </c>
      <c r="H262">
        <v>362</v>
      </c>
      <c r="I262">
        <v>75600</v>
      </c>
      <c r="J262">
        <v>74927</v>
      </c>
      <c r="K262">
        <v>43</v>
      </c>
      <c r="L262" t="s">
        <v>38</v>
      </c>
      <c r="M262">
        <v>7.2579365079365077E-2</v>
      </c>
      <c r="N262" t="s">
        <v>612</v>
      </c>
      <c r="O262" t="s">
        <v>62</v>
      </c>
    </row>
    <row r="263" spans="1:15" x14ac:dyDescent="0.3">
      <c r="A263" t="s">
        <v>470</v>
      </c>
      <c r="B263" t="s">
        <v>27</v>
      </c>
      <c r="C263" s="6">
        <v>45712</v>
      </c>
      <c r="D263" t="s">
        <v>22</v>
      </c>
      <c r="E263" t="s">
        <v>104</v>
      </c>
      <c r="F263">
        <v>4188</v>
      </c>
      <c r="G263">
        <v>942</v>
      </c>
      <c r="H263">
        <v>118</v>
      </c>
      <c r="I263">
        <v>20940</v>
      </c>
      <c r="J263">
        <v>20471</v>
      </c>
      <c r="K263">
        <v>102</v>
      </c>
      <c r="L263" t="s">
        <v>38</v>
      </c>
      <c r="M263">
        <v>0.25062082139446035</v>
      </c>
      <c r="N263" t="s">
        <v>612</v>
      </c>
      <c r="O263" t="s">
        <v>62</v>
      </c>
    </row>
    <row r="264" spans="1:15" x14ac:dyDescent="0.3">
      <c r="A264" t="s">
        <v>471</v>
      </c>
      <c r="B264" t="s">
        <v>14</v>
      </c>
      <c r="C264" s="6">
        <v>45530</v>
      </c>
      <c r="D264" t="s">
        <v>45</v>
      </c>
      <c r="E264" t="s">
        <v>49</v>
      </c>
      <c r="F264">
        <v>929</v>
      </c>
      <c r="G264">
        <v>192</v>
      </c>
      <c r="H264">
        <v>322</v>
      </c>
      <c r="I264">
        <v>16722</v>
      </c>
      <c r="J264">
        <v>15996</v>
      </c>
      <c r="K264">
        <v>145</v>
      </c>
      <c r="L264" t="s">
        <v>31</v>
      </c>
      <c r="M264">
        <v>8.6293505561535699E-2</v>
      </c>
      <c r="N264" t="s">
        <v>612</v>
      </c>
      <c r="O264" t="s">
        <v>37</v>
      </c>
    </row>
    <row r="265" spans="1:15" x14ac:dyDescent="0.3">
      <c r="A265" t="s">
        <v>471</v>
      </c>
      <c r="B265" t="s">
        <v>14</v>
      </c>
      <c r="C265" s="6">
        <v>45530</v>
      </c>
      <c r="D265" t="s">
        <v>45</v>
      </c>
      <c r="E265" t="s">
        <v>49</v>
      </c>
      <c r="F265">
        <v>929</v>
      </c>
      <c r="G265">
        <v>192</v>
      </c>
      <c r="H265">
        <v>322</v>
      </c>
      <c r="I265">
        <v>16722</v>
      </c>
      <c r="J265">
        <v>15996</v>
      </c>
      <c r="K265">
        <v>145</v>
      </c>
      <c r="L265" t="s">
        <v>31</v>
      </c>
      <c r="M265">
        <v>8.6293505561535699E-2</v>
      </c>
      <c r="N265" t="s">
        <v>613</v>
      </c>
      <c r="O265" t="s">
        <v>30</v>
      </c>
    </row>
    <row r="266" spans="1:15" x14ac:dyDescent="0.3">
      <c r="A266" t="s">
        <v>471</v>
      </c>
      <c r="B266" t="s">
        <v>14</v>
      </c>
      <c r="C266" s="6">
        <v>45530</v>
      </c>
      <c r="D266" t="s">
        <v>45</v>
      </c>
      <c r="E266" t="s">
        <v>49</v>
      </c>
      <c r="F266">
        <v>929</v>
      </c>
      <c r="G266">
        <v>192</v>
      </c>
      <c r="H266">
        <v>322</v>
      </c>
      <c r="I266">
        <v>16722</v>
      </c>
      <c r="J266">
        <v>15996</v>
      </c>
      <c r="K266">
        <v>145</v>
      </c>
      <c r="L266" t="s">
        <v>31</v>
      </c>
      <c r="M266">
        <v>8.6293505561535699E-2</v>
      </c>
      <c r="N266" t="s">
        <v>614</v>
      </c>
      <c r="O266" t="s">
        <v>615</v>
      </c>
    </row>
    <row r="267" spans="1:15" x14ac:dyDescent="0.3">
      <c r="A267" t="s">
        <v>472</v>
      </c>
      <c r="B267" t="s">
        <v>43</v>
      </c>
      <c r="C267" s="6">
        <v>45675</v>
      </c>
      <c r="D267" t="s">
        <v>35</v>
      </c>
      <c r="E267" t="s">
        <v>71</v>
      </c>
      <c r="F267">
        <v>4321</v>
      </c>
      <c r="G267">
        <v>874</v>
      </c>
      <c r="H267">
        <v>172</v>
      </c>
      <c r="I267">
        <v>30247</v>
      </c>
      <c r="J267">
        <v>29254</v>
      </c>
      <c r="K267">
        <v>122</v>
      </c>
      <c r="L267" t="s">
        <v>38</v>
      </c>
      <c r="M267">
        <v>0.17743908486792079</v>
      </c>
      <c r="N267" t="s">
        <v>612</v>
      </c>
      <c r="O267" t="s">
        <v>30</v>
      </c>
    </row>
    <row r="268" spans="1:15" x14ac:dyDescent="0.3">
      <c r="A268" t="s">
        <v>474</v>
      </c>
      <c r="B268" t="s">
        <v>43</v>
      </c>
      <c r="C268" s="6">
        <v>45480</v>
      </c>
      <c r="D268" t="s">
        <v>16</v>
      </c>
      <c r="E268" t="s">
        <v>65</v>
      </c>
      <c r="F268">
        <v>4767</v>
      </c>
      <c r="G268">
        <v>190</v>
      </c>
      <c r="H268">
        <v>340</v>
      </c>
      <c r="I268">
        <v>28602</v>
      </c>
      <c r="J268">
        <v>28044</v>
      </c>
      <c r="K268">
        <v>210</v>
      </c>
      <c r="L268" t="s">
        <v>31</v>
      </c>
      <c r="M268">
        <v>0.18519683938186141</v>
      </c>
      <c r="N268" t="s">
        <v>612</v>
      </c>
      <c r="O268" t="s">
        <v>37</v>
      </c>
    </row>
    <row r="269" spans="1:15" x14ac:dyDescent="0.3">
      <c r="A269" t="s">
        <v>475</v>
      </c>
      <c r="B269" t="s">
        <v>14</v>
      </c>
      <c r="C269" s="6">
        <v>45722</v>
      </c>
      <c r="D269" t="s">
        <v>52</v>
      </c>
      <c r="E269" t="s">
        <v>132</v>
      </c>
      <c r="F269">
        <v>3592</v>
      </c>
      <c r="G269">
        <v>911</v>
      </c>
      <c r="H269">
        <v>375</v>
      </c>
      <c r="I269">
        <v>50288</v>
      </c>
      <c r="J269">
        <v>49490</v>
      </c>
      <c r="K269">
        <v>32</v>
      </c>
      <c r="L269" t="s">
        <v>38</v>
      </c>
      <c r="M269">
        <v>9.7001272669424113E-2</v>
      </c>
      <c r="N269" t="s">
        <v>612</v>
      </c>
      <c r="O269" t="s">
        <v>62</v>
      </c>
    </row>
    <row r="270" spans="1:15" x14ac:dyDescent="0.3">
      <c r="A270" t="s">
        <v>477</v>
      </c>
      <c r="B270" t="s">
        <v>27</v>
      </c>
      <c r="C270" s="6">
        <v>45590</v>
      </c>
      <c r="D270" t="s">
        <v>74</v>
      </c>
      <c r="E270" t="s">
        <v>219</v>
      </c>
      <c r="F270">
        <v>4661</v>
      </c>
      <c r="G270">
        <v>935</v>
      </c>
      <c r="H270">
        <v>433</v>
      </c>
      <c r="I270">
        <v>23305</v>
      </c>
      <c r="J270">
        <v>22583</v>
      </c>
      <c r="K270">
        <v>63</v>
      </c>
      <c r="L270" t="s">
        <v>31</v>
      </c>
      <c r="M270">
        <v>0.25869984981763572</v>
      </c>
      <c r="N270" t="s">
        <v>612</v>
      </c>
      <c r="O270" t="s">
        <v>62</v>
      </c>
    </row>
    <row r="271" spans="1:15" x14ac:dyDescent="0.3">
      <c r="A271" t="s">
        <v>479</v>
      </c>
      <c r="B271" t="s">
        <v>43</v>
      </c>
      <c r="C271" s="6">
        <v>45669</v>
      </c>
      <c r="D271" t="s">
        <v>16</v>
      </c>
      <c r="E271" t="s">
        <v>65</v>
      </c>
      <c r="F271">
        <v>4134</v>
      </c>
      <c r="G271">
        <v>824</v>
      </c>
      <c r="H271">
        <v>99</v>
      </c>
      <c r="I271">
        <v>41340</v>
      </c>
      <c r="J271">
        <v>41050</v>
      </c>
      <c r="K271">
        <v>177</v>
      </c>
      <c r="L271" t="s">
        <v>19</v>
      </c>
      <c r="M271">
        <v>0.12232704402515723</v>
      </c>
      <c r="N271" t="s">
        <v>612</v>
      </c>
      <c r="O271" t="s">
        <v>37</v>
      </c>
    </row>
    <row r="272" spans="1:15" x14ac:dyDescent="0.3">
      <c r="A272" t="s">
        <v>481</v>
      </c>
      <c r="B272" t="s">
        <v>43</v>
      </c>
      <c r="C272" s="6">
        <v>45576</v>
      </c>
      <c r="D272" t="s">
        <v>52</v>
      </c>
      <c r="E272" t="s">
        <v>59</v>
      </c>
      <c r="F272">
        <v>400</v>
      </c>
      <c r="G272">
        <v>680</v>
      </c>
      <c r="H272">
        <v>434</v>
      </c>
      <c r="I272">
        <v>6400</v>
      </c>
      <c r="J272">
        <v>5472</v>
      </c>
      <c r="K272">
        <v>160</v>
      </c>
      <c r="L272" t="s">
        <v>25</v>
      </c>
      <c r="M272">
        <v>0.23656250000000001</v>
      </c>
      <c r="N272" t="s">
        <v>612</v>
      </c>
      <c r="O272" t="s">
        <v>62</v>
      </c>
    </row>
    <row r="273" spans="1:15" x14ac:dyDescent="0.3">
      <c r="A273" t="s">
        <v>483</v>
      </c>
      <c r="B273" t="s">
        <v>43</v>
      </c>
      <c r="C273" s="6">
        <v>45531</v>
      </c>
      <c r="D273" t="s">
        <v>16</v>
      </c>
      <c r="E273" t="s">
        <v>65</v>
      </c>
      <c r="F273">
        <v>3960</v>
      </c>
      <c r="G273">
        <v>266</v>
      </c>
      <c r="H273">
        <v>8</v>
      </c>
      <c r="I273">
        <v>35640</v>
      </c>
      <c r="J273">
        <v>34850</v>
      </c>
      <c r="K273">
        <v>208</v>
      </c>
      <c r="L273" t="s">
        <v>19</v>
      </c>
      <c r="M273">
        <v>0.11879910213243547</v>
      </c>
      <c r="N273" t="s">
        <v>612</v>
      </c>
      <c r="O273" t="s">
        <v>62</v>
      </c>
    </row>
    <row r="274" spans="1:15" x14ac:dyDescent="0.3">
      <c r="A274" t="s">
        <v>483</v>
      </c>
      <c r="B274" t="s">
        <v>43</v>
      </c>
      <c r="C274" s="6">
        <v>45531</v>
      </c>
      <c r="D274" t="s">
        <v>16</v>
      </c>
      <c r="E274" t="s">
        <v>65</v>
      </c>
      <c r="F274">
        <v>3960</v>
      </c>
      <c r="G274">
        <v>266</v>
      </c>
      <c r="H274">
        <v>8</v>
      </c>
      <c r="I274">
        <v>35640</v>
      </c>
      <c r="J274">
        <v>34850</v>
      </c>
      <c r="K274">
        <v>208</v>
      </c>
      <c r="L274" t="s">
        <v>19</v>
      </c>
      <c r="M274">
        <v>0.11879910213243547</v>
      </c>
      <c r="N274" t="s">
        <v>613</v>
      </c>
      <c r="O274" t="s">
        <v>37</v>
      </c>
    </row>
    <row r="275" spans="1:15" x14ac:dyDescent="0.3">
      <c r="A275" t="s">
        <v>483</v>
      </c>
      <c r="B275" t="s">
        <v>43</v>
      </c>
      <c r="C275" s="6">
        <v>45531</v>
      </c>
      <c r="D275" t="s">
        <v>16</v>
      </c>
      <c r="E275" t="s">
        <v>65</v>
      </c>
      <c r="F275">
        <v>3960</v>
      </c>
      <c r="G275">
        <v>266</v>
      </c>
      <c r="H275">
        <v>8</v>
      </c>
      <c r="I275">
        <v>35640</v>
      </c>
      <c r="J275">
        <v>34850</v>
      </c>
      <c r="K275">
        <v>208</v>
      </c>
      <c r="L275" t="s">
        <v>19</v>
      </c>
      <c r="M275">
        <v>0.11879910213243547</v>
      </c>
      <c r="N275" t="s">
        <v>614</v>
      </c>
      <c r="O275" t="s">
        <v>616</v>
      </c>
    </row>
    <row r="276" spans="1:15" x14ac:dyDescent="0.3">
      <c r="A276" t="s">
        <v>486</v>
      </c>
      <c r="B276" t="s">
        <v>43</v>
      </c>
      <c r="C276" s="6">
        <v>45690</v>
      </c>
      <c r="D276" t="s">
        <v>35</v>
      </c>
      <c r="E276" t="s">
        <v>71</v>
      </c>
      <c r="F276">
        <v>886</v>
      </c>
      <c r="G276">
        <v>126</v>
      </c>
      <c r="H276">
        <v>153</v>
      </c>
      <c r="I276">
        <v>4430</v>
      </c>
      <c r="J276">
        <v>4037</v>
      </c>
      <c r="K276">
        <v>212</v>
      </c>
      <c r="L276" t="s">
        <v>19</v>
      </c>
      <c r="M276">
        <v>0.26297968397291194</v>
      </c>
      <c r="N276" t="s">
        <v>612</v>
      </c>
      <c r="O276" t="s">
        <v>37</v>
      </c>
    </row>
    <row r="277" spans="1:15" x14ac:dyDescent="0.3">
      <c r="A277" t="s">
        <v>487</v>
      </c>
      <c r="B277" t="s">
        <v>14</v>
      </c>
      <c r="C277" s="6">
        <v>45491</v>
      </c>
      <c r="D277" t="s">
        <v>52</v>
      </c>
      <c r="E277" t="s">
        <v>132</v>
      </c>
      <c r="F277">
        <v>827</v>
      </c>
      <c r="G277">
        <v>77</v>
      </c>
      <c r="H277">
        <v>402</v>
      </c>
      <c r="I277">
        <v>14886</v>
      </c>
      <c r="J277">
        <v>14129</v>
      </c>
      <c r="K277">
        <v>254</v>
      </c>
      <c r="L277" t="s">
        <v>25</v>
      </c>
      <c r="M277">
        <v>8.7733440816874911E-2</v>
      </c>
      <c r="N277" t="s">
        <v>612</v>
      </c>
      <c r="O277" t="s">
        <v>37</v>
      </c>
    </row>
    <row r="278" spans="1:15" x14ac:dyDescent="0.3">
      <c r="A278" t="s">
        <v>488</v>
      </c>
      <c r="B278" t="s">
        <v>43</v>
      </c>
      <c r="C278" s="6">
        <v>45465</v>
      </c>
      <c r="D278" t="s">
        <v>16</v>
      </c>
      <c r="E278" t="s">
        <v>65</v>
      </c>
      <c r="F278">
        <v>3813</v>
      </c>
      <c r="G278">
        <v>935</v>
      </c>
      <c r="H278">
        <v>274</v>
      </c>
      <c r="I278">
        <v>68634</v>
      </c>
      <c r="J278">
        <v>68488</v>
      </c>
      <c r="K278">
        <v>251</v>
      </c>
      <c r="L278" t="s">
        <v>38</v>
      </c>
      <c r="M278">
        <v>7.3170731707317069E-2</v>
      </c>
      <c r="N278" t="s">
        <v>612</v>
      </c>
      <c r="O278" t="s">
        <v>62</v>
      </c>
    </row>
    <row r="279" spans="1:15" x14ac:dyDescent="0.3">
      <c r="A279" t="s">
        <v>489</v>
      </c>
      <c r="B279" t="s">
        <v>33</v>
      </c>
      <c r="C279" s="6">
        <v>45743</v>
      </c>
      <c r="D279" t="s">
        <v>45</v>
      </c>
      <c r="E279" t="s">
        <v>88</v>
      </c>
      <c r="F279">
        <v>1377</v>
      </c>
      <c r="G279">
        <v>796</v>
      </c>
      <c r="H279">
        <v>387</v>
      </c>
      <c r="I279">
        <v>22032</v>
      </c>
      <c r="J279">
        <v>21869</v>
      </c>
      <c r="K279">
        <v>189</v>
      </c>
      <c r="L279" t="s">
        <v>38</v>
      </c>
      <c r="M279">
        <v>0.11619462599854757</v>
      </c>
      <c r="N279" t="s">
        <v>612</v>
      </c>
      <c r="O279" t="s">
        <v>62</v>
      </c>
    </row>
    <row r="280" spans="1:15" x14ac:dyDescent="0.3">
      <c r="A280" t="s">
        <v>491</v>
      </c>
      <c r="B280" t="s">
        <v>43</v>
      </c>
      <c r="C280" s="6">
        <v>45775</v>
      </c>
      <c r="D280" t="s">
        <v>45</v>
      </c>
      <c r="E280" t="s">
        <v>46</v>
      </c>
      <c r="F280">
        <v>2089</v>
      </c>
      <c r="G280">
        <v>476</v>
      </c>
      <c r="H280">
        <v>69</v>
      </c>
      <c r="I280">
        <v>16712</v>
      </c>
      <c r="J280">
        <v>16309</v>
      </c>
      <c r="K280">
        <v>64</v>
      </c>
      <c r="L280" t="s">
        <v>31</v>
      </c>
      <c r="M280">
        <v>0.15761129727142173</v>
      </c>
      <c r="N280" t="s">
        <v>612</v>
      </c>
      <c r="O280" t="s">
        <v>62</v>
      </c>
    </row>
    <row r="281" spans="1:15" x14ac:dyDescent="0.3">
      <c r="A281" t="s">
        <v>492</v>
      </c>
      <c r="B281" t="s">
        <v>14</v>
      </c>
      <c r="C281" s="6">
        <v>45507</v>
      </c>
      <c r="D281" t="s">
        <v>16</v>
      </c>
      <c r="E281" t="s">
        <v>17</v>
      </c>
      <c r="F281">
        <v>3791</v>
      </c>
      <c r="G281">
        <v>593</v>
      </c>
      <c r="H281">
        <v>228</v>
      </c>
      <c r="I281">
        <v>53074</v>
      </c>
      <c r="J281">
        <v>52613</v>
      </c>
      <c r="K281">
        <v>205</v>
      </c>
      <c r="L281" t="s">
        <v>19</v>
      </c>
      <c r="M281">
        <v>8.6897539284772202E-2</v>
      </c>
      <c r="N281" t="s">
        <v>612</v>
      </c>
      <c r="O281" t="s">
        <v>37</v>
      </c>
    </row>
    <row r="282" spans="1:15" x14ac:dyDescent="0.3">
      <c r="A282" t="s">
        <v>494</v>
      </c>
      <c r="B282" t="s">
        <v>14</v>
      </c>
      <c r="C282" s="6">
        <v>45671</v>
      </c>
      <c r="D282" t="s">
        <v>52</v>
      </c>
      <c r="E282" t="s">
        <v>132</v>
      </c>
      <c r="F282">
        <v>2692</v>
      </c>
      <c r="G282">
        <v>115</v>
      </c>
      <c r="H282">
        <v>64</v>
      </c>
      <c r="I282">
        <v>21536</v>
      </c>
      <c r="J282">
        <v>21120</v>
      </c>
      <c r="K282">
        <v>224</v>
      </c>
      <c r="L282" t="s">
        <v>25</v>
      </c>
      <c r="M282">
        <v>0.13331166419019316</v>
      </c>
      <c r="N282" t="s">
        <v>612</v>
      </c>
      <c r="O282" t="s">
        <v>62</v>
      </c>
    </row>
    <row r="283" spans="1:15" x14ac:dyDescent="0.3">
      <c r="A283" t="s">
        <v>496</v>
      </c>
      <c r="B283" t="s">
        <v>43</v>
      </c>
      <c r="C283" s="6">
        <v>45750</v>
      </c>
      <c r="D283" t="s">
        <v>35</v>
      </c>
      <c r="E283" t="s">
        <v>71</v>
      </c>
      <c r="F283">
        <v>3767</v>
      </c>
      <c r="G283">
        <v>514</v>
      </c>
      <c r="H283">
        <v>238</v>
      </c>
      <c r="I283">
        <v>37670</v>
      </c>
      <c r="J283">
        <v>36807</v>
      </c>
      <c r="K283">
        <v>226</v>
      </c>
      <c r="L283" t="s">
        <v>38</v>
      </c>
      <c r="M283">
        <v>0.11996283514733209</v>
      </c>
      <c r="N283" t="s">
        <v>612</v>
      </c>
      <c r="O283" t="s">
        <v>62</v>
      </c>
    </row>
    <row r="284" spans="1:15" x14ac:dyDescent="0.3">
      <c r="A284" t="s">
        <v>497</v>
      </c>
      <c r="B284" t="s">
        <v>27</v>
      </c>
      <c r="C284" s="6">
        <v>45553</v>
      </c>
      <c r="D284" t="s">
        <v>45</v>
      </c>
      <c r="E284" t="s">
        <v>68</v>
      </c>
      <c r="F284">
        <v>2143</v>
      </c>
      <c r="G284">
        <v>12</v>
      </c>
      <c r="H284">
        <v>204</v>
      </c>
      <c r="I284">
        <v>40717</v>
      </c>
      <c r="J284">
        <v>40125</v>
      </c>
      <c r="K284">
        <v>248</v>
      </c>
      <c r="L284" t="s">
        <v>25</v>
      </c>
      <c r="M284">
        <v>5.7936488444630008E-2</v>
      </c>
      <c r="N284" t="s">
        <v>612</v>
      </c>
      <c r="O284" t="s">
        <v>37</v>
      </c>
    </row>
    <row r="285" spans="1:15" x14ac:dyDescent="0.3">
      <c r="A285" t="s">
        <v>498</v>
      </c>
      <c r="B285" t="s">
        <v>43</v>
      </c>
      <c r="C285" s="6">
        <v>45753</v>
      </c>
      <c r="D285" t="s">
        <v>52</v>
      </c>
      <c r="E285" t="s">
        <v>59</v>
      </c>
      <c r="F285">
        <v>3090</v>
      </c>
      <c r="G285">
        <v>697</v>
      </c>
      <c r="H285">
        <v>164</v>
      </c>
      <c r="I285">
        <v>49440</v>
      </c>
      <c r="J285">
        <v>48524</v>
      </c>
      <c r="K285">
        <v>25</v>
      </c>
      <c r="L285" t="s">
        <v>25</v>
      </c>
      <c r="M285">
        <v>7.9915048543689318E-2</v>
      </c>
      <c r="N285" t="s">
        <v>612</v>
      </c>
      <c r="O285" t="s">
        <v>37</v>
      </c>
    </row>
    <row r="286" spans="1:15" x14ac:dyDescent="0.3">
      <c r="A286" t="s">
        <v>498</v>
      </c>
      <c r="B286" t="s">
        <v>43</v>
      </c>
      <c r="C286" s="6">
        <v>45753</v>
      </c>
      <c r="D286" t="s">
        <v>52</v>
      </c>
      <c r="E286" t="s">
        <v>59</v>
      </c>
      <c r="F286">
        <v>3090</v>
      </c>
      <c r="G286">
        <v>697</v>
      </c>
      <c r="H286">
        <v>164</v>
      </c>
      <c r="I286">
        <v>49440</v>
      </c>
      <c r="J286">
        <v>48524</v>
      </c>
      <c r="K286">
        <v>25</v>
      </c>
      <c r="L286" t="s">
        <v>25</v>
      </c>
      <c r="M286">
        <v>7.9915048543689318E-2</v>
      </c>
      <c r="N286" t="s">
        <v>613</v>
      </c>
      <c r="O286" t="s">
        <v>37</v>
      </c>
    </row>
    <row r="287" spans="1:15" x14ac:dyDescent="0.3">
      <c r="A287" t="s">
        <v>498</v>
      </c>
      <c r="B287" t="s">
        <v>43</v>
      </c>
      <c r="C287" s="6">
        <v>45753</v>
      </c>
      <c r="D287" t="s">
        <v>52</v>
      </c>
      <c r="E287" t="s">
        <v>59</v>
      </c>
      <c r="F287">
        <v>3090</v>
      </c>
      <c r="G287">
        <v>697</v>
      </c>
      <c r="H287">
        <v>164</v>
      </c>
      <c r="I287">
        <v>49440</v>
      </c>
      <c r="J287">
        <v>48524</v>
      </c>
      <c r="K287">
        <v>25</v>
      </c>
      <c r="L287" t="s">
        <v>25</v>
      </c>
      <c r="M287">
        <v>7.9915048543689318E-2</v>
      </c>
      <c r="N287" t="s">
        <v>614</v>
      </c>
      <c r="O287" t="s">
        <v>616</v>
      </c>
    </row>
    <row r="288" spans="1:15" x14ac:dyDescent="0.3">
      <c r="A288" t="s">
        <v>500</v>
      </c>
      <c r="B288" t="s">
        <v>33</v>
      </c>
      <c r="C288" s="6">
        <v>45509</v>
      </c>
      <c r="D288" t="s">
        <v>35</v>
      </c>
      <c r="E288" t="s">
        <v>36</v>
      </c>
      <c r="F288">
        <v>3601</v>
      </c>
      <c r="G288">
        <v>695</v>
      </c>
      <c r="H288">
        <v>75</v>
      </c>
      <c r="I288">
        <v>21606</v>
      </c>
      <c r="J288">
        <v>21454</v>
      </c>
      <c r="K288">
        <v>172</v>
      </c>
      <c r="L288" t="s">
        <v>25</v>
      </c>
      <c r="M288">
        <v>0.2023049153013052</v>
      </c>
      <c r="N288" t="s">
        <v>612</v>
      </c>
      <c r="O288" t="s">
        <v>37</v>
      </c>
    </row>
    <row r="289" spans="1:15" x14ac:dyDescent="0.3">
      <c r="A289" t="s">
        <v>502</v>
      </c>
      <c r="B289" t="s">
        <v>43</v>
      </c>
      <c r="C289" s="6">
        <v>45698</v>
      </c>
      <c r="D289" t="s">
        <v>22</v>
      </c>
      <c r="E289" t="s">
        <v>56</v>
      </c>
      <c r="F289">
        <v>562</v>
      </c>
      <c r="G289">
        <v>158</v>
      </c>
      <c r="H289">
        <v>149</v>
      </c>
      <c r="I289">
        <v>3372</v>
      </c>
      <c r="J289">
        <v>2940</v>
      </c>
      <c r="K289">
        <v>93</v>
      </c>
      <c r="L289" t="s">
        <v>19</v>
      </c>
      <c r="M289">
        <v>0.25771055753262156</v>
      </c>
      <c r="N289" t="s">
        <v>612</v>
      </c>
      <c r="O289" t="s">
        <v>30</v>
      </c>
    </row>
    <row r="290" spans="1:15" x14ac:dyDescent="0.3">
      <c r="A290" t="s">
        <v>503</v>
      </c>
      <c r="B290" t="s">
        <v>33</v>
      </c>
      <c r="C290" s="6">
        <v>45700</v>
      </c>
      <c r="D290" t="s">
        <v>35</v>
      </c>
      <c r="E290" t="s">
        <v>36</v>
      </c>
      <c r="F290">
        <v>4332</v>
      </c>
      <c r="G290">
        <v>771</v>
      </c>
      <c r="H290">
        <v>219</v>
      </c>
      <c r="I290">
        <v>60648</v>
      </c>
      <c r="J290">
        <v>60397</v>
      </c>
      <c r="K290">
        <v>10</v>
      </c>
      <c r="L290" t="s">
        <v>31</v>
      </c>
      <c r="M290">
        <v>8.7752275425405618E-2</v>
      </c>
      <c r="N290" t="s">
        <v>612</v>
      </c>
      <c r="O290" t="s">
        <v>30</v>
      </c>
    </row>
    <row r="291" spans="1:15" x14ac:dyDescent="0.3">
      <c r="A291" t="s">
        <v>503</v>
      </c>
      <c r="B291" t="s">
        <v>33</v>
      </c>
      <c r="C291" s="6">
        <v>45700</v>
      </c>
      <c r="D291" t="s">
        <v>35</v>
      </c>
      <c r="E291" t="s">
        <v>36</v>
      </c>
      <c r="F291">
        <v>4332</v>
      </c>
      <c r="G291">
        <v>771</v>
      </c>
      <c r="H291">
        <v>219</v>
      </c>
      <c r="I291">
        <v>60648</v>
      </c>
      <c r="J291">
        <v>60397</v>
      </c>
      <c r="K291">
        <v>10</v>
      </c>
      <c r="L291" t="s">
        <v>31</v>
      </c>
      <c r="M291">
        <v>8.7752275425405618E-2</v>
      </c>
      <c r="N291" t="s">
        <v>613</v>
      </c>
      <c r="O291" t="s">
        <v>37</v>
      </c>
    </row>
    <row r="292" spans="1:15" x14ac:dyDescent="0.3">
      <c r="A292" t="s">
        <v>503</v>
      </c>
      <c r="B292" t="s">
        <v>33</v>
      </c>
      <c r="C292" s="6">
        <v>45700</v>
      </c>
      <c r="D292" t="s">
        <v>35</v>
      </c>
      <c r="E292" t="s">
        <v>36</v>
      </c>
      <c r="F292">
        <v>4332</v>
      </c>
      <c r="G292">
        <v>771</v>
      </c>
      <c r="H292">
        <v>219</v>
      </c>
      <c r="I292">
        <v>60648</v>
      </c>
      <c r="J292">
        <v>60397</v>
      </c>
      <c r="K292">
        <v>10</v>
      </c>
      <c r="L292" t="s">
        <v>31</v>
      </c>
      <c r="M292">
        <v>8.7752275425405618E-2</v>
      </c>
      <c r="N292" t="s">
        <v>614</v>
      </c>
      <c r="O292" t="s">
        <v>616</v>
      </c>
    </row>
    <row r="293" spans="1:15" x14ac:dyDescent="0.3">
      <c r="A293" t="s">
        <v>506</v>
      </c>
      <c r="B293" t="s">
        <v>33</v>
      </c>
      <c r="C293" s="6">
        <v>45592</v>
      </c>
      <c r="D293" t="s">
        <v>52</v>
      </c>
      <c r="E293" t="s">
        <v>215</v>
      </c>
      <c r="F293">
        <v>4853</v>
      </c>
      <c r="G293">
        <v>837</v>
      </c>
      <c r="H293">
        <v>340</v>
      </c>
      <c r="I293">
        <v>72795</v>
      </c>
      <c r="J293">
        <v>72237</v>
      </c>
      <c r="K293">
        <v>170</v>
      </c>
      <c r="L293" t="s">
        <v>19</v>
      </c>
      <c r="M293">
        <v>8.2835359571399134E-2</v>
      </c>
      <c r="N293" t="s">
        <v>612</v>
      </c>
      <c r="O293" t="s">
        <v>37</v>
      </c>
    </row>
    <row r="294" spans="1:15" x14ac:dyDescent="0.3">
      <c r="A294" t="s">
        <v>508</v>
      </c>
      <c r="B294" t="s">
        <v>27</v>
      </c>
      <c r="C294" s="6">
        <v>45675</v>
      </c>
      <c r="D294" t="s">
        <v>52</v>
      </c>
      <c r="E294" t="s">
        <v>53</v>
      </c>
      <c r="F294">
        <v>1206</v>
      </c>
      <c r="G294">
        <v>238</v>
      </c>
      <c r="H294">
        <v>36</v>
      </c>
      <c r="I294">
        <v>9648</v>
      </c>
      <c r="J294">
        <v>9417</v>
      </c>
      <c r="K294">
        <v>237</v>
      </c>
      <c r="L294" t="s">
        <v>25</v>
      </c>
      <c r="M294">
        <v>0.15339966832504145</v>
      </c>
      <c r="N294" t="s">
        <v>612</v>
      </c>
      <c r="O294" t="s">
        <v>30</v>
      </c>
    </row>
    <row r="295" spans="1:15" x14ac:dyDescent="0.3">
      <c r="A295" t="s">
        <v>509</v>
      </c>
      <c r="B295" t="s">
        <v>33</v>
      </c>
      <c r="C295" s="6">
        <v>45524</v>
      </c>
      <c r="D295" t="s">
        <v>16</v>
      </c>
      <c r="E295" t="s">
        <v>82</v>
      </c>
      <c r="F295">
        <v>2603</v>
      </c>
      <c r="G295">
        <v>690</v>
      </c>
      <c r="H295">
        <v>205</v>
      </c>
      <c r="I295">
        <v>13015</v>
      </c>
      <c r="J295">
        <v>12130</v>
      </c>
      <c r="K295">
        <v>20</v>
      </c>
      <c r="L295" t="s">
        <v>25</v>
      </c>
      <c r="M295">
        <v>0.26876680752977333</v>
      </c>
      <c r="N295" t="s">
        <v>612</v>
      </c>
      <c r="O295" t="s">
        <v>62</v>
      </c>
    </row>
    <row r="296" spans="1:15" x14ac:dyDescent="0.3">
      <c r="A296" t="s">
        <v>511</v>
      </c>
      <c r="B296" t="s">
        <v>14</v>
      </c>
      <c r="C296" s="6">
        <v>45687</v>
      </c>
      <c r="D296" t="s">
        <v>52</v>
      </c>
      <c r="E296" t="s">
        <v>132</v>
      </c>
      <c r="F296">
        <v>59</v>
      </c>
      <c r="G296">
        <v>163</v>
      </c>
      <c r="H296">
        <v>93</v>
      </c>
      <c r="I296">
        <v>590</v>
      </c>
      <c r="J296">
        <v>475</v>
      </c>
      <c r="K296">
        <v>293</v>
      </c>
      <c r="L296" t="s">
        <v>25</v>
      </c>
      <c r="M296">
        <v>0.53389830508474578</v>
      </c>
      <c r="N296" t="s">
        <v>612</v>
      </c>
      <c r="O296" t="s">
        <v>30</v>
      </c>
    </row>
    <row r="297" spans="1:15" x14ac:dyDescent="0.3">
      <c r="A297" t="s">
        <v>513</v>
      </c>
      <c r="B297" t="s">
        <v>14</v>
      </c>
      <c r="C297" s="6">
        <v>45708</v>
      </c>
      <c r="D297" t="s">
        <v>45</v>
      </c>
      <c r="E297" t="s">
        <v>49</v>
      </c>
      <c r="F297">
        <v>1877</v>
      </c>
      <c r="G297">
        <v>745</v>
      </c>
      <c r="H297">
        <v>225</v>
      </c>
      <c r="I297">
        <v>11262</v>
      </c>
      <c r="J297">
        <v>10967</v>
      </c>
      <c r="K297">
        <v>41</v>
      </c>
      <c r="L297" t="s">
        <v>38</v>
      </c>
      <c r="M297">
        <v>0.25279701651571657</v>
      </c>
      <c r="N297" t="s">
        <v>612</v>
      </c>
      <c r="O297" t="s">
        <v>37</v>
      </c>
    </row>
    <row r="298" spans="1:15" x14ac:dyDescent="0.3">
      <c r="A298" t="s">
        <v>515</v>
      </c>
      <c r="B298" t="s">
        <v>43</v>
      </c>
      <c r="C298" s="6">
        <v>45621</v>
      </c>
      <c r="D298" t="s">
        <v>35</v>
      </c>
      <c r="E298" t="s">
        <v>71</v>
      </c>
      <c r="F298">
        <v>4182</v>
      </c>
      <c r="G298">
        <v>640</v>
      </c>
      <c r="H298">
        <v>240</v>
      </c>
      <c r="I298">
        <v>50184</v>
      </c>
      <c r="J298">
        <v>49351</v>
      </c>
      <c r="K298">
        <v>10</v>
      </c>
      <c r="L298" t="s">
        <v>31</v>
      </c>
      <c r="M298">
        <v>0.10086880280567512</v>
      </c>
      <c r="N298" t="s">
        <v>612</v>
      </c>
      <c r="O298" t="s">
        <v>30</v>
      </c>
    </row>
    <row r="299" spans="1:15" x14ac:dyDescent="0.3">
      <c r="A299" t="s">
        <v>516</v>
      </c>
      <c r="B299" t="s">
        <v>14</v>
      </c>
      <c r="C299" s="6">
        <v>45569</v>
      </c>
      <c r="D299" t="s">
        <v>16</v>
      </c>
      <c r="E299" t="s">
        <v>17</v>
      </c>
      <c r="F299">
        <v>4187</v>
      </c>
      <c r="G299">
        <v>66</v>
      </c>
      <c r="H299">
        <v>31</v>
      </c>
      <c r="I299">
        <v>66992</v>
      </c>
      <c r="J299">
        <v>66614</v>
      </c>
      <c r="K299">
        <v>62</v>
      </c>
      <c r="L299" t="s">
        <v>38</v>
      </c>
      <c r="M299">
        <v>6.3947934081681396E-2</v>
      </c>
      <c r="N299" t="s">
        <v>612</v>
      </c>
      <c r="O299" t="s">
        <v>62</v>
      </c>
    </row>
    <row r="300" spans="1:15" x14ac:dyDescent="0.3">
      <c r="A300" t="s">
        <v>517</v>
      </c>
      <c r="B300" t="s">
        <v>33</v>
      </c>
      <c r="C300" s="6">
        <v>45760</v>
      </c>
      <c r="D300" t="s">
        <v>16</v>
      </c>
      <c r="E300" t="s">
        <v>82</v>
      </c>
      <c r="F300">
        <v>4579</v>
      </c>
      <c r="G300">
        <v>125</v>
      </c>
      <c r="H300">
        <v>300</v>
      </c>
      <c r="I300">
        <v>59527</v>
      </c>
      <c r="J300">
        <v>59400</v>
      </c>
      <c r="K300">
        <v>269</v>
      </c>
      <c r="L300" t="s">
        <v>19</v>
      </c>
      <c r="M300">
        <v>8.4062694239588759E-2</v>
      </c>
      <c r="N300" t="s">
        <v>612</v>
      </c>
      <c r="O300" t="s">
        <v>37</v>
      </c>
    </row>
    <row r="301" spans="1:15" x14ac:dyDescent="0.3">
      <c r="A301" t="s">
        <v>519</v>
      </c>
      <c r="B301" t="s">
        <v>33</v>
      </c>
      <c r="C301" s="6">
        <v>45601</v>
      </c>
      <c r="D301" t="s">
        <v>74</v>
      </c>
      <c r="E301" t="s">
        <v>85</v>
      </c>
      <c r="F301">
        <v>4561</v>
      </c>
      <c r="G301">
        <v>51</v>
      </c>
      <c r="H301">
        <v>441</v>
      </c>
      <c r="I301">
        <v>22805</v>
      </c>
      <c r="J301">
        <v>21890</v>
      </c>
      <c r="K301">
        <v>45</v>
      </c>
      <c r="L301" t="s">
        <v>25</v>
      </c>
      <c r="M301">
        <v>0.22157421618066214</v>
      </c>
      <c r="N301" t="s">
        <v>612</v>
      </c>
      <c r="O301" t="s">
        <v>30</v>
      </c>
    </row>
    <row r="302" spans="1:15" x14ac:dyDescent="0.3">
      <c r="A302" t="s">
        <v>521</v>
      </c>
      <c r="B302" t="s">
        <v>27</v>
      </c>
      <c r="C302" s="6">
        <v>45672</v>
      </c>
      <c r="D302" t="s">
        <v>16</v>
      </c>
      <c r="E302" t="s">
        <v>29</v>
      </c>
      <c r="F302">
        <v>3774</v>
      </c>
      <c r="G302">
        <v>239</v>
      </c>
      <c r="H302">
        <v>39</v>
      </c>
      <c r="I302">
        <v>60384</v>
      </c>
      <c r="J302">
        <v>59490</v>
      </c>
      <c r="K302">
        <v>241</v>
      </c>
      <c r="L302" t="s">
        <v>31</v>
      </c>
      <c r="M302">
        <v>6.7103868574456813E-2</v>
      </c>
      <c r="N302" t="s">
        <v>612</v>
      </c>
      <c r="O302" t="s">
        <v>30</v>
      </c>
    </row>
    <row r="303" spans="1:15" x14ac:dyDescent="0.3">
      <c r="A303" t="s">
        <v>522</v>
      </c>
      <c r="B303" t="s">
        <v>33</v>
      </c>
      <c r="C303" s="6">
        <v>45582</v>
      </c>
      <c r="D303" t="s">
        <v>74</v>
      </c>
      <c r="E303" t="s">
        <v>85</v>
      </c>
      <c r="F303">
        <v>3575</v>
      </c>
      <c r="G303">
        <v>749</v>
      </c>
      <c r="H303">
        <v>111</v>
      </c>
      <c r="I303">
        <v>21450</v>
      </c>
      <c r="J303">
        <v>20785</v>
      </c>
      <c r="K303">
        <v>195</v>
      </c>
      <c r="L303" t="s">
        <v>25</v>
      </c>
      <c r="M303">
        <v>0.20675990675990677</v>
      </c>
      <c r="N303" t="s">
        <v>612</v>
      </c>
      <c r="O303" t="s">
        <v>37</v>
      </c>
    </row>
    <row r="304" spans="1:15" x14ac:dyDescent="0.3">
      <c r="A304" t="s">
        <v>524</v>
      </c>
      <c r="B304" t="s">
        <v>33</v>
      </c>
      <c r="C304" s="6">
        <v>45743</v>
      </c>
      <c r="D304" t="s">
        <v>22</v>
      </c>
      <c r="E304" t="s">
        <v>113</v>
      </c>
      <c r="F304">
        <v>4941</v>
      </c>
      <c r="G304">
        <v>414</v>
      </c>
      <c r="H304">
        <v>266</v>
      </c>
      <c r="I304">
        <v>39528</v>
      </c>
      <c r="J304">
        <v>39154</v>
      </c>
      <c r="K304">
        <v>217</v>
      </c>
      <c r="L304" t="s">
        <v>31</v>
      </c>
      <c r="M304">
        <v>0.14220299534507186</v>
      </c>
      <c r="N304" t="s">
        <v>612</v>
      </c>
      <c r="O304" t="s">
        <v>30</v>
      </c>
    </row>
    <row r="305" spans="1:15" x14ac:dyDescent="0.3">
      <c r="A305" t="s">
        <v>525</v>
      </c>
      <c r="B305" t="s">
        <v>27</v>
      </c>
      <c r="C305" s="6">
        <v>45577</v>
      </c>
      <c r="D305" t="s">
        <v>35</v>
      </c>
      <c r="E305" t="s">
        <v>154</v>
      </c>
      <c r="F305">
        <v>3641</v>
      </c>
      <c r="G305">
        <v>226</v>
      </c>
      <c r="H305">
        <v>46</v>
      </c>
      <c r="I305">
        <v>40051</v>
      </c>
      <c r="J305">
        <v>39319</v>
      </c>
      <c r="K305">
        <v>296</v>
      </c>
      <c r="L305" t="s">
        <v>38</v>
      </c>
      <c r="M305">
        <v>9.7700431949264685E-2</v>
      </c>
      <c r="N305" t="s">
        <v>612</v>
      </c>
      <c r="O305" t="s">
        <v>37</v>
      </c>
    </row>
    <row r="306" spans="1:15" x14ac:dyDescent="0.3">
      <c r="A306" t="s">
        <v>527</v>
      </c>
      <c r="B306" t="s">
        <v>14</v>
      </c>
      <c r="C306" s="6">
        <v>45658</v>
      </c>
      <c r="D306" t="s">
        <v>45</v>
      </c>
      <c r="E306" t="s">
        <v>49</v>
      </c>
      <c r="F306">
        <v>3535</v>
      </c>
      <c r="G306">
        <v>494</v>
      </c>
      <c r="H306">
        <v>152</v>
      </c>
      <c r="I306">
        <v>53025</v>
      </c>
      <c r="J306">
        <v>52791</v>
      </c>
      <c r="K306">
        <v>44</v>
      </c>
      <c r="L306" t="s">
        <v>38</v>
      </c>
      <c r="M306">
        <v>7.8849599245638849E-2</v>
      </c>
      <c r="N306" t="s">
        <v>612</v>
      </c>
      <c r="O306" t="s">
        <v>30</v>
      </c>
    </row>
    <row r="307" spans="1:15" x14ac:dyDescent="0.3">
      <c r="A307" t="s">
        <v>528</v>
      </c>
      <c r="B307" t="s">
        <v>43</v>
      </c>
      <c r="C307" s="6">
        <v>45509</v>
      </c>
      <c r="D307" t="s">
        <v>16</v>
      </c>
      <c r="E307" t="s">
        <v>65</v>
      </c>
      <c r="F307">
        <v>1741</v>
      </c>
      <c r="G307">
        <v>831</v>
      </c>
      <c r="H307">
        <v>345</v>
      </c>
      <c r="I307">
        <v>17410</v>
      </c>
      <c r="J307">
        <v>16844</v>
      </c>
      <c r="K307">
        <v>58</v>
      </c>
      <c r="L307" t="s">
        <v>31</v>
      </c>
      <c r="M307">
        <v>0.16754738655944859</v>
      </c>
      <c r="N307" t="s">
        <v>612</v>
      </c>
      <c r="O307" t="s">
        <v>37</v>
      </c>
    </row>
    <row r="308" spans="1:15" x14ac:dyDescent="0.3">
      <c r="A308" t="s">
        <v>529</v>
      </c>
      <c r="B308" t="s">
        <v>14</v>
      </c>
      <c r="C308" s="6">
        <v>45450</v>
      </c>
      <c r="D308" t="s">
        <v>45</v>
      </c>
      <c r="E308" t="s">
        <v>49</v>
      </c>
      <c r="F308">
        <v>1556</v>
      </c>
      <c r="G308">
        <v>195</v>
      </c>
      <c r="H308">
        <v>131</v>
      </c>
      <c r="I308">
        <v>9336</v>
      </c>
      <c r="J308">
        <v>8875</v>
      </c>
      <c r="K308">
        <v>137</v>
      </c>
      <c r="L308" t="s">
        <v>25</v>
      </c>
      <c r="M308">
        <v>0.2015852613538989</v>
      </c>
      <c r="N308" t="s">
        <v>612</v>
      </c>
      <c r="O308" t="s">
        <v>30</v>
      </c>
    </row>
    <row r="309" spans="1:15" x14ac:dyDescent="0.3">
      <c r="A309" t="s">
        <v>531</v>
      </c>
      <c r="B309" t="s">
        <v>43</v>
      </c>
      <c r="C309" s="6">
        <v>45753</v>
      </c>
      <c r="D309" t="s">
        <v>52</v>
      </c>
      <c r="E309" t="s">
        <v>59</v>
      </c>
      <c r="F309">
        <v>4236</v>
      </c>
      <c r="G309">
        <v>711</v>
      </c>
      <c r="H309">
        <v>298</v>
      </c>
      <c r="I309">
        <v>21180</v>
      </c>
      <c r="J309">
        <v>20516</v>
      </c>
      <c r="K309">
        <v>238</v>
      </c>
      <c r="L309" t="s">
        <v>19</v>
      </c>
      <c r="M309">
        <v>0.24763928234183191</v>
      </c>
      <c r="N309" t="s">
        <v>612</v>
      </c>
      <c r="O309" t="s">
        <v>62</v>
      </c>
    </row>
    <row r="310" spans="1:15" x14ac:dyDescent="0.3">
      <c r="A310" t="s">
        <v>532</v>
      </c>
      <c r="B310" t="s">
        <v>14</v>
      </c>
      <c r="C310" s="6">
        <v>45622</v>
      </c>
      <c r="D310" t="s">
        <v>22</v>
      </c>
      <c r="E310" t="s">
        <v>23</v>
      </c>
      <c r="F310">
        <v>4516</v>
      </c>
      <c r="G310">
        <v>836</v>
      </c>
      <c r="H310">
        <v>169</v>
      </c>
      <c r="I310">
        <v>49676</v>
      </c>
      <c r="J310">
        <v>49257</v>
      </c>
      <c r="K310">
        <v>282</v>
      </c>
      <c r="L310" t="s">
        <v>38</v>
      </c>
      <c r="M310">
        <v>0.11114018842096787</v>
      </c>
      <c r="N310" t="s">
        <v>612</v>
      </c>
      <c r="O310" t="s">
        <v>37</v>
      </c>
    </row>
    <row r="311" spans="1:15" x14ac:dyDescent="0.3">
      <c r="A311" t="s">
        <v>534</v>
      </c>
      <c r="B311" t="s">
        <v>27</v>
      </c>
      <c r="C311" s="6">
        <v>45537</v>
      </c>
      <c r="D311" t="s">
        <v>52</v>
      </c>
      <c r="E311" t="s">
        <v>53</v>
      </c>
      <c r="F311">
        <v>4905</v>
      </c>
      <c r="G311">
        <v>845</v>
      </c>
      <c r="H311">
        <v>129</v>
      </c>
      <c r="I311">
        <v>98100</v>
      </c>
      <c r="J311">
        <v>97772</v>
      </c>
      <c r="K311">
        <v>279</v>
      </c>
      <c r="L311" t="s">
        <v>25</v>
      </c>
      <c r="M311">
        <v>5.9928644240570844E-2</v>
      </c>
      <c r="N311" t="s">
        <v>612</v>
      </c>
      <c r="O311" t="s">
        <v>30</v>
      </c>
    </row>
    <row r="312" spans="1:15" x14ac:dyDescent="0.3">
      <c r="A312" t="s">
        <v>535</v>
      </c>
      <c r="B312" t="s">
        <v>27</v>
      </c>
      <c r="C312" s="6">
        <v>45586</v>
      </c>
      <c r="D312" t="s">
        <v>74</v>
      </c>
      <c r="E312" t="s">
        <v>219</v>
      </c>
      <c r="F312">
        <v>4275</v>
      </c>
      <c r="G312">
        <v>680</v>
      </c>
      <c r="H312">
        <v>385</v>
      </c>
      <c r="I312">
        <v>64125</v>
      </c>
      <c r="J312">
        <v>63650</v>
      </c>
      <c r="K312">
        <v>104</v>
      </c>
      <c r="L312" t="s">
        <v>38</v>
      </c>
      <c r="M312">
        <v>8.3274853801169585E-2</v>
      </c>
      <c r="N312" t="s">
        <v>612</v>
      </c>
      <c r="O312" t="s">
        <v>37</v>
      </c>
    </row>
    <row r="313" spans="1:15" x14ac:dyDescent="0.3">
      <c r="A313" t="s">
        <v>535</v>
      </c>
      <c r="B313" t="s">
        <v>27</v>
      </c>
      <c r="C313" s="6">
        <v>45586</v>
      </c>
      <c r="D313" t="s">
        <v>74</v>
      </c>
      <c r="E313" t="s">
        <v>219</v>
      </c>
      <c r="F313">
        <v>4275</v>
      </c>
      <c r="G313">
        <v>680</v>
      </c>
      <c r="H313">
        <v>385</v>
      </c>
      <c r="I313">
        <v>64125</v>
      </c>
      <c r="J313">
        <v>63650</v>
      </c>
      <c r="K313">
        <v>104</v>
      </c>
      <c r="L313" t="s">
        <v>38</v>
      </c>
      <c r="M313">
        <v>8.3274853801169585E-2</v>
      </c>
      <c r="N313" t="s">
        <v>613</v>
      </c>
      <c r="O313" t="s">
        <v>30</v>
      </c>
    </row>
    <row r="314" spans="1:15" x14ac:dyDescent="0.3">
      <c r="A314" t="s">
        <v>535</v>
      </c>
      <c r="B314" t="s">
        <v>27</v>
      </c>
      <c r="C314" s="6">
        <v>45586</v>
      </c>
      <c r="D314" t="s">
        <v>74</v>
      </c>
      <c r="E314" t="s">
        <v>219</v>
      </c>
      <c r="F314">
        <v>4275</v>
      </c>
      <c r="G314">
        <v>680</v>
      </c>
      <c r="H314">
        <v>385</v>
      </c>
      <c r="I314">
        <v>64125</v>
      </c>
      <c r="J314">
        <v>63650</v>
      </c>
      <c r="K314">
        <v>104</v>
      </c>
      <c r="L314" t="s">
        <v>38</v>
      </c>
      <c r="M314">
        <v>8.3274853801169585E-2</v>
      </c>
      <c r="N314" t="s">
        <v>614</v>
      </c>
      <c r="O314" t="s">
        <v>615</v>
      </c>
    </row>
    <row r="315" spans="1:15" x14ac:dyDescent="0.3">
      <c r="A315" t="s">
        <v>536</v>
      </c>
      <c r="B315" t="s">
        <v>27</v>
      </c>
      <c r="C315" s="6">
        <v>45738</v>
      </c>
      <c r="D315" t="s">
        <v>52</v>
      </c>
      <c r="E315" t="s">
        <v>53</v>
      </c>
      <c r="F315">
        <v>3166</v>
      </c>
      <c r="G315">
        <v>90</v>
      </c>
      <c r="H315">
        <v>341</v>
      </c>
      <c r="I315">
        <v>56988</v>
      </c>
      <c r="J315">
        <v>56125</v>
      </c>
      <c r="K315">
        <v>135</v>
      </c>
      <c r="L315" t="s">
        <v>25</v>
      </c>
      <c r="M315">
        <v>6.3118551273952411E-2</v>
      </c>
      <c r="N315" t="s">
        <v>612</v>
      </c>
      <c r="O315" t="s">
        <v>37</v>
      </c>
    </row>
    <row r="316" spans="1:15" x14ac:dyDescent="0.3">
      <c r="A316" t="s">
        <v>538</v>
      </c>
      <c r="B316" t="s">
        <v>33</v>
      </c>
      <c r="C316" s="6">
        <v>45568</v>
      </c>
      <c r="D316" t="s">
        <v>74</v>
      </c>
      <c r="E316" t="s">
        <v>85</v>
      </c>
      <c r="F316">
        <v>1488</v>
      </c>
      <c r="G316">
        <v>417</v>
      </c>
      <c r="H316">
        <v>168</v>
      </c>
      <c r="I316">
        <v>19344</v>
      </c>
      <c r="J316">
        <v>18395</v>
      </c>
      <c r="K316">
        <v>30</v>
      </c>
      <c r="L316" t="s">
        <v>31</v>
      </c>
      <c r="M316">
        <v>0.1071650124069479</v>
      </c>
      <c r="N316" t="s">
        <v>612</v>
      </c>
      <c r="O316" t="s">
        <v>62</v>
      </c>
    </row>
    <row r="317" spans="1:15" x14ac:dyDescent="0.3">
      <c r="A317" t="s">
        <v>540</v>
      </c>
      <c r="B317" t="s">
        <v>14</v>
      </c>
      <c r="C317" s="6">
        <v>45786</v>
      </c>
      <c r="D317" t="s">
        <v>16</v>
      </c>
      <c r="E317" t="s">
        <v>17</v>
      </c>
      <c r="F317">
        <v>3367</v>
      </c>
      <c r="G317">
        <v>302</v>
      </c>
      <c r="H317">
        <v>57</v>
      </c>
      <c r="I317">
        <v>63973</v>
      </c>
      <c r="J317">
        <v>63789</v>
      </c>
      <c r="K317">
        <v>157</v>
      </c>
      <c r="L317" t="s">
        <v>25</v>
      </c>
      <c r="M317">
        <v>5.8243321401216137E-2</v>
      </c>
      <c r="N317" t="s">
        <v>612</v>
      </c>
      <c r="O317" t="s">
        <v>62</v>
      </c>
    </row>
    <row r="318" spans="1:15" x14ac:dyDescent="0.3">
      <c r="A318" t="s">
        <v>542</v>
      </c>
      <c r="B318" t="s">
        <v>14</v>
      </c>
      <c r="C318" s="6">
        <v>45552</v>
      </c>
      <c r="D318" t="s">
        <v>22</v>
      </c>
      <c r="E318" t="s">
        <v>23</v>
      </c>
      <c r="F318">
        <v>571</v>
      </c>
      <c r="G318">
        <v>190</v>
      </c>
      <c r="H318">
        <v>352</v>
      </c>
      <c r="I318">
        <v>9707</v>
      </c>
      <c r="J318">
        <v>9418</v>
      </c>
      <c r="K318">
        <v>231</v>
      </c>
      <c r="L318" t="s">
        <v>38</v>
      </c>
      <c r="M318">
        <v>0.11465952405480581</v>
      </c>
      <c r="N318" t="s">
        <v>612</v>
      </c>
      <c r="O318" t="s">
        <v>30</v>
      </c>
    </row>
    <row r="319" spans="1:15" x14ac:dyDescent="0.3">
      <c r="A319" t="s">
        <v>543</v>
      </c>
      <c r="B319" t="s">
        <v>27</v>
      </c>
      <c r="C319" s="6">
        <v>45491</v>
      </c>
      <c r="D319" t="s">
        <v>22</v>
      </c>
      <c r="E319" t="s">
        <v>104</v>
      </c>
      <c r="F319">
        <v>4021</v>
      </c>
      <c r="G319">
        <v>794</v>
      </c>
      <c r="H319">
        <v>77</v>
      </c>
      <c r="I319">
        <v>36189</v>
      </c>
      <c r="J319">
        <v>35505</v>
      </c>
      <c r="K319">
        <v>174</v>
      </c>
      <c r="L319" t="s">
        <v>19</v>
      </c>
      <c r="M319">
        <v>0.13517919809886983</v>
      </c>
      <c r="N319" t="s">
        <v>612</v>
      </c>
      <c r="O319" t="s">
        <v>37</v>
      </c>
    </row>
    <row r="320" spans="1:15" x14ac:dyDescent="0.3">
      <c r="A320" t="s">
        <v>544</v>
      </c>
      <c r="B320" t="s">
        <v>27</v>
      </c>
      <c r="C320" s="6">
        <v>45560</v>
      </c>
      <c r="D320" t="s">
        <v>74</v>
      </c>
      <c r="E320" t="s">
        <v>219</v>
      </c>
      <c r="F320">
        <v>3389</v>
      </c>
      <c r="G320">
        <v>344</v>
      </c>
      <c r="H320">
        <v>229</v>
      </c>
      <c r="I320">
        <v>20334</v>
      </c>
      <c r="J320">
        <v>19443</v>
      </c>
      <c r="K320">
        <v>228</v>
      </c>
      <c r="L320" t="s">
        <v>31</v>
      </c>
      <c r="M320">
        <v>0.19484607062063539</v>
      </c>
      <c r="N320" t="s">
        <v>612</v>
      </c>
      <c r="O320" t="s">
        <v>62</v>
      </c>
    </row>
    <row r="321" spans="1:15" x14ac:dyDescent="0.3">
      <c r="A321" t="s">
        <v>546</v>
      </c>
      <c r="B321" t="s">
        <v>33</v>
      </c>
      <c r="C321" s="6">
        <v>45519</v>
      </c>
      <c r="D321" t="s">
        <v>16</v>
      </c>
      <c r="E321" t="s">
        <v>82</v>
      </c>
      <c r="F321">
        <v>1164</v>
      </c>
      <c r="G321">
        <v>616</v>
      </c>
      <c r="H321">
        <v>324</v>
      </c>
      <c r="I321">
        <v>6984</v>
      </c>
      <c r="J321">
        <v>6636</v>
      </c>
      <c r="K321">
        <v>82</v>
      </c>
      <c r="L321" t="s">
        <v>19</v>
      </c>
      <c r="M321">
        <v>0.30126002290950743</v>
      </c>
      <c r="N321" t="s">
        <v>612</v>
      </c>
      <c r="O321" t="s">
        <v>37</v>
      </c>
    </row>
    <row r="322" spans="1:15" x14ac:dyDescent="0.3">
      <c r="A322" t="s">
        <v>547</v>
      </c>
      <c r="B322" t="s">
        <v>27</v>
      </c>
      <c r="C322" s="6">
        <v>45764</v>
      </c>
      <c r="D322" t="s">
        <v>45</v>
      </c>
      <c r="E322" t="s">
        <v>68</v>
      </c>
      <c r="F322">
        <v>4780</v>
      </c>
      <c r="G322">
        <v>691</v>
      </c>
      <c r="H322">
        <v>380</v>
      </c>
      <c r="I322">
        <v>86040</v>
      </c>
      <c r="J322">
        <v>85743</v>
      </c>
      <c r="K322">
        <v>262</v>
      </c>
      <c r="L322" t="s">
        <v>31</v>
      </c>
      <c r="M322">
        <v>6.800325430032543E-2</v>
      </c>
      <c r="N322" t="s">
        <v>612</v>
      </c>
      <c r="O322" t="s">
        <v>62</v>
      </c>
    </row>
    <row r="323" spans="1:15" x14ac:dyDescent="0.3">
      <c r="A323" t="s">
        <v>549</v>
      </c>
      <c r="B323" t="s">
        <v>43</v>
      </c>
      <c r="C323" s="6">
        <v>45624</v>
      </c>
      <c r="D323" t="s">
        <v>45</v>
      </c>
      <c r="E323" t="s">
        <v>46</v>
      </c>
      <c r="F323">
        <v>2751</v>
      </c>
      <c r="G323">
        <v>33</v>
      </c>
      <c r="H323">
        <v>430</v>
      </c>
      <c r="I323">
        <v>44016</v>
      </c>
      <c r="J323">
        <v>43415</v>
      </c>
      <c r="K323">
        <v>129</v>
      </c>
      <c r="L323" t="s">
        <v>38</v>
      </c>
      <c r="M323">
        <v>7.3018902217375503E-2</v>
      </c>
      <c r="N323" t="s">
        <v>612</v>
      </c>
      <c r="O323" t="s">
        <v>62</v>
      </c>
    </row>
    <row r="324" spans="1:15" x14ac:dyDescent="0.3">
      <c r="A324" t="s">
        <v>550</v>
      </c>
      <c r="B324" t="s">
        <v>33</v>
      </c>
      <c r="C324" s="6">
        <v>45646</v>
      </c>
      <c r="D324" t="s">
        <v>45</v>
      </c>
      <c r="E324" t="s">
        <v>88</v>
      </c>
      <c r="F324">
        <v>2107</v>
      </c>
      <c r="G324">
        <v>550</v>
      </c>
      <c r="H324">
        <v>349</v>
      </c>
      <c r="I324">
        <v>35819</v>
      </c>
      <c r="J324">
        <v>35340</v>
      </c>
      <c r="K324">
        <v>191</v>
      </c>
      <c r="L324" t="s">
        <v>38</v>
      </c>
      <c r="M324">
        <v>8.3921940869371006E-2</v>
      </c>
      <c r="N324" t="s">
        <v>612</v>
      </c>
      <c r="O324" t="s">
        <v>37</v>
      </c>
    </row>
    <row r="325" spans="1:15" x14ac:dyDescent="0.3">
      <c r="A325" t="s">
        <v>552</v>
      </c>
      <c r="B325" t="s">
        <v>43</v>
      </c>
      <c r="C325" s="6">
        <v>45602</v>
      </c>
      <c r="D325" t="s">
        <v>74</v>
      </c>
      <c r="E325" t="s">
        <v>75</v>
      </c>
      <c r="F325">
        <v>4663</v>
      </c>
      <c r="G325">
        <v>145</v>
      </c>
      <c r="H325">
        <v>225</v>
      </c>
      <c r="I325">
        <v>69945</v>
      </c>
      <c r="J325">
        <v>69596</v>
      </c>
      <c r="K325">
        <v>35</v>
      </c>
      <c r="L325" t="s">
        <v>38</v>
      </c>
      <c r="M325">
        <v>7.1956537279290869E-2</v>
      </c>
      <c r="N325" t="s">
        <v>612</v>
      </c>
      <c r="O325" t="s">
        <v>37</v>
      </c>
    </row>
    <row r="326" spans="1:15" x14ac:dyDescent="0.3">
      <c r="A326" t="s">
        <v>553</v>
      </c>
      <c r="B326" t="s">
        <v>43</v>
      </c>
      <c r="C326" s="6">
        <v>45613</v>
      </c>
      <c r="D326" t="s">
        <v>22</v>
      </c>
      <c r="E326" t="s">
        <v>56</v>
      </c>
      <c r="F326">
        <v>880</v>
      </c>
      <c r="G326">
        <v>297</v>
      </c>
      <c r="H326">
        <v>345</v>
      </c>
      <c r="I326">
        <v>12320</v>
      </c>
      <c r="J326">
        <v>11978</v>
      </c>
      <c r="K326">
        <v>238</v>
      </c>
      <c r="L326" t="s">
        <v>25</v>
      </c>
      <c r="M326">
        <v>0.12353896103896105</v>
      </c>
      <c r="N326" t="s">
        <v>612</v>
      </c>
      <c r="O326" t="s">
        <v>30</v>
      </c>
    </row>
    <row r="327" spans="1:15" x14ac:dyDescent="0.3">
      <c r="A327" t="s">
        <v>553</v>
      </c>
      <c r="B327" t="s">
        <v>43</v>
      </c>
      <c r="C327" s="6">
        <v>45613</v>
      </c>
      <c r="D327" t="s">
        <v>22</v>
      </c>
      <c r="E327" t="s">
        <v>56</v>
      </c>
      <c r="F327">
        <v>880</v>
      </c>
      <c r="G327">
        <v>297</v>
      </c>
      <c r="H327">
        <v>345</v>
      </c>
      <c r="I327">
        <v>12320</v>
      </c>
      <c r="J327">
        <v>11978</v>
      </c>
      <c r="K327">
        <v>238</v>
      </c>
      <c r="L327" t="s">
        <v>25</v>
      </c>
      <c r="M327">
        <v>0.12353896103896105</v>
      </c>
      <c r="N327" t="s">
        <v>613</v>
      </c>
      <c r="O327" t="s">
        <v>615</v>
      </c>
    </row>
    <row r="328" spans="1:15" x14ac:dyDescent="0.3">
      <c r="A328" t="s">
        <v>555</v>
      </c>
      <c r="B328" t="s">
        <v>43</v>
      </c>
      <c r="C328" s="6">
        <v>45791</v>
      </c>
      <c r="D328" t="s">
        <v>22</v>
      </c>
      <c r="E328" t="s">
        <v>56</v>
      </c>
      <c r="F328">
        <v>2634</v>
      </c>
      <c r="G328">
        <v>726</v>
      </c>
      <c r="H328">
        <v>241</v>
      </c>
      <c r="I328">
        <v>28974</v>
      </c>
      <c r="J328">
        <v>28102</v>
      </c>
      <c r="K328">
        <v>277</v>
      </c>
      <c r="L328" t="s">
        <v>19</v>
      </c>
      <c r="M328">
        <v>0.12428384068475185</v>
      </c>
      <c r="N328" t="s">
        <v>612</v>
      </c>
      <c r="O328" t="s">
        <v>37</v>
      </c>
    </row>
    <row r="329" spans="1:15" x14ac:dyDescent="0.3">
      <c r="A329" t="s">
        <v>557</v>
      </c>
      <c r="B329" t="s">
        <v>43</v>
      </c>
      <c r="C329" s="6">
        <v>45462</v>
      </c>
      <c r="D329" t="s">
        <v>45</v>
      </c>
      <c r="E329" t="s">
        <v>46</v>
      </c>
      <c r="F329">
        <v>4731</v>
      </c>
      <c r="G329">
        <v>173</v>
      </c>
      <c r="H329">
        <v>276</v>
      </c>
      <c r="I329">
        <v>28386</v>
      </c>
      <c r="J329">
        <v>28185</v>
      </c>
      <c r="K329">
        <v>89</v>
      </c>
      <c r="L329" t="s">
        <v>31</v>
      </c>
      <c r="M329">
        <v>0.18248432325794406</v>
      </c>
      <c r="N329" t="s">
        <v>612</v>
      </c>
      <c r="O329" t="s">
        <v>37</v>
      </c>
    </row>
    <row r="330" spans="1:15" x14ac:dyDescent="0.3">
      <c r="A330" t="s">
        <v>559</v>
      </c>
      <c r="B330" t="s">
        <v>14</v>
      </c>
      <c r="C330" s="6">
        <v>45783</v>
      </c>
      <c r="D330" t="s">
        <v>52</v>
      </c>
      <c r="E330" t="s">
        <v>132</v>
      </c>
      <c r="F330">
        <v>1952</v>
      </c>
      <c r="G330">
        <v>344</v>
      </c>
      <c r="H330">
        <v>287</v>
      </c>
      <c r="I330">
        <v>15616</v>
      </c>
      <c r="J330">
        <v>15403</v>
      </c>
      <c r="K330">
        <v>235</v>
      </c>
      <c r="L330" t="s">
        <v>25</v>
      </c>
      <c r="M330">
        <v>0.16540727459016394</v>
      </c>
      <c r="N330" t="s">
        <v>612</v>
      </c>
      <c r="O330" t="s">
        <v>62</v>
      </c>
    </row>
    <row r="331" spans="1:15" x14ac:dyDescent="0.3">
      <c r="A331" t="s">
        <v>559</v>
      </c>
      <c r="B331" t="s">
        <v>14</v>
      </c>
      <c r="C331" s="6">
        <v>45783</v>
      </c>
      <c r="D331" t="s">
        <v>52</v>
      </c>
      <c r="E331" t="s">
        <v>132</v>
      </c>
      <c r="F331">
        <v>1952</v>
      </c>
      <c r="G331">
        <v>344</v>
      </c>
      <c r="H331">
        <v>287</v>
      </c>
      <c r="I331">
        <v>15616</v>
      </c>
      <c r="J331">
        <v>15403</v>
      </c>
      <c r="K331">
        <v>235</v>
      </c>
      <c r="L331" t="s">
        <v>25</v>
      </c>
      <c r="M331">
        <v>0.16540727459016394</v>
      </c>
      <c r="N331" t="s">
        <v>613</v>
      </c>
      <c r="O331" t="s">
        <v>30</v>
      </c>
    </row>
    <row r="332" spans="1:15" x14ac:dyDescent="0.3">
      <c r="A332" t="s">
        <v>559</v>
      </c>
      <c r="B332" t="s">
        <v>14</v>
      </c>
      <c r="C332" s="6">
        <v>45783</v>
      </c>
      <c r="D332" t="s">
        <v>52</v>
      </c>
      <c r="E332" t="s">
        <v>132</v>
      </c>
      <c r="F332">
        <v>1952</v>
      </c>
      <c r="G332">
        <v>344</v>
      </c>
      <c r="H332">
        <v>287</v>
      </c>
      <c r="I332">
        <v>15616</v>
      </c>
      <c r="J332">
        <v>15403</v>
      </c>
      <c r="K332">
        <v>235</v>
      </c>
      <c r="L332" t="s">
        <v>25</v>
      </c>
      <c r="M332">
        <v>0.16540727459016394</v>
      </c>
      <c r="N332" t="s">
        <v>614</v>
      </c>
      <c r="O332" t="s">
        <v>615</v>
      </c>
    </row>
    <row r="333" spans="1:15" x14ac:dyDescent="0.3">
      <c r="A333" t="s">
        <v>560</v>
      </c>
      <c r="B333" t="s">
        <v>14</v>
      </c>
      <c r="C333" s="6">
        <v>45699</v>
      </c>
      <c r="D333" t="s">
        <v>74</v>
      </c>
      <c r="E333" t="s">
        <v>145</v>
      </c>
      <c r="F333">
        <v>3440</v>
      </c>
      <c r="G333">
        <v>13</v>
      </c>
      <c r="H333">
        <v>20</v>
      </c>
      <c r="I333">
        <v>58480</v>
      </c>
      <c r="J333">
        <v>58146</v>
      </c>
      <c r="K333">
        <v>210</v>
      </c>
      <c r="L333" t="s">
        <v>38</v>
      </c>
      <c r="M333">
        <v>5.9387824897400819E-2</v>
      </c>
      <c r="N333" t="s">
        <v>612</v>
      </c>
      <c r="O333" t="s">
        <v>30</v>
      </c>
    </row>
    <row r="334" spans="1:15" x14ac:dyDescent="0.3">
      <c r="A334" t="s">
        <v>560</v>
      </c>
      <c r="B334" t="s">
        <v>14</v>
      </c>
      <c r="C334" s="6">
        <v>45699</v>
      </c>
      <c r="D334" t="s">
        <v>74</v>
      </c>
      <c r="E334" t="s">
        <v>145</v>
      </c>
      <c r="F334">
        <v>3440</v>
      </c>
      <c r="G334">
        <v>13</v>
      </c>
      <c r="H334">
        <v>20</v>
      </c>
      <c r="I334">
        <v>58480</v>
      </c>
      <c r="J334">
        <v>58146</v>
      </c>
      <c r="K334">
        <v>210</v>
      </c>
      <c r="L334" t="s">
        <v>38</v>
      </c>
      <c r="M334">
        <v>5.9387824897400819E-2</v>
      </c>
      <c r="N334" t="s">
        <v>613</v>
      </c>
      <c r="O334" t="s">
        <v>607</v>
      </c>
    </row>
    <row r="335" spans="1:15" x14ac:dyDescent="0.3">
      <c r="A335" t="s">
        <v>562</v>
      </c>
      <c r="B335" t="s">
        <v>14</v>
      </c>
      <c r="C335" s="6">
        <v>45650</v>
      </c>
      <c r="D335" t="s">
        <v>22</v>
      </c>
      <c r="E335" t="s">
        <v>23</v>
      </c>
      <c r="F335">
        <v>2166</v>
      </c>
      <c r="G335">
        <v>354</v>
      </c>
      <c r="H335">
        <v>117</v>
      </c>
      <c r="I335">
        <v>10830</v>
      </c>
      <c r="J335">
        <v>10245</v>
      </c>
      <c r="K335">
        <v>24</v>
      </c>
      <c r="L335" t="s">
        <v>38</v>
      </c>
      <c r="M335">
        <v>0.24349030470914126</v>
      </c>
      <c r="N335" t="s">
        <v>612</v>
      </c>
      <c r="O335" t="s">
        <v>37</v>
      </c>
    </row>
    <row r="336" spans="1:15" x14ac:dyDescent="0.3">
      <c r="A336" t="s">
        <v>564</v>
      </c>
      <c r="B336" t="s">
        <v>43</v>
      </c>
      <c r="C336" s="6">
        <v>45589</v>
      </c>
      <c r="D336" t="s">
        <v>52</v>
      </c>
      <c r="E336" t="s">
        <v>59</v>
      </c>
      <c r="F336">
        <v>4303</v>
      </c>
      <c r="G336">
        <v>451</v>
      </c>
      <c r="H336">
        <v>286</v>
      </c>
      <c r="I336">
        <v>86060</v>
      </c>
      <c r="J336">
        <v>85823</v>
      </c>
      <c r="K336">
        <v>14</v>
      </c>
      <c r="L336" t="s">
        <v>31</v>
      </c>
      <c r="M336">
        <v>5.8563792702765516E-2</v>
      </c>
      <c r="N336" t="s">
        <v>612</v>
      </c>
      <c r="O336" t="s">
        <v>30</v>
      </c>
    </row>
    <row r="337" spans="1:15" x14ac:dyDescent="0.3">
      <c r="A337" t="s">
        <v>565</v>
      </c>
      <c r="B337" t="s">
        <v>43</v>
      </c>
      <c r="C337" s="6">
        <v>45530</v>
      </c>
      <c r="D337" t="s">
        <v>52</v>
      </c>
      <c r="E337" t="s">
        <v>59</v>
      </c>
      <c r="F337">
        <v>2581</v>
      </c>
      <c r="G337">
        <v>517</v>
      </c>
      <c r="H337">
        <v>117</v>
      </c>
      <c r="I337">
        <v>23229</v>
      </c>
      <c r="J337">
        <v>22331</v>
      </c>
      <c r="K337">
        <v>70</v>
      </c>
      <c r="L337" t="s">
        <v>31</v>
      </c>
      <c r="M337">
        <v>0.13840458048129492</v>
      </c>
      <c r="N337" t="s">
        <v>612</v>
      </c>
      <c r="O337" t="s">
        <v>62</v>
      </c>
    </row>
    <row r="338" spans="1:15" x14ac:dyDescent="0.3">
      <c r="A338" t="s">
        <v>566</v>
      </c>
      <c r="B338" t="s">
        <v>14</v>
      </c>
      <c r="C338" s="6">
        <v>45535</v>
      </c>
      <c r="D338" t="s">
        <v>45</v>
      </c>
      <c r="E338" t="s">
        <v>49</v>
      </c>
      <c r="F338">
        <v>4494</v>
      </c>
      <c r="G338">
        <v>717</v>
      </c>
      <c r="H338">
        <v>45</v>
      </c>
      <c r="I338">
        <v>62916</v>
      </c>
      <c r="J338">
        <v>62688</v>
      </c>
      <c r="K338">
        <v>191</v>
      </c>
      <c r="L338" t="s">
        <v>19</v>
      </c>
      <c r="M338">
        <v>8.3539958039290485E-2</v>
      </c>
      <c r="N338" t="s">
        <v>612</v>
      </c>
      <c r="O338" t="s">
        <v>30</v>
      </c>
    </row>
    <row r="339" spans="1:15" x14ac:dyDescent="0.3">
      <c r="A339" t="s">
        <v>566</v>
      </c>
      <c r="B339" t="s">
        <v>14</v>
      </c>
      <c r="C339" s="6">
        <v>45535</v>
      </c>
      <c r="D339" t="s">
        <v>45</v>
      </c>
      <c r="E339" t="s">
        <v>49</v>
      </c>
      <c r="F339">
        <v>4494</v>
      </c>
      <c r="G339">
        <v>717</v>
      </c>
      <c r="H339">
        <v>45</v>
      </c>
      <c r="I339">
        <v>62916</v>
      </c>
      <c r="J339">
        <v>62688</v>
      </c>
      <c r="K339">
        <v>191</v>
      </c>
      <c r="L339" t="s">
        <v>19</v>
      </c>
      <c r="M339">
        <v>8.3539958039290485E-2</v>
      </c>
      <c r="N339" t="s">
        <v>613</v>
      </c>
      <c r="O339" t="s">
        <v>37</v>
      </c>
    </row>
    <row r="340" spans="1:15" x14ac:dyDescent="0.3">
      <c r="A340" t="s">
        <v>566</v>
      </c>
      <c r="B340" t="s">
        <v>14</v>
      </c>
      <c r="C340" s="6">
        <v>45535</v>
      </c>
      <c r="D340" t="s">
        <v>45</v>
      </c>
      <c r="E340" t="s">
        <v>49</v>
      </c>
      <c r="F340">
        <v>4494</v>
      </c>
      <c r="G340">
        <v>717</v>
      </c>
      <c r="H340">
        <v>45</v>
      </c>
      <c r="I340">
        <v>62916</v>
      </c>
      <c r="J340">
        <v>62688</v>
      </c>
      <c r="K340">
        <v>191</v>
      </c>
      <c r="L340" t="s">
        <v>19</v>
      </c>
      <c r="M340">
        <v>8.3539958039290485E-2</v>
      </c>
      <c r="N340" t="s">
        <v>614</v>
      </c>
      <c r="O340" t="s">
        <v>616</v>
      </c>
    </row>
  </sheetData>
  <conditionalFormatting pivot="1" sqref="R4:R9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3BE823-0D9C-4E1E-9B65-DBB2436C6144}">
  <dimension ref="A1:T23"/>
  <sheetViews>
    <sheetView workbookViewId="0">
      <selection activeCell="D4" sqref="D4"/>
    </sheetView>
  </sheetViews>
  <sheetFormatPr defaultRowHeight="14.4" x14ac:dyDescent="0.3"/>
  <cols>
    <col min="1" max="1" width="10.77734375" bestFit="1" customWidth="1"/>
    <col min="2" max="2" width="11.5546875" bestFit="1" customWidth="1"/>
    <col min="3" max="3" width="13.109375" bestFit="1" customWidth="1"/>
    <col min="4" max="4" width="16.6640625" bestFit="1" customWidth="1"/>
    <col min="5" max="5" width="11.5546875" bestFit="1" customWidth="1"/>
    <col min="6" max="6" width="13.109375" bestFit="1" customWidth="1"/>
    <col min="7" max="7" width="16.6640625" style="5" bestFit="1" customWidth="1"/>
    <col min="8" max="8" width="11.5546875" bestFit="1" customWidth="1"/>
    <col min="9" max="9" width="13.109375" bestFit="1" customWidth="1"/>
    <col min="10" max="10" width="16.6640625" bestFit="1" customWidth="1"/>
    <col min="11" max="11" width="11.5546875" bestFit="1" customWidth="1"/>
    <col min="12" max="12" width="13.109375" bestFit="1" customWidth="1"/>
    <col min="13" max="13" width="16.6640625" bestFit="1" customWidth="1"/>
    <col min="14" max="14" width="16.33203125" bestFit="1" customWidth="1"/>
    <col min="15" max="15" width="17.88671875" bestFit="1" customWidth="1"/>
    <col min="16" max="16" width="21.5546875" bestFit="1" customWidth="1"/>
  </cols>
  <sheetData>
    <row r="1" spans="1:20" x14ac:dyDescent="0.3">
      <c r="E1" s="11" t="s">
        <v>0</v>
      </c>
      <c r="F1" s="12" t="s">
        <v>1</v>
      </c>
      <c r="G1" s="13" t="s">
        <v>2</v>
      </c>
      <c r="H1" s="11" t="s">
        <v>3</v>
      </c>
      <c r="I1" s="11" t="s">
        <v>4</v>
      </c>
      <c r="J1" s="11" t="s">
        <v>5</v>
      </c>
      <c r="K1" s="11" t="s">
        <v>6</v>
      </c>
      <c r="L1" s="11" t="s">
        <v>7</v>
      </c>
      <c r="M1" s="11" t="s">
        <v>8</v>
      </c>
      <c r="N1" s="11" t="s">
        <v>9</v>
      </c>
      <c r="O1" s="11" t="s">
        <v>10</v>
      </c>
      <c r="P1" s="11" t="s">
        <v>612</v>
      </c>
      <c r="Q1" s="11" t="s">
        <v>613</v>
      </c>
      <c r="R1" s="11" t="s">
        <v>614</v>
      </c>
      <c r="S1" s="11" t="s">
        <v>618</v>
      </c>
      <c r="T1" s="11" t="s">
        <v>617</v>
      </c>
    </row>
    <row r="2" spans="1:20" x14ac:dyDescent="0.3">
      <c r="E2" s="14" t="s">
        <v>441</v>
      </c>
      <c r="F2" s="14" t="s">
        <v>33</v>
      </c>
      <c r="G2" s="15">
        <v>45445</v>
      </c>
      <c r="H2" s="14" t="s">
        <v>35</v>
      </c>
      <c r="I2" s="14" t="s">
        <v>36</v>
      </c>
      <c r="J2" s="14">
        <v>84</v>
      </c>
      <c r="K2" s="14">
        <v>897</v>
      </c>
      <c r="L2" s="14">
        <v>85</v>
      </c>
      <c r="M2" s="14">
        <v>588</v>
      </c>
      <c r="N2" s="14">
        <v>8</v>
      </c>
      <c r="O2" s="14">
        <v>12</v>
      </c>
      <c r="P2" s="14" t="s">
        <v>37</v>
      </c>
      <c r="Q2" s="14"/>
      <c r="R2" s="14"/>
      <c r="S2" s="14" t="s">
        <v>19</v>
      </c>
      <c r="T2" s="16">
        <f>(Table1_2[[#This Row],[Likes]]+Table1_2[[#This Row],[Shares]]+Table1_2[[#This Row],[Comments]])/Table1_2[[#This Row],[Impressions]]</f>
        <v>9.0759753593429152E-2</v>
      </c>
    </row>
    <row r="3" spans="1:20" ht="43.2" x14ac:dyDescent="0.3">
      <c r="A3" s="9" t="s">
        <v>1</v>
      </c>
      <c r="B3" s="25" t="s">
        <v>626</v>
      </c>
      <c r="C3" s="25"/>
      <c r="E3" s="17" t="s">
        <v>169</v>
      </c>
      <c r="F3" s="17" t="s">
        <v>33</v>
      </c>
      <c r="G3" s="18">
        <v>45762</v>
      </c>
      <c r="H3" s="17" t="s">
        <v>16</v>
      </c>
      <c r="I3" s="17" t="s">
        <v>82</v>
      </c>
      <c r="J3" s="17">
        <v>103</v>
      </c>
      <c r="K3" s="17">
        <v>770</v>
      </c>
      <c r="L3" s="17">
        <v>19</v>
      </c>
      <c r="M3" s="17">
        <v>1030</v>
      </c>
      <c r="N3" s="17">
        <v>410</v>
      </c>
      <c r="O3" s="17">
        <v>262</v>
      </c>
      <c r="P3" s="17" t="s">
        <v>30</v>
      </c>
      <c r="Q3" s="17"/>
      <c r="R3" s="17"/>
      <c r="S3" s="17" t="s">
        <v>38</v>
      </c>
      <c r="T3" s="19">
        <f>(Table1_2[[#This Row],[Likes]]+Table1_2[[#This Row],[Shares]]+Table1_2[[#This Row],[Comments]])/Table1_2[[#This Row],[Impressions]]</f>
        <v>7.6097681302417369E-2</v>
      </c>
    </row>
    <row r="4" spans="1:20" x14ac:dyDescent="0.3">
      <c r="A4" s="10" t="s">
        <v>43</v>
      </c>
      <c r="B4" s="8">
        <v>0.12197289956132547</v>
      </c>
      <c r="E4" s="14" t="s">
        <v>459</v>
      </c>
      <c r="F4" s="14" t="s">
        <v>14</v>
      </c>
      <c r="G4" s="15">
        <v>45776</v>
      </c>
      <c r="H4" s="14" t="s">
        <v>35</v>
      </c>
      <c r="I4" s="14" t="s">
        <v>149</v>
      </c>
      <c r="J4" s="14">
        <v>249</v>
      </c>
      <c r="K4" s="14">
        <v>592</v>
      </c>
      <c r="L4" s="14">
        <v>230</v>
      </c>
      <c r="M4" s="14">
        <v>1494</v>
      </c>
      <c r="N4" s="14">
        <v>1044</v>
      </c>
      <c r="O4" s="14">
        <v>201</v>
      </c>
      <c r="P4" s="14" t="s">
        <v>37</v>
      </c>
      <c r="Q4" s="14"/>
      <c r="R4" s="14"/>
      <c r="S4" s="14" t="s">
        <v>38</v>
      </c>
      <c r="T4" s="16">
        <f>(Table1_2[[#This Row],[Likes]]+Table1_2[[#This Row],[Shares]]+Table1_2[[#This Row],[Comments]])/Table1_2[[#This Row],[Impressions]]</f>
        <v>5.5531494209584788E-2</v>
      </c>
    </row>
    <row r="5" spans="1:20" x14ac:dyDescent="0.3">
      <c r="A5" s="10" t="s">
        <v>33</v>
      </c>
      <c r="B5" s="8">
        <v>0.19329257693923488</v>
      </c>
      <c r="E5" s="17" t="s">
        <v>378</v>
      </c>
      <c r="F5" s="17" t="s">
        <v>33</v>
      </c>
      <c r="G5" s="18">
        <v>45603</v>
      </c>
      <c r="H5" s="17" t="s">
        <v>74</v>
      </c>
      <c r="I5" s="17" t="s">
        <v>85</v>
      </c>
      <c r="J5" s="17">
        <v>129</v>
      </c>
      <c r="K5" s="17">
        <v>643</v>
      </c>
      <c r="L5" s="17">
        <v>136</v>
      </c>
      <c r="M5" s="17">
        <v>1290</v>
      </c>
      <c r="N5" s="17">
        <v>839</v>
      </c>
      <c r="O5" s="17">
        <v>238</v>
      </c>
      <c r="P5" s="17" t="s">
        <v>30</v>
      </c>
      <c r="Q5" s="17"/>
      <c r="R5" s="17"/>
      <c r="S5" s="17" t="s">
        <v>38</v>
      </c>
      <c r="T5" s="19">
        <f>(Table1_2[[#This Row],[Likes]]+Table1_2[[#This Row],[Shares]]+Table1_2[[#This Row],[Comments]])/Table1_2[[#This Row],[Impressions]]</f>
        <v>0.15105033277870217</v>
      </c>
    </row>
    <row r="6" spans="1:20" x14ac:dyDescent="0.3">
      <c r="A6" s="10" t="s">
        <v>14</v>
      </c>
      <c r="B6" s="8">
        <v>0.14368407434207892</v>
      </c>
      <c r="E6" s="14" t="s">
        <v>372</v>
      </c>
      <c r="F6" s="14" t="s">
        <v>33</v>
      </c>
      <c r="G6" s="15">
        <v>45674</v>
      </c>
      <c r="H6" s="14" t="s">
        <v>16</v>
      </c>
      <c r="I6" s="14" t="s">
        <v>82</v>
      </c>
      <c r="J6" s="14">
        <v>142</v>
      </c>
      <c r="K6" s="14">
        <v>784</v>
      </c>
      <c r="L6" s="14">
        <v>183</v>
      </c>
      <c r="M6" s="14">
        <v>1704</v>
      </c>
      <c r="N6" s="14">
        <v>995</v>
      </c>
      <c r="O6" s="14">
        <v>154</v>
      </c>
      <c r="P6" s="14" t="s">
        <v>62</v>
      </c>
      <c r="Q6" s="14"/>
      <c r="R6" s="14"/>
      <c r="S6" s="14" t="s">
        <v>38</v>
      </c>
      <c r="T6" s="16">
        <f>(Table1_2[[#This Row],[Likes]]+Table1_2[[#This Row],[Shares]]+Table1_2[[#This Row],[Comments]])/Table1_2[[#This Row],[Impressions]]</f>
        <v>6.5617093055946027E-2</v>
      </c>
    </row>
    <row r="7" spans="1:20" x14ac:dyDescent="0.3">
      <c r="A7" s="10" t="s">
        <v>27</v>
      </c>
      <c r="B7" s="8">
        <v>0.13118493770753806</v>
      </c>
      <c r="E7" s="17" t="s">
        <v>178</v>
      </c>
      <c r="F7" s="17" t="s">
        <v>14</v>
      </c>
      <c r="G7" s="18">
        <v>45618</v>
      </c>
      <c r="H7" s="17" t="s">
        <v>45</v>
      </c>
      <c r="I7" s="17" t="s">
        <v>49</v>
      </c>
      <c r="J7" s="17">
        <v>53</v>
      </c>
      <c r="K7" s="17">
        <v>81</v>
      </c>
      <c r="L7" s="17">
        <v>379</v>
      </c>
      <c r="M7" s="17">
        <v>954</v>
      </c>
      <c r="N7" s="17">
        <v>7</v>
      </c>
      <c r="O7" s="17">
        <v>148</v>
      </c>
      <c r="P7" s="17" t="s">
        <v>30</v>
      </c>
      <c r="Q7" s="17"/>
      <c r="R7" s="17"/>
      <c r="S7" s="17" t="s">
        <v>31</v>
      </c>
      <c r="T7" s="19">
        <f>(Table1_2[[#This Row],[Likes]]+Table1_2[[#This Row],[Shares]]+Table1_2[[#This Row],[Comments]])/Table1_2[[#This Row],[Impressions]]</f>
        <v>0.17954159592529711</v>
      </c>
    </row>
    <row r="8" spans="1:20" x14ac:dyDescent="0.3">
      <c r="A8" s="10" t="s">
        <v>625</v>
      </c>
      <c r="B8" s="8">
        <v>0.14828272479852853</v>
      </c>
      <c r="E8" s="14" t="s">
        <v>511</v>
      </c>
      <c r="F8" s="14" t="s">
        <v>14</v>
      </c>
      <c r="G8" s="15">
        <v>45687</v>
      </c>
      <c r="H8" s="14" t="s">
        <v>52</v>
      </c>
      <c r="I8" s="14" t="s">
        <v>132</v>
      </c>
      <c r="J8" s="14">
        <v>59</v>
      </c>
      <c r="K8" s="14">
        <v>163</v>
      </c>
      <c r="L8" s="14">
        <v>93</v>
      </c>
      <c r="M8" s="14">
        <v>590</v>
      </c>
      <c r="N8" s="14">
        <v>475</v>
      </c>
      <c r="O8" s="14">
        <v>293</v>
      </c>
      <c r="P8" s="14" t="s">
        <v>30</v>
      </c>
      <c r="Q8" s="14"/>
      <c r="R8" s="14"/>
      <c r="S8" s="14" t="s">
        <v>25</v>
      </c>
      <c r="T8" s="16">
        <f>(Table1_2[[#This Row],[Likes]]+Table1_2[[#This Row],[Shares]]+Table1_2[[#This Row],[Comments]])/Table1_2[[#This Row],[Impressions]]</f>
        <v>7.0272020725388601E-2</v>
      </c>
    </row>
    <row r="9" spans="1:20" x14ac:dyDescent="0.3">
      <c r="E9" s="17" t="s">
        <v>320</v>
      </c>
      <c r="F9" s="17" t="s">
        <v>27</v>
      </c>
      <c r="G9" s="18">
        <v>45567</v>
      </c>
      <c r="H9" s="17" t="s">
        <v>45</v>
      </c>
      <c r="I9" s="17" t="s">
        <v>68</v>
      </c>
      <c r="J9" s="17">
        <v>80</v>
      </c>
      <c r="K9" s="17">
        <v>362</v>
      </c>
      <c r="L9" s="17">
        <v>80</v>
      </c>
      <c r="M9" s="17">
        <v>1040</v>
      </c>
      <c r="N9" s="17">
        <v>349</v>
      </c>
      <c r="O9" s="17">
        <v>117</v>
      </c>
      <c r="P9" s="17" t="s">
        <v>30</v>
      </c>
      <c r="Q9" s="17"/>
      <c r="R9" s="17"/>
      <c r="S9" s="17" t="s">
        <v>31</v>
      </c>
      <c r="T9" s="19">
        <f>(Table1_2[[#This Row],[Likes]]+Table1_2[[#This Row],[Shares]]+Table1_2[[#This Row],[Comments]])/Table1_2[[#This Row],[Impressions]]</f>
        <v>0.10340359564080613</v>
      </c>
    </row>
    <row r="10" spans="1:20" x14ac:dyDescent="0.3">
      <c r="E10" s="14" t="s">
        <v>428</v>
      </c>
      <c r="F10" s="14" t="s">
        <v>27</v>
      </c>
      <c r="G10" s="15">
        <v>45707</v>
      </c>
      <c r="H10" s="14" t="s">
        <v>52</v>
      </c>
      <c r="I10" s="14" t="s">
        <v>53</v>
      </c>
      <c r="J10" s="14">
        <v>257</v>
      </c>
      <c r="K10" s="14">
        <v>966</v>
      </c>
      <c r="L10" s="14">
        <v>398</v>
      </c>
      <c r="M10" s="14">
        <v>3341</v>
      </c>
      <c r="N10" s="14">
        <v>2753</v>
      </c>
      <c r="O10" s="14">
        <v>287</v>
      </c>
      <c r="P10" s="14" t="s">
        <v>62</v>
      </c>
      <c r="Q10" s="14"/>
      <c r="R10" s="14"/>
      <c r="S10" s="14" t="s">
        <v>19</v>
      </c>
      <c r="T10" s="16">
        <f>(Table1_2[[#This Row],[Likes]]+Table1_2[[#This Row],[Shares]]+Table1_2[[#This Row],[Comments]])/Table1_2[[#This Row],[Impressions]]</f>
        <v>8.8019732205778717E-2</v>
      </c>
    </row>
    <row r="11" spans="1:20" x14ac:dyDescent="0.3">
      <c r="E11" s="17" t="s">
        <v>192</v>
      </c>
      <c r="F11" s="17" t="s">
        <v>43</v>
      </c>
      <c r="G11" s="18">
        <v>45749</v>
      </c>
      <c r="H11" s="17" t="s">
        <v>74</v>
      </c>
      <c r="I11" s="17" t="s">
        <v>75</v>
      </c>
      <c r="J11" s="17">
        <v>199</v>
      </c>
      <c r="K11" s="17">
        <v>772</v>
      </c>
      <c r="L11" s="17">
        <v>400</v>
      </c>
      <c r="M11" s="17">
        <v>3582</v>
      </c>
      <c r="N11" s="17">
        <v>2988</v>
      </c>
      <c r="O11" s="17">
        <v>43</v>
      </c>
      <c r="P11" s="17" t="s">
        <v>30</v>
      </c>
      <c r="Q11" s="17"/>
      <c r="R11" s="17"/>
      <c r="S11" s="17" t="s">
        <v>25</v>
      </c>
      <c r="T11" s="19">
        <f>(Table1_2[[#This Row],[Likes]]+Table1_2[[#This Row],[Shares]]+Table1_2[[#This Row],[Comments]])/Table1_2[[#This Row],[Impressions]]</f>
        <v>7.198635172059864E-2</v>
      </c>
    </row>
    <row r="14" spans="1:20" x14ac:dyDescent="0.3">
      <c r="B14" s="9" t="s">
        <v>627</v>
      </c>
      <c r="G14"/>
    </row>
    <row r="15" spans="1:20" x14ac:dyDescent="0.3">
      <c r="B15" s="26" t="s">
        <v>43</v>
      </c>
      <c r="C15" s="27"/>
      <c r="D15" s="27"/>
      <c r="E15" s="26" t="s">
        <v>33</v>
      </c>
      <c r="F15" s="27"/>
      <c r="G15" s="27"/>
      <c r="H15" s="26" t="s">
        <v>14</v>
      </c>
      <c r="I15" s="27"/>
      <c r="J15" s="27"/>
      <c r="K15" s="26" t="s">
        <v>27</v>
      </c>
      <c r="L15" s="27"/>
      <c r="M15" s="28"/>
      <c r="N15" t="s">
        <v>629</v>
      </c>
      <c r="O15" t="s">
        <v>630</v>
      </c>
      <c r="P15" t="s">
        <v>632</v>
      </c>
    </row>
    <row r="16" spans="1:20" x14ac:dyDescent="0.3">
      <c r="A16" s="21" t="s">
        <v>624</v>
      </c>
      <c r="B16" s="20" t="s">
        <v>628</v>
      </c>
      <c r="C16" s="20" t="s">
        <v>631</v>
      </c>
      <c r="D16" t="s">
        <v>633</v>
      </c>
      <c r="E16" s="23" t="s">
        <v>628</v>
      </c>
      <c r="F16" s="20" t="s">
        <v>631</v>
      </c>
      <c r="G16" s="20" t="s">
        <v>633</v>
      </c>
      <c r="H16" t="s">
        <v>628</v>
      </c>
      <c r="I16" s="24" t="s">
        <v>631</v>
      </c>
      <c r="J16" s="24" t="s">
        <v>633</v>
      </c>
      <c r="K16" s="24" t="s">
        <v>628</v>
      </c>
      <c r="L16" s="23" t="s">
        <v>631</v>
      </c>
      <c r="M16" s="20" t="s">
        <v>633</v>
      </c>
    </row>
    <row r="17" spans="1:16" x14ac:dyDescent="0.3">
      <c r="A17" s="22" t="s">
        <v>45</v>
      </c>
      <c r="B17" s="20">
        <v>44476</v>
      </c>
      <c r="C17" s="20">
        <v>7400</v>
      </c>
      <c r="D17" s="20">
        <v>4589</v>
      </c>
      <c r="E17" s="20">
        <v>43948</v>
      </c>
      <c r="F17" s="20">
        <v>6975</v>
      </c>
      <c r="G17" s="20">
        <v>3890</v>
      </c>
      <c r="H17">
        <v>48649</v>
      </c>
      <c r="I17" s="24">
        <v>5791</v>
      </c>
      <c r="J17" s="24">
        <v>3607</v>
      </c>
      <c r="K17" s="24">
        <v>24926</v>
      </c>
      <c r="L17" s="23">
        <v>6305</v>
      </c>
      <c r="M17" s="20">
        <v>2422</v>
      </c>
      <c r="N17">
        <v>161999</v>
      </c>
      <c r="O17">
        <v>26471</v>
      </c>
      <c r="P17">
        <v>14508</v>
      </c>
    </row>
    <row r="18" spans="1:16" x14ac:dyDescent="0.3">
      <c r="A18" s="22" t="s">
        <v>52</v>
      </c>
      <c r="B18" s="20">
        <v>71602</v>
      </c>
      <c r="C18" s="20">
        <v>12904</v>
      </c>
      <c r="D18" s="20">
        <v>6495</v>
      </c>
      <c r="E18" s="20">
        <v>34202</v>
      </c>
      <c r="F18" s="20">
        <v>5286</v>
      </c>
      <c r="G18" s="20">
        <v>2655</v>
      </c>
      <c r="H18">
        <v>43761</v>
      </c>
      <c r="I18" s="24">
        <v>7110</v>
      </c>
      <c r="J18" s="24">
        <v>5125</v>
      </c>
      <c r="K18" s="24">
        <v>23903</v>
      </c>
      <c r="L18" s="23">
        <v>4310</v>
      </c>
      <c r="M18" s="20">
        <v>2077</v>
      </c>
      <c r="N18">
        <v>173468</v>
      </c>
      <c r="O18">
        <v>29610</v>
      </c>
      <c r="P18">
        <v>16352</v>
      </c>
    </row>
    <row r="19" spans="1:16" x14ac:dyDescent="0.3">
      <c r="A19" s="22" t="s">
        <v>16</v>
      </c>
      <c r="B19" s="20">
        <v>36368</v>
      </c>
      <c r="C19" s="20">
        <v>5964</v>
      </c>
      <c r="D19" s="20">
        <v>3353</v>
      </c>
      <c r="E19" s="20">
        <v>32148</v>
      </c>
      <c r="F19" s="20">
        <v>8110</v>
      </c>
      <c r="G19" s="20">
        <v>3386</v>
      </c>
      <c r="H19">
        <v>27029</v>
      </c>
      <c r="I19" s="24">
        <v>4550</v>
      </c>
      <c r="J19" s="24">
        <v>1913</v>
      </c>
      <c r="K19" s="24">
        <v>32400</v>
      </c>
      <c r="L19" s="23">
        <v>4577</v>
      </c>
      <c r="M19" s="20">
        <v>2668</v>
      </c>
      <c r="N19">
        <v>127945</v>
      </c>
      <c r="O19">
        <v>23201</v>
      </c>
      <c r="P19">
        <v>11320</v>
      </c>
    </row>
    <row r="20" spans="1:16" x14ac:dyDescent="0.3">
      <c r="A20" s="22" t="s">
        <v>35</v>
      </c>
      <c r="B20" s="20">
        <v>29405</v>
      </c>
      <c r="C20" s="20">
        <v>4950</v>
      </c>
      <c r="D20" s="20">
        <v>3223</v>
      </c>
      <c r="E20" s="20">
        <v>42649</v>
      </c>
      <c r="F20" s="20">
        <v>10049</v>
      </c>
      <c r="G20" s="20">
        <v>3846</v>
      </c>
      <c r="H20">
        <v>20466</v>
      </c>
      <c r="I20" s="24">
        <v>5090</v>
      </c>
      <c r="J20" s="24">
        <v>3026</v>
      </c>
      <c r="K20" s="24">
        <v>31968</v>
      </c>
      <c r="L20" s="23">
        <v>3866</v>
      </c>
      <c r="M20" s="20">
        <v>2012</v>
      </c>
      <c r="N20">
        <v>124488</v>
      </c>
      <c r="O20">
        <v>23955</v>
      </c>
      <c r="P20">
        <v>12107</v>
      </c>
    </row>
    <row r="21" spans="1:16" x14ac:dyDescent="0.3">
      <c r="A21" s="22" t="s">
        <v>22</v>
      </c>
      <c r="B21" s="20">
        <v>31963</v>
      </c>
      <c r="C21" s="20">
        <v>4792</v>
      </c>
      <c r="D21" s="20">
        <v>3377</v>
      </c>
      <c r="E21" s="20">
        <v>25567</v>
      </c>
      <c r="F21" s="20">
        <v>5112</v>
      </c>
      <c r="G21" s="20">
        <v>1946</v>
      </c>
      <c r="H21">
        <v>31899</v>
      </c>
      <c r="I21" s="24">
        <v>4861</v>
      </c>
      <c r="J21" s="24">
        <v>3910</v>
      </c>
      <c r="K21" s="24">
        <v>27067</v>
      </c>
      <c r="L21" s="23">
        <v>3928</v>
      </c>
      <c r="M21" s="20">
        <v>1052</v>
      </c>
      <c r="N21">
        <v>116496</v>
      </c>
      <c r="O21">
        <v>18693</v>
      </c>
      <c r="P21">
        <v>10285</v>
      </c>
    </row>
    <row r="22" spans="1:16" x14ac:dyDescent="0.3">
      <c r="A22" s="22" t="s">
        <v>74</v>
      </c>
      <c r="B22" s="20">
        <v>28947</v>
      </c>
      <c r="C22" s="20">
        <v>3171</v>
      </c>
      <c r="D22" s="20">
        <v>2263</v>
      </c>
      <c r="E22" s="20">
        <v>25770</v>
      </c>
      <c r="F22" s="20">
        <v>5912</v>
      </c>
      <c r="G22" s="20">
        <v>2128</v>
      </c>
      <c r="H22">
        <v>29593</v>
      </c>
      <c r="I22" s="24">
        <v>6326</v>
      </c>
      <c r="J22" s="24">
        <v>3299</v>
      </c>
      <c r="K22" s="24">
        <v>31285</v>
      </c>
      <c r="L22" s="23">
        <v>5586</v>
      </c>
      <c r="M22" s="20">
        <v>2589</v>
      </c>
      <c r="N22">
        <v>115595</v>
      </c>
      <c r="O22">
        <v>20995</v>
      </c>
      <c r="P22">
        <v>10279</v>
      </c>
    </row>
    <row r="23" spans="1:16" x14ac:dyDescent="0.3">
      <c r="A23" s="10" t="s">
        <v>625</v>
      </c>
      <c r="B23">
        <v>242761</v>
      </c>
      <c r="C23">
        <v>39181</v>
      </c>
      <c r="D23">
        <v>23300</v>
      </c>
      <c r="E23">
        <v>204284</v>
      </c>
      <c r="F23">
        <v>41444</v>
      </c>
      <c r="G23">
        <v>17851</v>
      </c>
      <c r="H23">
        <v>201397</v>
      </c>
      <c r="I23">
        <v>33728</v>
      </c>
      <c r="J23">
        <v>20880</v>
      </c>
      <c r="K23">
        <v>171549</v>
      </c>
      <c r="L23">
        <v>28572</v>
      </c>
      <c r="M23">
        <v>12820</v>
      </c>
      <c r="N23">
        <v>819991</v>
      </c>
      <c r="O23">
        <v>142925</v>
      </c>
      <c r="P23">
        <v>74851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365C04-49CF-48EF-AADA-7B9CF88ACFC9}">
  <dimension ref="A1:Q301"/>
  <sheetViews>
    <sheetView topLeftCell="E274" workbookViewId="0">
      <selection activeCell="E1" sqref="A1:P301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5.441406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18.109375" bestFit="1" customWidth="1"/>
    <col min="18" max="18" width="11.44140625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t="s">
        <v>617</v>
      </c>
    </row>
    <row r="2" spans="1:17" x14ac:dyDescent="0.3">
      <c r="A2" t="s">
        <v>13</v>
      </c>
      <c r="B2" t="s">
        <v>14</v>
      </c>
      <c r="C2" s="6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  <c r="Q2" s="8"/>
    </row>
    <row r="3" spans="1:17" x14ac:dyDescent="0.3">
      <c r="A3" t="s">
        <v>20</v>
      </c>
      <c r="B3" t="s">
        <v>14</v>
      </c>
      <c r="C3" s="6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  <c r="Q3" s="8"/>
    </row>
    <row r="4" spans="1:17" x14ac:dyDescent="0.3">
      <c r="A4" t="s">
        <v>26</v>
      </c>
      <c r="B4" t="s">
        <v>27</v>
      </c>
      <c r="C4" s="6">
        <v>45789</v>
      </c>
      <c r="D4" t="s">
        <v>16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O4" t="s">
        <v>31</v>
      </c>
      <c r="P4" t="s">
        <v>31</v>
      </c>
      <c r="Q4" s="8"/>
    </row>
    <row r="5" spans="1:17" x14ac:dyDescent="0.3">
      <c r="A5" t="s">
        <v>32</v>
      </c>
      <c r="B5" t="s">
        <v>33</v>
      </c>
      <c r="C5" s="6">
        <v>45516</v>
      </c>
      <c r="D5" t="s">
        <v>35</v>
      </c>
      <c r="E5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37</v>
      </c>
      <c r="O5" t="s">
        <v>38</v>
      </c>
      <c r="P5" t="s">
        <v>38</v>
      </c>
      <c r="Q5" s="8"/>
    </row>
    <row r="6" spans="1:17" x14ac:dyDescent="0.3">
      <c r="A6" t="s">
        <v>39</v>
      </c>
      <c r="B6" t="s">
        <v>27</v>
      </c>
      <c r="C6" s="6">
        <v>45469</v>
      </c>
      <c r="D6" t="s">
        <v>16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O6" t="s">
        <v>19</v>
      </c>
      <c r="P6" t="s">
        <v>19</v>
      </c>
      <c r="Q6" s="8"/>
    </row>
    <row r="7" spans="1:17" x14ac:dyDescent="0.3">
      <c r="A7" t="s">
        <v>42</v>
      </c>
      <c r="B7" t="s">
        <v>43</v>
      </c>
      <c r="C7" s="6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  <c r="P7" t="s">
        <v>25</v>
      </c>
      <c r="Q7" s="8"/>
    </row>
    <row r="8" spans="1:17" x14ac:dyDescent="0.3">
      <c r="A8" t="s">
        <v>47</v>
      </c>
      <c r="B8" t="s">
        <v>14</v>
      </c>
      <c r="C8" s="6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  <c r="P8" t="s">
        <v>25</v>
      </c>
      <c r="Q8" s="8"/>
    </row>
    <row r="9" spans="1:17" x14ac:dyDescent="0.3">
      <c r="A9" t="s">
        <v>50</v>
      </c>
      <c r="B9" t="s">
        <v>27</v>
      </c>
      <c r="C9" s="6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  <c r="P9" t="s">
        <v>38</v>
      </c>
      <c r="Q9" s="8"/>
    </row>
    <row r="10" spans="1:17" x14ac:dyDescent="0.3">
      <c r="A10" t="s">
        <v>54</v>
      </c>
      <c r="B10" t="s">
        <v>43</v>
      </c>
      <c r="C10" s="6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  <c r="Q10" s="8"/>
    </row>
    <row r="11" spans="1:17" x14ac:dyDescent="0.3">
      <c r="A11" t="s">
        <v>57</v>
      </c>
      <c r="B11" t="s">
        <v>43</v>
      </c>
      <c r="C11" s="6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  <c r="Q11" s="8"/>
    </row>
    <row r="12" spans="1:17" x14ac:dyDescent="0.3">
      <c r="A12" t="s">
        <v>60</v>
      </c>
      <c r="B12" t="s">
        <v>33</v>
      </c>
      <c r="C12" s="6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  <c r="Q12" s="8"/>
    </row>
    <row r="13" spans="1:17" x14ac:dyDescent="0.3">
      <c r="A13" t="s">
        <v>63</v>
      </c>
      <c r="B13" t="s">
        <v>43</v>
      </c>
      <c r="C13" s="6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  <c r="Q13" s="8"/>
    </row>
    <row r="14" spans="1:17" x14ac:dyDescent="0.3">
      <c r="A14" t="s">
        <v>66</v>
      </c>
      <c r="B14" t="s">
        <v>27</v>
      </c>
      <c r="C14" s="6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  <c r="Q14" s="8"/>
    </row>
    <row r="15" spans="1:17" x14ac:dyDescent="0.3">
      <c r="A15" t="s">
        <v>69</v>
      </c>
      <c r="B15" t="s">
        <v>43</v>
      </c>
      <c r="C15" s="6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  <c r="Q15" s="8"/>
    </row>
    <row r="16" spans="1:17" x14ac:dyDescent="0.3">
      <c r="A16" t="s">
        <v>72</v>
      </c>
      <c r="B16" t="s">
        <v>43</v>
      </c>
      <c r="C16" s="6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  <c r="Q16" s="8"/>
    </row>
    <row r="17" spans="1:17" x14ac:dyDescent="0.3">
      <c r="A17" t="s">
        <v>76</v>
      </c>
      <c r="B17" t="s">
        <v>43</v>
      </c>
      <c r="C17" s="6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  <c r="Q17" s="8"/>
    </row>
    <row r="18" spans="1:17" x14ac:dyDescent="0.3">
      <c r="A18" t="s">
        <v>78</v>
      </c>
      <c r="B18" t="s">
        <v>43</v>
      </c>
      <c r="C18" s="6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  <c r="Q18" s="8"/>
    </row>
    <row r="19" spans="1:17" x14ac:dyDescent="0.3">
      <c r="A19" t="s">
        <v>80</v>
      </c>
      <c r="B19" t="s">
        <v>33</v>
      </c>
      <c r="C19" s="6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  <c r="Q19" s="8"/>
    </row>
    <row r="20" spans="1:17" x14ac:dyDescent="0.3">
      <c r="A20" t="s">
        <v>83</v>
      </c>
      <c r="B20" t="s">
        <v>33</v>
      </c>
      <c r="C20" s="6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  <c r="Q20" s="8"/>
    </row>
    <row r="21" spans="1:17" x14ac:dyDescent="0.3">
      <c r="A21" t="s">
        <v>86</v>
      </c>
      <c r="B21" t="s">
        <v>33</v>
      </c>
      <c r="C21" s="6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  <c r="Q21" s="8"/>
    </row>
    <row r="22" spans="1:17" x14ac:dyDescent="0.3">
      <c r="A22" t="s">
        <v>89</v>
      </c>
      <c r="B22" t="s">
        <v>33</v>
      </c>
      <c r="C22" s="6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  <c r="Q22" s="8"/>
    </row>
    <row r="23" spans="1:17" x14ac:dyDescent="0.3">
      <c r="A23" t="s">
        <v>91</v>
      </c>
      <c r="B23" t="s">
        <v>43</v>
      </c>
      <c r="C23" s="6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  <c r="Q23" s="8"/>
    </row>
    <row r="24" spans="1:17" x14ac:dyDescent="0.3">
      <c r="A24" t="s">
        <v>93</v>
      </c>
      <c r="B24" t="s">
        <v>43</v>
      </c>
      <c r="C24" s="6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  <c r="Q24" s="8"/>
    </row>
    <row r="25" spans="1:17" x14ac:dyDescent="0.3">
      <c r="A25" t="s">
        <v>96</v>
      </c>
      <c r="B25" t="s">
        <v>43</v>
      </c>
      <c r="C25" s="6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  <c r="Q25" s="8"/>
    </row>
    <row r="26" spans="1:17" x14ac:dyDescent="0.3">
      <c r="A26" t="s">
        <v>98</v>
      </c>
      <c r="B26" t="s">
        <v>14</v>
      </c>
      <c r="C26" s="6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  <c r="Q26" s="8"/>
    </row>
    <row r="27" spans="1:17" x14ac:dyDescent="0.3">
      <c r="A27" t="s">
        <v>100</v>
      </c>
      <c r="B27" t="s">
        <v>27</v>
      </c>
      <c r="C27" s="6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  <c r="Q27" s="8"/>
    </row>
    <row r="28" spans="1:17" x14ac:dyDescent="0.3">
      <c r="A28" t="s">
        <v>102</v>
      </c>
      <c r="B28" t="s">
        <v>27</v>
      </c>
      <c r="C28" s="6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  <c r="Q28" s="8"/>
    </row>
    <row r="29" spans="1:17" x14ac:dyDescent="0.3">
      <c r="A29" t="s">
        <v>105</v>
      </c>
      <c r="B29" t="s">
        <v>33</v>
      </c>
      <c r="C29" s="6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  <c r="Q29" s="8"/>
    </row>
    <row r="30" spans="1:17" x14ac:dyDescent="0.3">
      <c r="A30" t="s">
        <v>107</v>
      </c>
      <c r="B30" t="s">
        <v>33</v>
      </c>
      <c r="C30" s="6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  <c r="Q30" s="8"/>
    </row>
    <row r="31" spans="1:17" x14ac:dyDescent="0.3">
      <c r="A31" t="s">
        <v>109</v>
      </c>
      <c r="B31" t="s">
        <v>33</v>
      </c>
      <c r="C31" s="6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  <c r="Q31" s="8"/>
    </row>
    <row r="32" spans="1:17" x14ac:dyDescent="0.3">
      <c r="A32" t="s">
        <v>111</v>
      </c>
      <c r="B32" t="s">
        <v>33</v>
      </c>
      <c r="C32" s="6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  <c r="Q32" s="8"/>
    </row>
    <row r="33" spans="1:17" x14ac:dyDescent="0.3">
      <c r="A33" t="s">
        <v>114</v>
      </c>
      <c r="B33" t="s">
        <v>14</v>
      </c>
      <c r="C33" s="6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  <c r="Q33" s="8"/>
    </row>
    <row r="34" spans="1:17" x14ac:dyDescent="0.3">
      <c r="A34" t="s">
        <v>116</v>
      </c>
      <c r="B34" t="s">
        <v>43</v>
      </c>
      <c r="C34" s="6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  <c r="Q34" s="8"/>
    </row>
    <row r="35" spans="1:17" x14ac:dyDescent="0.3">
      <c r="A35" t="s">
        <v>118</v>
      </c>
      <c r="B35" t="s">
        <v>43</v>
      </c>
      <c r="C35" s="6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  <c r="Q35" s="8"/>
    </row>
    <row r="36" spans="1:17" x14ac:dyDescent="0.3">
      <c r="A36" t="s">
        <v>120</v>
      </c>
      <c r="B36" t="s">
        <v>33</v>
      </c>
      <c r="C36" s="6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  <c r="Q36" s="8"/>
    </row>
    <row r="37" spans="1:17" x14ac:dyDescent="0.3">
      <c r="A37" t="s">
        <v>122</v>
      </c>
      <c r="B37" t="s">
        <v>33</v>
      </c>
      <c r="C37" s="6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  <c r="Q37" s="8"/>
    </row>
    <row r="38" spans="1:17" x14ac:dyDescent="0.3">
      <c r="A38" t="s">
        <v>124</v>
      </c>
      <c r="B38" t="s">
        <v>43</v>
      </c>
      <c r="C38" s="6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  <c r="Q38" s="8"/>
    </row>
    <row r="39" spans="1:17" x14ac:dyDescent="0.3">
      <c r="A39" t="s">
        <v>126</v>
      </c>
      <c r="B39" t="s">
        <v>27</v>
      </c>
      <c r="C39" s="6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  <c r="Q39" s="8"/>
    </row>
    <row r="40" spans="1:17" x14ac:dyDescent="0.3">
      <c r="A40" t="s">
        <v>128</v>
      </c>
      <c r="B40" t="s">
        <v>43</v>
      </c>
      <c r="C40" s="6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  <c r="Q40" s="8"/>
    </row>
    <row r="41" spans="1:17" x14ac:dyDescent="0.3">
      <c r="A41" t="s">
        <v>130</v>
      </c>
      <c r="B41" t="s">
        <v>14</v>
      </c>
      <c r="C41" s="6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  <c r="Q41" s="8"/>
    </row>
    <row r="42" spans="1:17" x14ac:dyDescent="0.3">
      <c r="A42" t="s">
        <v>133</v>
      </c>
      <c r="B42" t="s">
        <v>33</v>
      </c>
      <c r="C42" s="6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  <c r="Q42" s="8"/>
    </row>
    <row r="43" spans="1:17" x14ac:dyDescent="0.3">
      <c r="A43" t="s">
        <v>135</v>
      </c>
      <c r="B43" t="s">
        <v>27</v>
      </c>
      <c r="C43" s="6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  <c r="Q43" s="8"/>
    </row>
    <row r="44" spans="1:17" x14ac:dyDescent="0.3">
      <c r="A44" t="s">
        <v>137</v>
      </c>
      <c r="B44" t="s">
        <v>33</v>
      </c>
      <c r="C44" s="6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  <c r="Q44" s="8"/>
    </row>
    <row r="45" spans="1:17" x14ac:dyDescent="0.3">
      <c r="A45" t="s">
        <v>139</v>
      </c>
      <c r="B45" t="s">
        <v>14</v>
      </c>
      <c r="C45" s="6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  <c r="Q45" s="8"/>
    </row>
    <row r="46" spans="1:17" x14ac:dyDescent="0.3">
      <c r="A46" t="s">
        <v>141</v>
      </c>
      <c r="B46" t="s">
        <v>43</v>
      </c>
      <c r="C46" s="6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  <c r="Q46" s="8"/>
    </row>
    <row r="47" spans="1:17" x14ac:dyDescent="0.3">
      <c r="A47" t="s">
        <v>143</v>
      </c>
      <c r="B47" t="s">
        <v>14</v>
      </c>
      <c r="C47" s="6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  <c r="Q47" s="8"/>
    </row>
    <row r="48" spans="1:17" x14ac:dyDescent="0.3">
      <c r="A48" t="s">
        <v>146</v>
      </c>
      <c r="B48" t="s">
        <v>14</v>
      </c>
      <c r="C48" s="6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  <c r="Q48" s="8"/>
    </row>
    <row r="49" spans="1:17" x14ac:dyDescent="0.3">
      <c r="A49" t="s">
        <v>148</v>
      </c>
      <c r="B49" t="s">
        <v>14</v>
      </c>
      <c r="C49" s="6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  <c r="Q49" s="8"/>
    </row>
    <row r="50" spans="1:17" x14ac:dyDescent="0.3">
      <c r="A50" t="s">
        <v>150</v>
      </c>
      <c r="B50" t="s">
        <v>14</v>
      </c>
      <c r="C50" s="6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  <c r="Q50" s="8"/>
    </row>
    <row r="51" spans="1:17" x14ac:dyDescent="0.3">
      <c r="A51" t="s">
        <v>152</v>
      </c>
      <c r="B51" t="s">
        <v>27</v>
      </c>
      <c r="C51" s="6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  <c r="Q51" s="8"/>
    </row>
    <row r="52" spans="1:17" x14ac:dyDescent="0.3">
      <c r="A52" t="s">
        <v>155</v>
      </c>
      <c r="B52" t="s">
        <v>43</v>
      </c>
      <c r="C52" s="6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  <c r="Q52" s="8"/>
    </row>
    <row r="53" spans="1:17" x14ac:dyDescent="0.3">
      <c r="A53" t="s">
        <v>157</v>
      </c>
      <c r="B53" t="s">
        <v>43</v>
      </c>
      <c r="C53" s="6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  <c r="Q53" s="8"/>
    </row>
    <row r="54" spans="1:17" x14ac:dyDescent="0.3">
      <c r="A54" t="s">
        <v>159</v>
      </c>
      <c r="B54" t="s">
        <v>27</v>
      </c>
      <c r="C54" s="6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  <c r="Q54" s="8"/>
    </row>
    <row r="55" spans="1:17" x14ac:dyDescent="0.3">
      <c r="A55" t="s">
        <v>161</v>
      </c>
      <c r="B55" t="s">
        <v>27</v>
      </c>
      <c r="C55" s="6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  <c r="Q55" s="8"/>
    </row>
    <row r="56" spans="1:17" x14ac:dyDescent="0.3">
      <c r="A56" t="s">
        <v>163</v>
      </c>
      <c r="B56" t="s">
        <v>43</v>
      </c>
      <c r="C56" s="6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  <c r="Q56" s="8"/>
    </row>
    <row r="57" spans="1:17" x14ac:dyDescent="0.3">
      <c r="A57" t="s">
        <v>165</v>
      </c>
      <c r="B57" t="s">
        <v>43</v>
      </c>
      <c r="C57" s="6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  <c r="Q57" s="8"/>
    </row>
    <row r="58" spans="1:17" x14ac:dyDescent="0.3">
      <c r="A58" t="s">
        <v>167</v>
      </c>
      <c r="B58" t="s">
        <v>14</v>
      </c>
      <c r="C58" s="6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  <c r="Q58" s="8"/>
    </row>
    <row r="59" spans="1:17" x14ac:dyDescent="0.3">
      <c r="A59" t="s">
        <v>169</v>
      </c>
      <c r="B59" t="s">
        <v>33</v>
      </c>
      <c r="C59" s="6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  <c r="Q59" s="8"/>
    </row>
    <row r="60" spans="1:17" x14ac:dyDescent="0.3">
      <c r="A60" t="s">
        <v>171</v>
      </c>
      <c r="B60" t="s">
        <v>33</v>
      </c>
      <c r="C60" s="6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  <c r="Q60" s="8"/>
    </row>
    <row r="61" spans="1:17" x14ac:dyDescent="0.3">
      <c r="A61" t="s">
        <v>173</v>
      </c>
      <c r="B61" t="s">
        <v>33</v>
      </c>
      <c r="C61" s="6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s="8"/>
    </row>
    <row r="62" spans="1:17" x14ac:dyDescent="0.3">
      <c r="A62" t="s">
        <v>176</v>
      </c>
      <c r="B62" t="s">
        <v>14</v>
      </c>
      <c r="C62" s="6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  <c r="Q62" s="8"/>
    </row>
    <row r="63" spans="1:17" x14ac:dyDescent="0.3">
      <c r="A63" t="s">
        <v>178</v>
      </c>
      <c r="B63" t="s">
        <v>14</v>
      </c>
      <c r="C63" s="6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  <c r="Q63" s="8"/>
    </row>
    <row r="64" spans="1:17" x14ac:dyDescent="0.3">
      <c r="A64" t="s">
        <v>180</v>
      </c>
      <c r="B64" t="s">
        <v>14</v>
      </c>
      <c r="C64" s="6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  <c r="Q64" s="8"/>
    </row>
    <row r="65" spans="1:17" x14ac:dyDescent="0.3">
      <c r="A65" t="s">
        <v>181</v>
      </c>
      <c r="B65" t="s">
        <v>43</v>
      </c>
      <c r="C65" s="6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  <c r="Q65" s="8"/>
    </row>
    <row r="66" spans="1:17" x14ac:dyDescent="0.3">
      <c r="A66" t="s">
        <v>183</v>
      </c>
      <c r="B66" t="s">
        <v>33</v>
      </c>
      <c r="C66" s="6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  <c r="Q66" s="8"/>
    </row>
    <row r="67" spans="1:17" x14ac:dyDescent="0.3">
      <c r="A67" t="s">
        <v>185</v>
      </c>
      <c r="B67" t="s">
        <v>14</v>
      </c>
      <c r="C67" s="6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  <c r="Q67" s="8"/>
    </row>
    <row r="68" spans="1:17" x14ac:dyDescent="0.3">
      <c r="A68" t="s">
        <v>187</v>
      </c>
      <c r="B68" t="s">
        <v>43</v>
      </c>
      <c r="C68" s="6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  <c r="Q68" s="8"/>
    </row>
    <row r="69" spans="1:17" x14ac:dyDescent="0.3">
      <c r="A69" t="s">
        <v>189</v>
      </c>
      <c r="B69" t="s">
        <v>33</v>
      </c>
      <c r="C69" s="6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  <c r="Q69" s="8"/>
    </row>
    <row r="70" spans="1:17" x14ac:dyDescent="0.3">
      <c r="A70" t="s">
        <v>191</v>
      </c>
      <c r="B70" t="s">
        <v>14</v>
      </c>
      <c r="C70" s="6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  <c r="Q70" s="8"/>
    </row>
    <row r="71" spans="1:17" x14ac:dyDescent="0.3">
      <c r="A71" t="s">
        <v>192</v>
      </c>
      <c r="B71" t="s">
        <v>43</v>
      </c>
      <c r="C71" s="6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  <c r="Q71" s="8"/>
    </row>
    <row r="72" spans="1:17" x14ac:dyDescent="0.3">
      <c r="A72" t="s">
        <v>194</v>
      </c>
      <c r="B72" t="s">
        <v>27</v>
      </c>
      <c r="C72" s="6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  <c r="Q72" s="8"/>
    </row>
    <row r="73" spans="1:17" x14ac:dyDescent="0.3">
      <c r="A73" t="s">
        <v>196</v>
      </c>
      <c r="B73" t="s">
        <v>27</v>
      </c>
      <c r="C73" s="6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  <c r="Q73" s="8"/>
    </row>
    <row r="74" spans="1:17" x14ac:dyDescent="0.3">
      <c r="A74" t="s">
        <v>198</v>
      </c>
      <c r="B74" t="s">
        <v>43</v>
      </c>
      <c r="C74" s="6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  <c r="Q74" s="8"/>
    </row>
    <row r="75" spans="1:17" x14ac:dyDescent="0.3">
      <c r="A75" t="s">
        <v>200</v>
      </c>
      <c r="B75" t="s">
        <v>27</v>
      </c>
      <c r="C75" s="6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  <c r="Q75" s="8"/>
    </row>
    <row r="76" spans="1:17" x14ac:dyDescent="0.3">
      <c r="A76" t="s">
        <v>202</v>
      </c>
      <c r="B76" t="s">
        <v>33</v>
      </c>
      <c r="C76" s="6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  <c r="Q76" s="8"/>
    </row>
    <row r="77" spans="1:17" x14ac:dyDescent="0.3">
      <c r="A77" t="s">
        <v>204</v>
      </c>
      <c r="B77" t="s">
        <v>14</v>
      </c>
      <c r="C77" s="6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  <c r="Q77" s="8"/>
    </row>
    <row r="78" spans="1:17" x14ac:dyDescent="0.3">
      <c r="A78" t="s">
        <v>206</v>
      </c>
      <c r="B78" t="s">
        <v>43</v>
      </c>
      <c r="C78" s="6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  <c r="Q78" s="8"/>
    </row>
    <row r="79" spans="1:17" x14ac:dyDescent="0.3">
      <c r="A79" t="s">
        <v>207</v>
      </c>
      <c r="B79" t="s">
        <v>14</v>
      </c>
      <c r="C79" s="6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  <c r="Q79" s="8"/>
    </row>
    <row r="80" spans="1:17" x14ac:dyDescent="0.3">
      <c r="A80" t="s">
        <v>208</v>
      </c>
      <c r="B80" t="s">
        <v>33</v>
      </c>
      <c r="C80" s="6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  <c r="Q80" s="8"/>
    </row>
    <row r="81" spans="1:17" x14ac:dyDescent="0.3">
      <c r="A81" t="s">
        <v>210</v>
      </c>
      <c r="B81" t="s">
        <v>33</v>
      </c>
      <c r="C81" s="6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  <c r="Q81" s="8"/>
    </row>
    <row r="82" spans="1:17" x14ac:dyDescent="0.3">
      <c r="A82" t="s">
        <v>211</v>
      </c>
      <c r="B82" t="s">
        <v>33</v>
      </c>
      <c r="C82" s="6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  <c r="Q82" s="8"/>
    </row>
    <row r="83" spans="1:17" x14ac:dyDescent="0.3">
      <c r="A83" t="s">
        <v>213</v>
      </c>
      <c r="B83" t="s">
        <v>33</v>
      </c>
      <c r="C83" s="6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s="8"/>
    </row>
    <row r="84" spans="1:17" x14ac:dyDescent="0.3">
      <c r="A84" t="s">
        <v>217</v>
      </c>
      <c r="B84" t="s">
        <v>27</v>
      </c>
      <c r="C84" s="6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  <c r="Q84" s="8"/>
    </row>
    <row r="85" spans="1:17" x14ac:dyDescent="0.3">
      <c r="A85" t="s">
        <v>220</v>
      </c>
      <c r="B85" t="s">
        <v>43</v>
      </c>
      <c r="C85" s="6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  <c r="Q85" s="8"/>
    </row>
    <row r="86" spans="1:17" x14ac:dyDescent="0.3">
      <c r="A86" t="s">
        <v>222</v>
      </c>
      <c r="B86" t="s">
        <v>33</v>
      </c>
      <c r="C86" s="6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  <c r="Q86" s="8"/>
    </row>
    <row r="87" spans="1:17" x14ac:dyDescent="0.3">
      <c r="A87" t="s">
        <v>223</v>
      </c>
      <c r="B87" t="s">
        <v>27</v>
      </c>
      <c r="C87" s="6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  <c r="Q87" s="8"/>
    </row>
    <row r="88" spans="1:17" x14ac:dyDescent="0.3">
      <c r="A88" t="s">
        <v>225</v>
      </c>
      <c r="B88" t="s">
        <v>14</v>
      </c>
      <c r="C88" s="6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  <c r="Q88" s="8"/>
    </row>
    <row r="89" spans="1:17" x14ac:dyDescent="0.3">
      <c r="A89" t="s">
        <v>227</v>
      </c>
      <c r="B89" t="s">
        <v>43</v>
      </c>
      <c r="C89" s="6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  <c r="Q89" s="8"/>
    </row>
    <row r="90" spans="1:17" x14ac:dyDescent="0.3">
      <c r="A90" t="s">
        <v>229</v>
      </c>
      <c r="B90" t="s">
        <v>14</v>
      </c>
      <c r="C90" s="6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  <c r="Q90" s="8"/>
    </row>
    <row r="91" spans="1:17" x14ac:dyDescent="0.3">
      <c r="A91" t="s">
        <v>231</v>
      </c>
      <c r="B91" t="s">
        <v>33</v>
      </c>
      <c r="C91" s="6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  <c r="Q91" s="8"/>
    </row>
    <row r="92" spans="1:17" x14ac:dyDescent="0.3">
      <c r="A92" t="s">
        <v>233</v>
      </c>
      <c r="B92" t="s">
        <v>43</v>
      </c>
      <c r="C92" s="6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  <c r="Q92" s="8"/>
    </row>
    <row r="93" spans="1:17" x14ac:dyDescent="0.3">
      <c r="A93" t="s">
        <v>235</v>
      </c>
      <c r="B93" t="s">
        <v>14</v>
      </c>
      <c r="C93" s="6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  <c r="Q93" s="8"/>
    </row>
    <row r="94" spans="1:17" x14ac:dyDescent="0.3">
      <c r="A94" t="s">
        <v>236</v>
      </c>
      <c r="B94" t="s">
        <v>33</v>
      </c>
      <c r="C94" s="6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  <c r="Q94" s="8"/>
    </row>
    <row r="95" spans="1:17" x14ac:dyDescent="0.3">
      <c r="A95" t="s">
        <v>238</v>
      </c>
      <c r="B95" t="s">
        <v>33</v>
      </c>
      <c r="C95" s="6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  <c r="Q95" s="8"/>
    </row>
    <row r="96" spans="1:17" x14ac:dyDescent="0.3">
      <c r="A96" t="s">
        <v>239</v>
      </c>
      <c r="B96" t="s">
        <v>33</v>
      </c>
      <c r="C96" s="6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  <c r="Q96" s="8"/>
    </row>
    <row r="97" spans="1:17" x14ac:dyDescent="0.3">
      <c r="A97" t="s">
        <v>241</v>
      </c>
      <c r="B97" t="s">
        <v>14</v>
      </c>
      <c r="C97" s="6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  <c r="Q97" s="8"/>
    </row>
    <row r="98" spans="1:17" x14ac:dyDescent="0.3">
      <c r="A98" t="s">
        <v>243</v>
      </c>
      <c r="B98" t="s">
        <v>33</v>
      </c>
      <c r="C98" s="6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  <c r="Q98" s="8"/>
    </row>
    <row r="99" spans="1:17" x14ac:dyDescent="0.3">
      <c r="A99" t="s">
        <v>245</v>
      </c>
      <c r="B99" t="s">
        <v>14</v>
      </c>
      <c r="C99" s="6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  <c r="Q99" s="8"/>
    </row>
    <row r="100" spans="1:17" x14ac:dyDescent="0.3">
      <c r="A100" t="s">
        <v>246</v>
      </c>
      <c r="B100" t="s">
        <v>27</v>
      </c>
      <c r="C100" s="6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  <c r="Q100" s="8"/>
    </row>
    <row r="101" spans="1:17" x14ac:dyDescent="0.3">
      <c r="A101" t="s">
        <v>248</v>
      </c>
      <c r="B101" t="s">
        <v>27</v>
      </c>
      <c r="C101" s="6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  <c r="Q101" s="8"/>
    </row>
    <row r="102" spans="1:17" x14ac:dyDescent="0.3">
      <c r="A102" t="s">
        <v>250</v>
      </c>
      <c r="B102" t="s">
        <v>27</v>
      </c>
      <c r="C102" s="6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  <c r="Q102" s="8"/>
    </row>
    <row r="103" spans="1:17" x14ac:dyDescent="0.3">
      <c r="A103" t="s">
        <v>251</v>
      </c>
      <c r="B103" t="s">
        <v>14</v>
      </c>
      <c r="C103" s="6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  <c r="Q103" s="8"/>
    </row>
    <row r="104" spans="1:17" x14ac:dyDescent="0.3">
      <c r="A104" t="s">
        <v>253</v>
      </c>
      <c r="B104" t="s">
        <v>43</v>
      </c>
      <c r="C104" s="6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  <c r="Q104" s="8"/>
    </row>
    <row r="105" spans="1:17" x14ac:dyDescent="0.3">
      <c r="A105" t="s">
        <v>255</v>
      </c>
      <c r="B105" t="s">
        <v>27</v>
      </c>
      <c r="C105" s="6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  <c r="Q105" s="8"/>
    </row>
    <row r="106" spans="1:17" x14ac:dyDescent="0.3">
      <c r="A106" t="s">
        <v>257</v>
      </c>
      <c r="B106" t="s">
        <v>33</v>
      </c>
      <c r="C106" s="6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  <c r="Q106" s="8"/>
    </row>
    <row r="107" spans="1:17" x14ac:dyDescent="0.3">
      <c r="A107" t="s">
        <v>259</v>
      </c>
      <c r="B107" t="s">
        <v>33</v>
      </c>
      <c r="C107" s="6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  <c r="Q107" s="8"/>
    </row>
    <row r="108" spans="1:17" x14ac:dyDescent="0.3">
      <c r="A108" t="s">
        <v>261</v>
      </c>
      <c r="B108" t="s">
        <v>27</v>
      </c>
      <c r="C108" s="6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  <c r="Q108" s="8"/>
    </row>
    <row r="109" spans="1:17" x14ac:dyDescent="0.3">
      <c r="A109" t="s">
        <v>263</v>
      </c>
      <c r="B109" t="s">
        <v>14</v>
      </c>
      <c r="C109" s="6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  <c r="Q109" s="8"/>
    </row>
    <row r="110" spans="1:17" x14ac:dyDescent="0.3">
      <c r="A110" t="s">
        <v>265</v>
      </c>
      <c r="B110" t="s">
        <v>14</v>
      </c>
      <c r="C110" s="6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  <c r="Q110" s="8"/>
    </row>
    <row r="111" spans="1:17" x14ac:dyDescent="0.3">
      <c r="A111" t="s">
        <v>267</v>
      </c>
      <c r="B111" t="s">
        <v>33</v>
      </c>
      <c r="C111" s="6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  <c r="Q111" s="8"/>
    </row>
    <row r="112" spans="1:17" x14ac:dyDescent="0.3">
      <c r="A112" t="s">
        <v>269</v>
      </c>
      <c r="B112" t="s">
        <v>27</v>
      </c>
      <c r="C112" s="6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  <c r="Q112" s="8"/>
    </row>
    <row r="113" spans="1:17" x14ac:dyDescent="0.3">
      <c r="A113" t="s">
        <v>271</v>
      </c>
      <c r="B113" t="s">
        <v>14</v>
      </c>
      <c r="C113" s="6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  <c r="Q113" s="8"/>
    </row>
    <row r="114" spans="1:17" x14ac:dyDescent="0.3">
      <c r="A114" t="s">
        <v>273</v>
      </c>
      <c r="B114" t="s">
        <v>14</v>
      </c>
      <c r="C114" s="6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  <c r="Q114" s="8"/>
    </row>
    <row r="115" spans="1:17" x14ac:dyDescent="0.3">
      <c r="A115" t="s">
        <v>275</v>
      </c>
      <c r="B115" t="s">
        <v>14</v>
      </c>
      <c r="C115" s="6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  <c r="Q115" s="8"/>
    </row>
    <row r="116" spans="1:17" x14ac:dyDescent="0.3">
      <c r="A116" t="s">
        <v>277</v>
      </c>
      <c r="B116" t="s">
        <v>14</v>
      </c>
      <c r="C116" s="6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  <c r="Q116" s="8"/>
    </row>
    <row r="117" spans="1:17" x14ac:dyDescent="0.3">
      <c r="A117" t="s">
        <v>279</v>
      </c>
      <c r="B117" t="s">
        <v>27</v>
      </c>
      <c r="C117" s="6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  <c r="Q117" s="8"/>
    </row>
    <row r="118" spans="1:17" x14ac:dyDescent="0.3">
      <c r="A118" t="s">
        <v>281</v>
      </c>
      <c r="B118" t="s">
        <v>14</v>
      </c>
      <c r="C118" s="6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  <c r="Q118" s="8"/>
    </row>
    <row r="119" spans="1:17" x14ac:dyDescent="0.3">
      <c r="A119" t="s">
        <v>283</v>
      </c>
      <c r="B119" t="s">
        <v>43</v>
      </c>
      <c r="C119" s="6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  <c r="Q119" s="8"/>
    </row>
    <row r="120" spans="1:17" x14ac:dyDescent="0.3">
      <c r="A120" t="s">
        <v>284</v>
      </c>
      <c r="B120" t="s">
        <v>33</v>
      </c>
      <c r="C120" s="6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  <c r="Q120" s="8"/>
    </row>
    <row r="121" spans="1:17" x14ac:dyDescent="0.3">
      <c r="A121" t="s">
        <v>286</v>
      </c>
      <c r="B121" t="s">
        <v>43</v>
      </c>
      <c r="C121" s="6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  <c r="Q121" s="8"/>
    </row>
    <row r="122" spans="1:17" x14ac:dyDescent="0.3">
      <c r="A122" t="s">
        <v>287</v>
      </c>
      <c r="B122" t="s">
        <v>33</v>
      </c>
      <c r="C122" s="6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  <c r="Q122" s="8"/>
    </row>
    <row r="123" spans="1:17" x14ac:dyDescent="0.3">
      <c r="A123" t="s">
        <v>288</v>
      </c>
      <c r="B123" t="s">
        <v>33</v>
      </c>
      <c r="C123" s="6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  <c r="Q123" s="8"/>
    </row>
    <row r="124" spans="1:17" x14ac:dyDescent="0.3">
      <c r="A124" t="s">
        <v>289</v>
      </c>
      <c r="B124" t="s">
        <v>33</v>
      </c>
      <c r="C124" s="6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  <c r="Q124" s="8"/>
    </row>
    <row r="125" spans="1:17" x14ac:dyDescent="0.3">
      <c r="A125" t="s">
        <v>290</v>
      </c>
      <c r="B125" t="s">
        <v>27</v>
      </c>
      <c r="C125" s="6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  <c r="Q125" s="8"/>
    </row>
    <row r="126" spans="1:17" x14ac:dyDescent="0.3">
      <c r="A126" t="s">
        <v>292</v>
      </c>
      <c r="B126" t="s">
        <v>14</v>
      </c>
      <c r="C126" s="6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  <c r="Q126" s="8"/>
    </row>
    <row r="127" spans="1:17" x14ac:dyDescent="0.3">
      <c r="A127" t="s">
        <v>294</v>
      </c>
      <c r="B127" t="s">
        <v>33</v>
      </c>
      <c r="C127" s="6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  <c r="Q127" s="8"/>
    </row>
    <row r="128" spans="1:17" x14ac:dyDescent="0.3">
      <c r="A128" t="s">
        <v>295</v>
      </c>
      <c r="B128" t="s">
        <v>43</v>
      </c>
      <c r="C128" s="6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  <c r="Q128" s="8"/>
    </row>
    <row r="129" spans="1:17" x14ac:dyDescent="0.3">
      <c r="A129" t="s">
        <v>296</v>
      </c>
      <c r="B129" t="s">
        <v>14</v>
      </c>
      <c r="C129" s="6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  <c r="Q129" s="8"/>
    </row>
    <row r="130" spans="1:17" x14ac:dyDescent="0.3">
      <c r="A130" t="s">
        <v>297</v>
      </c>
      <c r="B130" t="s">
        <v>14</v>
      </c>
      <c r="C130" s="6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  <c r="Q130" s="8"/>
    </row>
    <row r="131" spans="1:17" x14ac:dyDescent="0.3">
      <c r="A131" t="s">
        <v>298</v>
      </c>
      <c r="B131" t="s">
        <v>27</v>
      </c>
      <c r="C131" s="6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  <c r="Q131" s="8"/>
    </row>
    <row r="132" spans="1:17" x14ac:dyDescent="0.3">
      <c r="A132" t="s">
        <v>300</v>
      </c>
      <c r="B132" t="s">
        <v>33</v>
      </c>
      <c r="C132" s="6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  <c r="Q132" s="8"/>
    </row>
    <row r="133" spans="1:17" x14ac:dyDescent="0.3">
      <c r="A133" t="s">
        <v>301</v>
      </c>
      <c r="B133" t="s">
        <v>33</v>
      </c>
      <c r="C133" s="6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  <c r="Q133" s="8"/>
    </row>
    <row r="134" spans="1:17" x14ac:dyDescent="0.3">
      <c r="A134" t="s">
        <v>302</v>
      </c>
      <c r="B134" t="s">
        <v>43</v>
      </c>
      <c r="C134" s="6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  <c r="Q134" s="8"/>
    </row>
    <row r="135" spans="1:17" x14ac:dyDescent="0.3">
      <c r="A135" t="s">
        <v>304</v>
      </c>
      <c r="B135" t="s">
        <v>14</v>
      </c>
      <c r="C135" s="6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  <c r="Q135" s="8"/>
    </row>
    <row r="136" spans="1:17" x14ac:dyDescent="0.3">
      <c r="A136" t="s">
        <v>306</v>
      </c>
      <c r="B136" t="s">
        <v>43</v>
      </c>
      <c r="C136" s="6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  <c r="Q136" s="8"/>
    </row>
    <row r="137" spans="1:17" x14ac:dyDescent="0.3">
      <c r="A137" t="s">
        <v>308</v>
      </c>
      <c r="B137" t="s">
        <v>33</v>
      </c>
      <c r="C137" s="6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  <c r="Q137" s="8"/>
    </row>
    <row r="138" spans="1:17" x14ac:dyDescent="0.3">
      <c r="A138" t="s">
        <v>310</v>
      </c>
      <c r="B138" t="s">
        <v>43</v>
      </c>
      <c r="C138" s="6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  <c r="Q138" s="8"/>
    </row>
    <row r="139" spans="1:17" x14ac:dyDescent="0.3">
      <c r="A139" t="s">
        <v>311</v>
      </c>
      <c r="B139" t="s">
        <v>14</v>
      </c>
      <c r="C139" s="6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  <c r="Q139" s="8"/>
    </row>
    <row r="140" spans="1:17" x14ac:dyDescent="0.3">
      <c r="A140" t="s">
        <v>312</v>
      </c>
      <c r="B140" t="s">
        <v>27</v>
      </c>
      <c r="C140" s="6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  <c r="Q140" s="8"/>
    </row>
    <row r="141" spans="1:17" x14ac:dyDescent="0.3">
      <c r="A141" t="s">
        <v>314</v>
      </c>
      <c r="B141" t="s">
        <v>43</v>
      </c>
      <c r="C141" s="6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  <c r="Q141" s="8"/>
    </row>
    <row r="142" spans="1:17" x14ac:dyDescent="0.3">
      <c r="A142" t="s">
        <v>317</v>
      </c>
      <c r="B142" t="s">
        <v>14</v>
      </c>
      <c r="C142" s="6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  <c r="Q142" s="8"/>
    </row>
    <row r="143" spans="1:17" x14ac:dyDescent="0.3">
      <c r="A143" t="s">
        <v>319</v>
      </c>
      <c r="B143" t="s">
        <v>27</v>
      </c>
      <c r="C143" s="6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  <c r="Q143" s="8"/>
    </row>
    <row r="144" spans="1:17" x14ac:dyDescent="0.3">
      <c r="A144" t="s">
        <v>320</v>
      </c>
      <c r="B144" t="s">
        <v>27</v>
      </c>
      <c r="C144" s="6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  <c r="Q144" s="8"/>
    </row>
    <row r="145" spans="1:17" x14ac:dyDescent="0.3">
      <c r="A145" t="s">
        <v>321</v>
      </c>
      <c r="B145" t="s">
        <v>27</v>
      </c>
      <c r="C145" s="6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  <c r="Q145" s="8"/>
    </row>
    <row r="146" spans="1:17" x14ac:dyDescent="0.3">
      <c r="A146" t="s">
        <v>322</v>
      </c>
      <c r="B146" t="s">
        <v>33</v>
      </c>
      <c r="C146" s="6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  <c r="Q146" s="8"/>
    </row>
    <row r="147" spans="1:17" x14ac:dyDescent="0.3">
      <c r="A147" t="s">
        <v>323</v>
      </c>
      <c r="B147" t="s">
        <v>27</v>
      </c>
      <c r="C147" s="6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  <c r="Q147" s="8"/>
    </row>
    <row r="148" spans="1:17" x14ac:dyDescent="0.3">
      <c r="A148" t="s">
        <v>326</v>
      </c>
      <c r="B148" t="s">
        <v>33</v>
      </c>
      <c r="C148" s="6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  <c r="Q148" s="8"/>
    </row>
    <row r="149" spans="1:17" x14ac:dyDescent="0.3">
      <c r="A149" t="s">
        <v>327</v>
      </c>
      <c r="B149" t="s">
        <v>33</v>
      </c>
      <c r="C149" s="6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  <c r="Q149" s="8"/>
    </row>
    <row r="150" spans="1:17" x14ac:dyDescent="0.3">
      <c r="A150" t="s">
        <v>328</v>
      </c>
      <c r="B150" t="s">
        <v>14</v>
      </c>
      <c r="C150" s="6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  <c r="Q150" s="8"/>
    </row>
    <row r="151" spans="1:17" x14ac:dyDescent="0.3">
      <c r="A151" t="s">
        <v>330</v>
      </c>
      <c r="B151" t="s">
        <v>27</v>
      </c>
      <c r="C151" s="6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  <c r="Q151" s="8"/>
    </row>
    <row r="152" spans="1:17" x14ac:dyDescent="0.3">
      <c r="A152" t="s">
        <v>332</v>
      </c>
      <c r="B152" t="s">
        <v>33</v>
      </c>
      <c r="C152" s="6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  <c r="Q152" s="8"/>
    </row>
    <row r="153" spans="1:17" x14ac:dyDescent="0.3">
      <c r="A153" t="s">
        <v>333</v>
      </c>
      <c r="B153" t="s">
        <v>43</v>
      </c>
      <c r="C153" s="6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  <c r="Q153" s="8"/>
    </row>
    <row r="154" spans="1:17" x14ac:dyDescent="0.3">
      <c r="A154" t="s">
        <v>335</v>
      </c>
      <c r="B154" t="s">
        <v>14</v>
      </c>
      <c r="C154" s="6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  <c r="Q154" s="8"/>
    </row>
    <row r="155" spans="1:17" x14ac:dyDescent="0.3">
      <c r="A155" t="s">
        <v>337</v>
      </c>
      <c r="B155" t="s">
        <v>33</v>
      </c>
      <c r="C155" s="6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  <c r="Q155" s="8"/>
    </row>
    <row r="156" spans="1:17" x14ac:dyDescent="0.3">
      <c r="A156" t="s">
        <v>338</v>
      </c>
      <c r="B156" t="s">
        <v>27</v>
      </c>
      <c r="C156" s="6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  <c r="Q156" s="8"/>
    </row>
    <row r="157" spans="1:17" x14ac:dyDescent="0.3">
      <c r="A157" t="s">
        <v>340</v>
      </c>
      <c r="B157" t="s">
        <v>43</v>
      </c>
      <c r="C157" s="6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  <c r="Q157" s="8"/>
    </row>
    <row r="158" spans="1:17" x14ac:dyDescent="0.3">
      <c r="A158" t="s">
        <v>342</v>
      </c>
      <c r="B158" t="s">
        <v>27</v>
      </c>
      <c r="C158" s="6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  <c r="Q158" s="8"/>
    </row>
    <row r="159" spans="1:17" x14ac:dyDescent="0.3">
      <c r="A159" t="s">
        <v>344</v>
      </c>
      <c r="B159" t="s">
        <v>33</v>
      </c>
      <c r="C159" s="6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  <c r="Q159" s="8"/>
    </row>
    <row r="160" spans="1:17" x14ac:dyDescent="0.3">
      <c r="A160" t="s">
        <v>346</v>
      </c>
      <c r="B160" t="s">
        <v>43</v>
      </c>
      <c r="C160" s="6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  <c r="Q160" s="8"/>
    </row>
    <row r="161" spans="1:17" x14ac:dyDescent="0.3">
      <c r="A161" t="s">
        <v>347</v>
      </c>
      <c r="B161" t="s">
        <v>14</v>
      </c>
      <c r="C161" s="6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  <c r="Q161" s="8"/>
    </row>
    <row r="162" spans="1:17" x14ac:dyDescent="0.3">
      <c r="A162" t="s">
        <v>349</v>
      </c>
      <c r="B162" t="s">
        <v>14</v>
      </c>
      <c r="C162" s="6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  <c r="Q162" s="8"/>
    </row>
    <row r="163" spans="1:17" x14ac:dyDescent="0.3">
      <c r="A163" t="s">
        <v>351</v>
      </c>
      <c r="B163" t="s">
        <v>43</v>
      </c>
      <c r="C163" s="6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  <c r="Q163" s="8"/>
    </row>
    <row r="164" spans="1:17" x14ac:dyDescent="0.3">
      <c r="A164" t="s">
        <v>353</v>
      </c>
      <c r="B164" t="s">
        <v>33</v>
      </c>
      <c r="C164" s="6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  <c r="Q164" s="8"/>
    </row>
    <row r="165" spans="1:17" x14ac:dyDescent="0.3">
      <c r="A165" t="s">
        <v>355</v>
      </c>
      <c r="B165" t="s">
        <v>27</v>
      </c>
      <c r="C165" s="6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  <c r="Q165" s="8"/>
    </row>
    <row r="166" spans="1:17" x14ac:dyDescent="0.3">
      <c r="A166" t="s">
        <v>356</v>
      </c>
      <c r="B166" t="s">
        <v>14</v>
      </c>
      <c r="C166" s="6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  <c r="Q166" s="8"/>
    </row>
    <row r="167" spans="1:17" x14ac:dyDescent="0.3">
      <c r="A167" t="s">
        <v>357</v>
      </c>
      <c r="B167" t="s">
        <v>14</v>
      </c>
      <c r="C167" s="6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  <c r="Q167" s="8"/>
    </row>
    <row r="168" spans="1:17" x14ac:dyDescent="0.3">
      <c r="A168" t="s">
        <v>358</v>
      </c>
      <c r="B168" t="s">
        <v>33</v>
      </c>
      <c r="C168" s="6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  <c r="Q168" s="8"/>
    </row>
    <row r="169" spans="1:17" x14ac:dyDescent="0.3">
      <c r="A169" t="s">
        <v>359</v>
      </c>
      <c r="B169" t="s">
        <v>43</v>
      </c>
      <c r="C169" s="6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  <c r="Q169" s="8"/>
    </row>
    <row r="170" spans="1:17" x14ac:dyDescent="0.3">
      <c r="A170" t="s">
        <v>361</v>
      </c>
      <c r="B170" t="s">
        <v>27</v>
      </c>
      <c r="C170" s="6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  <c r="Q170" s="8"/>
    </row>
    <row r="171" spans="1:17" x14ac:dyDescent="0.3">
      <c r="A171" t="s">
        <v>363</v>
      </c>
      <c r="B171" t="s">
        <v>14</v>
      </c>
      <c r="C171" s="6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  <c r="Q171" s="8"/>
    </row>
    <row r="172" spans="1:17" x14ac:dyDescent="0.3">
      <c r="A172" t="s">
        <v>365</v>
      </c>
      <c r="B172" t="s">
        <v>27</v>
      </c>
      <c r="C172" s="6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  <c r="Q172" s="8"/>
    </row>
    <row r="173" spans="1:17" x14ac:dyDescent="0.3">
      <c r="A173" t="s">
        <v>367</v>
      </c>
      <c r="B173" t="s">
        <v>43</v>
      </c>
      <c r="C173" s="6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  <c r="Q173" s="8"/>
    </row>
    <row r="174" spans="1:17" x14ac:dyDescent="0.3">
      <c r="A174" t="s">
        <v>369</v>
      </c>
      <c r="B174" t="s">
        <v>14</v>
      </c>
      <c r="C174" s="6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  <c r="Q174" s="8"/>
    </row>
    <row r="175" spans="1:17" x14ac:dyDescent="0.3">
      <c r="A175" t="s">
        <v>371</v>
      </c>
      <c r="B175" t="s">
        <v>43</v>
      </c>
      <c r="C175" s="6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  <c r="Q175" s="8"/>
    </row>
    <row r="176" spans="1:17" x14ac:dyDescent="0.3">
      <c r="A176" t="s">
        <v>372</v>
      </c>
      <c r="B176" t="s">
        <v>33</v>
      </c>
      <c r="C176" s="6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  <c r="Q176" s="8"/>
    </row>
    <row r="177" spans="1:17" x14ac:dyDescent="0.3">
      <c r="A177" t="s">
        <v>374</v>
      </c>
      <c r="B177" t="s">
        <v>43</v>
      </c>
      <c r="C177" s="6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  <c r="Q177" s="8"/>
    </row>
    <row r="178" spans="1:17" x14ac:dyDescent="0.3">
      <c r="A178" t="s">
        <v>376</v>
      </c>
      <c r="B178" t="s">
        <v>33</v>
      </c>
      <c r="C178" s="6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  <c r="Q178" s="8"/>
    </row>
    <row r="179" spans="1:17" x14ac:dyDescent="0.3">
      <c r="A179" t="s">
        <v>378</v>
      </c>
      <c r="B179" t="s">
        <v>33</v>
      </c>
      <c r="C179" s="6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  <c r="Q179" s="8"/>
    </row>
    <row r="180" spans="1:17" x14ac:dyDescent="0.3">
      <c r="A180" t="s">
        <v>379</v>
      </c>
      <c r="B180" t="s">
        <v>43</v>
      </c>
      <c r="C180" s="6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  <c r="Q180" s="8"/>
    </row>
    <row r="181" spans="1:17" x14ac:dyDescent="0.3">
      <c r="A181" t="s">
        <v>380</v>
      </c>
      <c r="B181" t="s">
        <v>27</v>
      </c>
      <c r="C181" s="6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  <c r="Q181" s="8"/>
    </row>
    <row r="182" spans="1:17" x14ac:dyDescent="0.3">
      <c r="A182" t="s">
        <v>381</v>
      </c>
      <c r="B182" t="s">
        <v>27</v>
      </c>
      <c r="C182" s="6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  <c r="Q182" s="8"/>
    </row>
    <row r="183" spans="1:17" x14ac:dyDescent="0.3">
      <c r="A183" t="s">
        <v>383</v>
      </c>
      <c r="B183" t="s">
        <v>43</v>
      </c>
      <c r="C183" s="6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  <c r="Q183" s="8"/>
    </row>
    <row r="184" spans="1:17" x14ac:dyDescent="0.3">
      <c r="A184" t="s">
        <v>384</v>
      </c>
      <c r="B184" t="s">
        <v>33</v>
      </c>
      <c r="C184" s="6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  <c r="Q184" s="8"/>
    </row>
    <row r="185" spans="1:17" x14ac:dyDescent="0.3">
      <c r="A185" t="s">
        <v>386</v>
      </c>
      <c r="B185" t="s">
        <v>14</v>
      </c>
      <c r="C185" s="6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  <c r="Q185" s="8"/>
    </row>
    <row r="186" spans="1:17" x14ac:dyDescent="0.3">
      <c r="A186" t="s">
        <v>388</v>
      </c>
      <c r="B186" t="s">
        <v>33</v>
      </c>
      <c r="C186" s="6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  <c r="Q186" s="8"/>
    </row>
    <row r="187" spans="1:17" x14ac:dyDescent="0.3">
      <c r="A187" t="s">
        <v>390</v>
      </c>
      <c r="B187" t="s">
        <v>43</v>
      </c>
      <c r="C187" s="6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  <c r="Q187" s="8"/>
    </row>
    <row r="188" spans="1:17" x14ac:dyDescent="0.3">
      <c r="A188" t="s">
        <v>391</v>
      </c>
      <c r="B188" t="s">
        <v>14</v>
      </c>
      <c r="C188" s="6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  <c r="Q188" s="8"/>
    </row>
    <row r="189" spans="1:17" x14ac:dyDescent="0.3">
      <c r="A189" t="s">
        <v>393</v>
      </c>
      <c r="B189" t="s">
        <v>27</v>
      </c>
      <c r="C189" s="6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  <c r="Q189" s="8"/>
    </row>
    <row r="190" spans="1:17" x14ac:dyDescent="0.3">
      <c r="A190" t="s">
        <v>394</v>
      </c>
      <c r="B190" t="s">
        <v>43</v>
      </c>
      <c r="C190" s="6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  <c r="Q190" s="8"/>
    </row>
    <row r="191" spans="1:17" x14ac:dyDescent="0.3">
      <c r="A191" t="s">
        <v>395</v>
      </c>
      <c r="B191" t="s">
        <v>27</v>
      </c>
      <c r="C191" s="6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  <c r="Q191" s="8"/>
    </row>
    <row r="192" spans="1:17" x14ac:dyDescent="0.3">
      <c r="A192" t="s">
        <v>397</v>
      </c>
      <c r="B192" t="s">
        <v>27</v>
      </c>
      <c r="C192" s="6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  <c r="Q192" s="8"/>
    </row>
    <row r="193" spans="1:17" x14ac:dyDescent="0.3">
      <c r="A193" t="s">
        <v>398</v>
      </c>
      <c r="B193" t="s">
        <v>33</v>
      </c>
      <c r="C193" s="6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  <c r="Q193" s="8"/>
    </row>
    <row r="194" spans="1:17" x14ac:dyDescent="0.3">
      <c r="A194" t="s">
        <v>400</v>
      </c>
      <c r="B194" t="s">
        <v>14</v>
      </c>
      <c r="C194" s="6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  <c r="Q194" s="8"/>
    </row>
    <row r="195" spans="1:17" x14ac:dyDescent="0.3">
      <c r="A195" t="s">
        <v>402</v>
      </c>
      <c r="B195" t="s">
        <v>27</v>
      </c>
      <c r="C195" s="6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  <c r="Q195" s="8"/>
    </row>
    <row r="196" spans="1:17" x14ac:dyDescent="0.3">
      <c r="A196" t="s">
        <v>403</v>
      </c>
      <c r="B196" t="s">
        <v>33</v>
      </c>
      <c r="C196" s="6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s="8"/>
    </row>
    <row r="197" spans="1:17" x14ac:dyDescent="0.3">
      <c r="A197" t="s">
        <v>405</v>
      </c>
      <c r="B197" t="s">
        <v>33</v>
      </c>
      <c r="C197" s="6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  <c r="Q197" s="8"/>
    </row>
    <row r="198" spans="1:17" x14ac:dyDescent="0.3">
      <c r="A198" t="s">
        <v>407</v>
      </c>
      <c r="B198" t="s">
        <v>14</v>
      </c>
      <c r="C198" s="6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  <c r="Q198" s="8"/>
    </row>
    <row r="199" spans="1:17" x14ac:dyDescent="0.3">
      <c r="A199" t="s">
        <v>408</v>
      </c>
      <c r="B199" t="s">
        <v>14</v>
      </c>
      <c r="C199" s="6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  <c r="Q199" s="8"/>
    </row>
    <row r="200" spans="1:17" x14ac:dyDescent="0.3">
      <c r="A200" t="s">
        <v>410</v>
      </c>
      <c r="B200" t="s">
        <v>27</v>
      </c>
      <c r="C200" s="6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  <c r="Q200" s="8"/>
    </row>
    <row r="201" spans="1:17" x14ac:dyDescent="0.3">
      <c r="A201" t="s">
        <v>411</v>
      </c>
      <c r="B201" t="s">
        <v>43</v>
      </c>
      <c r="C201" s="6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  <c r="Q201" s="8"/>
    </row>
    <row r="202" spans="1:17" x14ac:dyDescent="0.3">
      <c r="A202" t="s">
        <v>413</v>
      </c>
      <c r="B202" t="s">
        <v>14</v>
      </c>
      <c r="C202" s="6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  <c r="Q202" s="8"/>
    </row>
    <row r="203" spans="1:17" x14ac:dyDescent="0.3">
      <c r="A203" t="s">
        <v>415</v>
      </c>
      <c r="B203" t="s">
        <v>43</v>
      </c>
      <c r="C203" s="6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  <c r="Q203" s="8"/>
    </row>
    <row r="204" spans="1:17" x14ac:dyDescent="0.3">
      <c r="A204" t="s">
        <v>417</v>
      </c>
      <c r="B204" t="s">
        <v>33</v>
      </c>
      <c r="C204" s="6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  <c r="Q204" s="8"/>
    </row>
    <row r="205" spans="1:17" x14ac:dyDescent="0.3">
      <c r="A205" t="s">
        <v>419</v>
      </c>
      <c r="B205" t="s">
        <v>33</v>
      </c>
      <c r="C205" s="6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  <c r="Q205" s="8"/>
    </row>
    <row r="206" spans="1:17" x14ac:dyDescent="0.3">
      <c r="A206" t="s">
        <v>420</v>
      </c>
      <c r="B206" t="s">
        <v>14</v>
      </c>
      <c r="C206" s="6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  <c r="Q206" s="8"/>
    </row>
    <row r="207" spans="1:17" x14ac:dyDescent="0.3">
      <c r="A207" t="s">
        <v>422</v>
      </c>
      <c r="B207" t="s">
        <v>14</v>
      </c>
      <c r="C207" s="6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  <c r="Q207" s="8"/>
    </row>
    <row r="208" spans="1:17" x14ac:dyDescent="0.3">
      <c r="A208" t="s">
        <v>423</v>
      </c>
      <c r="B208" t="s">
        <v>14</v>
      </c>
      <c r="C208" s="6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  <c r="Q208" s="8"/>
    </row>
    <row r="209" spans="1:17" x14ac:dyDescent="0.3">
      <c r="A209" t="s">
        <v>425</v>
      </c>
      <c r="B209" t="s">
        <v>27</v>
      </c>
      <c r="C209" s="6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  <c r="Q209" s="8"/>
    </row>
    <row r="210" spans="1:17" x14ac:dyDescent="0.3">
      <c r="A210" t="s">
        <v>426</v>
      </c>
      <c r="B210" t="s">
        <v>14</v>
      </c>
      <c r="C210" s="6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  <c r="Q210" s="8"/>
    </row>
    <row r="211" spans="1:17" x14ac:dyDescent="0.3">
      <c r="A211" t="s">
        <v>428</v>
      </c>
      <c r="B211" t="s">
        <v>27</v>
      </c>
      <c r="C211" s="6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  <c r="Q211" s="8"/>
    </row>
    <row r="212" spans="1:17" x14ac:dyDescent="0.3">
      <c r="A212" t="s">
        <v>429</v>
      </c>
      <c r="B212" t="s">
        <v>14</v>
      </c>
      <c r="C212" s="6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  <c r="Q212" s="8"/>
    </row>
    <row r="213" spans="1:17" x14ac:dyDescent="0.3">
      <c r="A213" t="s">
        <v>431</v>
      </c>
      <c r="B213" t="s">
        <v>27</v>
      </c>
      <c r="C213" s="6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  <c r="Q213" s="8"/>
    </row>
    <row r="214" spans="1:17" x14ac:dyDescent="0.3">
      <c r="A214" t="s">
        <v>432</v>
      </c>
      <c r="B214" t="s">
        <v>43</v>
      </c>
      <c r="C214" s="6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  <c r="Q214" s="8"/>
    </row>
    <row r="215" spans="1:17" x14ac:dyDescent="0.3">
      <c r="A215" t="s">
        <v>434</v>
      </c>
      <c r="B215" t="s">
        <v>33</v>
      </c>
      <c r="C215" s="6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  <c r="Q215" s="8"/>
    </row>
    <row r="216" spans="1:17" x14ac:dyDescent="0.3">
      <c r="A216" t="s">
        <v>435</v>
      </c>
      <c r="B216" t="s">
        <v>43</v>
      </c>
      <c r="C216" s="6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  <c r="Q216" s="8"/>
    </row>
    <row r="217" spans="1:17" x14ac:dyDescent="0.3">
      <c r="A217" t="s">
        <v>437</v>
      </c>
      <c r="B217" t="s">
        <v>27</v>
      </c>
      <c r="C217" s="6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  <c r="Q217" s="8"/>
    </row>
    <row r="218" spans="1:17" x14ac:dyDescent="0.3">
      <c r="A218" t="s">
        <v>438</v>
      </c>
      <c r="B218" t="s">
        <v>43</v>
      </c>
      <c r="C218" s="6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  <c r="Q218" s="8"/>
    </row>
    <row r="219" spans="1:17" x14ac:dyDescent="0.3">
      <c r="A219" t="s">
        <v>439</v>
      </c>
      <c r="B219" t="s">
        <v>43</v>
      </c>
      <c r="C219" s="6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  <c r="Q219" s="8"/>
    </row>
    <row r="220" spans="1:17" x14ac:dyDescent="0.3">
      <c r="A220" t="s">
        <v>440</v>
      </c>
      <c r="B220" t="s">
        <v>14</v>
      </c>
      <c r="C220" s="6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  <c r="Q220" s="8"/>
    </row>
    <row r="221" spans="1:17" x14ac:dyDescent="0.3">
      <c r="A221" t="s">
        <v>441</v>
      </c>
      <c r="B221" t="s">
        <v>33</v>
      </c>
      <c r="C221" s="6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  <c r="Q221" s="8"/>
    </row>
    <row r="222" spans="1:17" x14ac:dyDescent="0.3">
      <c r="A222" t="s">
        <v>442</v>
      </c>
      <c r="B222" t="s">
        <v>43</v>
      </c>
      <c r="C222" s="6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  <c r="Q222" s="8"/>
    </row>
    <row r="223" spans="1:17" x14ac:dyDescent="0.3">
      <c r="A223" t="s">
        <v>443</v>
      </c>
      <c r="B223" t="s">
        <v>43</v>
      </c>
      <c r="C223" s="6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  <c r="Q223" s="8"/>
    </row>
    <row r="224" spans="1:17" x14ac:dyDescent="0.3">
      <c r="A224" t="s">
        <v>446</v>
      </c>
      <c r="B224" t="s">
        <v>14</v>
      </c>
      <c r="C224" s="6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  <c r="Q224" s="8"/>
    </row>
    <row r="225" spans="1:17" x14ac:dyDescent="0.3">
      <c r="A225" t="s">
        <v>447</v>
      </c>
      <c r="B225" t="s">
        <v>43</v>
      </c>
      <c r="C225" s="6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  <c r="Q225" s="8"/>
    </row>
    <row r="226" spans="1:17" x14ac:dyDescent="0.3">
      <c r="A226" t="s">
        <v>449</v>
      </c>
      <c r="B226" t="s">
        <v>14</v>
      </c>
      <c r="C226" s="6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  <c r="Q226" s="8"/>
    </row>
    <row r="227" spans="1:17" x14ac:dyDescent="0.3">
      <c r="A227" t="s">
        <v>450</v>
      </c>
      <c r="B227" t="s">
        <v>33</v>
      </c>
      <c r="C227" s="6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  <c r="Q227" s="8"/>
    </row>
    <row r="228" spans="1:17" x14ac:dyDescent="0.3">
      <c r="A228" t="s">
        <v>452</v>
      </c>
      <c r="B228" t="s">
        <v>33</v>
      </c>
      <c r="C228" s="6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  <c r="Q228" s="8"/>
    </row>
    <row r="229" spans="1:17" x14ac:dyDescent="0.3">
      <c r="A229" t="s">
        <v>454</v>
      </c>
      <c r="B229" t="s">
        <v>33</v>
      </c>
      <c r="C229" s="6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  <c r="Q229" s="8"/>
    </row>
    <row r="230" spans="1:17" x14ac:dyDescent="0.3">
      <c r="A230" t="s">
        <v>456</v>
      </c>
      <c r="B230" t="s">
        <v>33</v>
      </c>
      <c r="C230" s="6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  <c r="Q230" s="8"/>
    </row>
    <row r="231" spans="1:17" x14ac:dyDescent="0.3">
      <c r="A231" t="s">
        <v>457</v>
      </c>
      <c r="B231" t="s">
        <v>43</v>
      </c>
      <c r="C231" s="6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  <c r="Q231" s="8"/>
    </row>
    <row r="232" spans="1:17" x14ac:dyDescent="0.3">
      <c r="A232" t="s">
        <v>458</v>
      </c>
      <c r="B232" t="s">
        <v>33</v>
      </c>
      <c r="C232" s="6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  <c r="Q232" s="8"/>
    </row>
    <row r="233" spans="1:17" x14ac:dyDescent="0.3">
      <c r="A233" t="s">
        <v>459</v>
      </c>
      <c r="B233" t="s">
        <v>14</v>
      </c>
      <c r="C233" s="6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  <c r="Q233" s="8"/>
    </row>
    <row r="234" spans="1:17" x14ac:dyDescent="0.3">
      <c r="A234" t="s">
        <v>461</v>
      </c>
      <c r="B234" t="s">
        <v>43</v>
      </c>
      <c r="C234" s="6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  <c r="Q234" s="8"/>
    </row>
    <row r="235" spans="1:17" x14ac:dyDescent="0.3">
      <c r="A235" t="s">
        <v>462</v>
      </c>
      <c r="B235" t="s">
        <v>43</v>
      </c>
      <c r="C235" s="6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  <c r="Q235" s="8"/>
    </row>
    <row r="236" spans="1:17" x14ac:dyDescent="0.3">
      <c r="A236" t="s">
        <v>464</v>
      </c>
      <c r="B236" t="s">
        <v>43</v>
      </c>
      <c r="C236" s="6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  <c r="Q236" s="8"/>
    </row>
    <row r="237" spans="1:17" x14ac:dyDescent="0.3">
      <c r="A237" t="s">
        <v>465</v>
      </c>
      <c r="B237" t="s">
        <v>43</v>
      </c>
      <c r="C237" s="6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s="8"/>
    </row>
    <row r="238" spans="1:17" x14ac:dyDescent="0.3">
      <c r="A238" t="s">
        <v>467</v>
      </c>
      <c r="B238" t="s">
        <v>33</v>
      </c>
      <c r="C238" s="6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  <c r="Q238" s="8"/>
    </row>
    <row r="239" spans="1:17" x14ac:dyDescent="0.3">
      <c r="A239" t="s">
        <v>468</v>
      </c>
      <c r="B239" t="s">
        <v>14</v>
      </c>
      <c r="C239" s="6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  <c r="Q239" s="8"/>
    </row>
    <row r="240" spans="1:17" x14ac:dyDescent="0.3">
      <c r="A240" t="s">
        <v>470</v>
      </c>
      <c r="B240" t="s">
        <v>27</v>
      </c>
      <c r="C240" s="6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  <c r="Q240" s="8"/>
    </row>
    <row r="241" spans="1:17" x14ac:dyDescent="0.3">
      <c r="A241" t="s">
        <v>471</v>
      </c>
      <c r="B241" t="s">
        <v>14</v>
      </c>
      <c r="C241" s="6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s="8"/>
    </row>
    <row r="242" spans="1:17" x14ac:dyDescent="0.3">
      <c r="A242" t="s">
        <v>472</v>
      </c>
      <c r="B242" t="s">
        <v>43</v>
      </c>
      <c r="C242" s="6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  <c r="Q242" s="8"/>
    </row>
    <row r="243" spans="1:17" x14ac:dyDescent="0.3">
      <c r="A243" t="s">
        <v>474</v>
      </c>
      <c r="B243" t="s">
        <v>43</v>
      </c>
      <c r="C243" s="6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  <c r="Q243" s="8"/>
    </row>
    <row r="244" spans="1:17" x14ac:dyDescent="0.3">
      <c r="A244" t="s">
        <v>475</v>
      </c>
      <c r="B244" t="s">
        <v>14</v>
      </c>
      <c r="C244" s="6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  <c r="Q244" s="8"/>
    </row>
    <row r="245" spans="1:17" x14ac:dyDescent="0.3">
      <c r="A245" t="s">
        <v>477</v>
      </c>
      <c r="B245" t="s">
        <v>27</v>
      </c>
      <c r="C245" s="6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  <c r="Q245" s="8"/>
    </row>
    <row r="246" spans="1:17" x14ac:dyDescent="0.3">
      <c r="A246" t="s">
        <v>479</v>
      </c>
      <c r="B246" t="s">
        <v>43</v>
      </c>
      <c r="C246" s="6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  <c r="Q246" s="8"/>
    </row>
    <row r="247" spans="1:17" x14ac:dyDescent="0.3">
      <c r="A247" t="s">
        <v>481</v>
      </c>
      <c r="B247" t="s">
        <v>43</v>
      </c>
      <c r="C247" s="6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  <c r="Q247" s="8"/>
    </row>
    <row r="248" spans="1:17" x14ac:dyDescent="0.3">
      <c r="A248" t="s">
        <v>483</v>
      </c>
      <c r="B248" t="s">
        <v>43</v>
      </c>
      <c r="C248" s="6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s="8"/>
    </row>
    <row r="249" spans="1:17" x14ac:dyDescent="0.3">
      <c r="A249" t="s">
        <v>486</v>
      </c>
      <c r="B249" t="s">
        <v>43</v>
      </c>
      <c r="C249" s="6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  <c r="Q249" s="8"/>
    </row>
    <row r="250" spans="1:17" x14ac:dyDescent="0.3">
      <c r="A250" t="s">
        <v>487</v>
      </c>
      <c r="B250" t="s">
        <v>14</v>
      </c>
      <c r="C250" s="6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  <c r="Q250" s="8"/>
    </row>
    <row r="251" spans="1:17" x14ac:dyDescent="0.3">
      <c r="A251" t="s">
        <v>488</v>
      </c>
      <c r="B251" t="s">
        <v>43</v>
      </c>
      <c r="C251" s="6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  <c r="Q251" s="8"/>
    </row>
    <row r="252" spans="1:17" x14ac:dyDescent="0.3">
      <c r="A252" t="s">
        <v>489</v>
      </c>
      <c r="B252" t="s">
        <v>33</v>
      </c>
      <c r="C252" s="6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  <c r="Q252" s="8"/>
    </row>
    <row r="253" spans="1:17" x14ac:dyDescent="0.3">
      <c r="A253" t="s">
        <v>491</v>
      </c>
      <c r="B253" t="s">
        <v>43</v>
      </c>
      <c r="C253" s="6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  <c r="Q253" s="8"/>
    </row>
    <row r="254" spans="1:17" x14ac:dyDescent="0.3">
      <c r="A254" t="s">
        <v>492</v>
      </c>
      <c r="B254" t="s">
        <v>14</v>
      </c>
      <c r="C254" s="6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  <c r="Q254" s="8"/>
    </row>
    <row r="255" spans="1:17" x14ac:dyDescent="0.3">
      <c r="A255" t="s">
        <v>494</v>
      </c>
      <c r="B255" t="s">
        <v>14</v>
      </c>
      <c r="C255" s="6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  <c r="Q255" s="8"/>
    </row>
    <row r="256" spans="1:17" x14ac:dyDescent="0.3">
      <c r="A256" t="s">
        <v>496</v>
      </c>
      <c r="B256" t="s">
        <v>43</v>
      </c>
      <c r="C256" s="6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  <c r="Q256" s="8"/>
    </row>
    <row r="257" spans="1:17" x14ac:dyDescent="0.3">
      <c r="A257" t="s">
        <v>497</v>
      </c>
      <c r="B257" t="s">
        <v>27</v>
      </c>
      <c r="C257" s="6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  <c r="Q257" s="8"/>
    </row>
    <row r="258" spans="1:17" x14ac:dyDescent="0.3">
      <c r="A258" t="s">
        <v>498</v>
      </c>
      <c r="B258" t="s">
        <v>43</v>
      </c>
      <c r="C258" s="6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s="8"/>
    </row>
    <row r="259" spans="1:17" x14ac:dyDescent="0.3">
      <c r="A259" t="s">
        <v>500</v>
      </c>
      <c r="B259" t="s">
        <v>33</v>
      </c>
      <c r="C259" s="6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  <c r="Q259" s="8"/>
    </row>
    <row r="260" spans="1:17" x14ac:dyDescent="0.3">
      <c r="A260" t="s">
        <v>502</v>
      </c>
      <c r="B260" t="s">
        <v>43</v>
      </c>
      <c r="C260" s="6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  <c r="Q260" s="8"/>
    </row>
    <row r="261" spans="1:17" x14ac:dyDescent="0.3">
      <c r="A261" t="s">
        <v>503</v>
      </c>
      <c r="B261" t="s">
        <v>33</v>
      </c>
      <c r="C261" s="6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s="8"/>
    </row>
    <row r="262" spans="1:17" x14ac:dyDescent="0.3">
      <c r="A262" t="s">
        <v>506</v>
      </c>
      <c r="B262" t="s">
        <v>33</v>
      </c>
      <c r="C262" s="6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  <c r="Q262" s="8"/>
    </row>
    <row r="263" spans="1:17" x14ac:dyDescent="0.3">
      <c r="A263" t="s">
        <v>508</v>
      </c>
      <c r="B263" t="s">
        <v>27</v>
      </c>
      <c r="C263" s="6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  <c r="Q263" s="8"/>
    </row>
    <row r="264" spans="1:17" x14ac:dyDescent="0.3">
      <c r="A264" t="s">
        <v>509</v>
      </c>
      <c r="B264" t="s">
        <v>33</v>
      </c>
      <c r="C264" s="6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  <c r="Q264" s="8"/>
    </row>
    <row r="265" spans="1:17" x14ac:dyDescent="0.3">
      <c r="A265" t="s">
        <v>511</v>
      </c>
      <c r="B265" t="s">
        <v>14</v>
      </c>
      <c r="C265" s="6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  <c r="Q265" s="8"/>
    </row>
    <row r="266" spans="1:17" x14ac:dyDescent="0.3">
      <c r="A266" t="s">
        <v>513</v>
      </c>
      <c r="B266" t="s">
        <v>14</v>
      </c>
      <c r="C266" s="6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  <c r="Q266" s="8"/>
    </row>
    <row r="267" spans="1:17" x14ac:dyDescent="0.3">
      <c r="A267" t="s">
        <v>515</v>
      </c>
      <c r="B267" t="s">
        <v>43</v>
      </c>
      <c r="C267" s="6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  <c r="Q267" s="8"/>
    </row>
    <row r="268" spans="1:17" x14ac:dyDescent="0.3">
      <c r="A268" t="s">
        <v>516</v>
      </c>
      <c r="B268" t="s">
        <v>14</v>
      </c>
      <c r="C268" s="6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  <c r="Q268" s="8"/>
    </row>
    <row r="269" spans="1:17" x14ac:dyDescent="0.3">
      <c r="A269" t="s">
        <v>517</v>
      </c>
      <c r="B269" t="s">
        <v>33</v>
      </c>
      <c r="C269" s="6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  <c r="Q269" s="8"/>
    </row>
    <row r="270" spans="1:17" x14ac:dyDescent="0.3">
      <c r="A270" t="s">
        <v>519</v>
      </c>
      <c r="B270" t="s">
        <v>33</v>
      </c>
      <c r="C270" s="6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  <c r="Q270" s="8"/>
    </row>
    <row r="271" spans="1:17" x14ac:dyDescent="0.3">
      <c r="A271" t="s">
        <v>521</v>
      </c>
      <c r="B271" t="s">
        <v>27</v>
      </c>
      <c r="C271" s="6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  <c r="Q271" s="8"/>
    </row>
    <row r="272" spans="1:17" x14ac:dyDescent="0.3">
      <c r="A272" t="s">
        <v>522</v>
      </c>
      <c r="B272" t="s">
        <v>33</v>
      </c>
      <c r="C272" s="6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  <c r="Q272" s="8"/>
    </row>
    <row r="273" spans="1:17" x14ac:dyDescent="0.3">
      <c r="A273" t="s">
        <v>524</v>
      </c>
      <c r="B273" t="s">
        <v>33</v>
      </c>
      <c r="C273" s="6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  <c r="Q273" s="8"/>
    </row>
    <row r="274" spans="1:17" x14ac:dyDescent="0.3">
      <c r="A274" t="s">
        <v>525</v>
      </c>
      <c r="B274" t="s">
        <v>27</v>
      </c>
      <c r="C274" s="6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  <c r="Q274" s="8"/>
    </row>
    <row r="275" spans="1:17" x14ac:dyDescent="0.3">
      <c r="A275" t="s">
        <v>527</v>
      </c>
      <c r="B275" t="s">
        <v>14</v>
      </c>
      <c r="C275" s="6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  <c r="Q275" s="8"/>
    </row>
    <row r="276" spans="1:17" x14ac:dyDescent="0.3">
      <c r="A276" t="s">
        <v>528</v>
      </c>
      <c r="B276" t="s">
        <v>43</v>
      </c>
      <c r="C276" s="6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  <c r="Q276" s="8"/>
    </row>
    <row r="277" spans="1:17" x14ac:dyDescent="0.3">
      <c r="A277" t="s">
        <v>529</v>
      </c>
      <c r="B277" t="s">
        <v>14</v>
      </c>
      <c r="C277" s="6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  <c r="Q277" s="8"/>
    </row>
    <row r="278" spans="1:17" x14ac:dyDescent="0.3">
      <c r="A278" t="s">
        <v>531</v>
      </c>
      <c r="B278" t="s">
        <v>43</v>
      </c>
      <c r="C278" s="6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  <c r="Q278" s="8"/>
    </row>
    <row r="279" spans="1:17" x14ac:dyDescent="0.3">
      <c r="A279" t="s">
        <v>532</v>
      </c>
      <c r="B279" t="s">
        <v>14</v>
      </c>
      <c r="C279" s="6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  <c r="Q279" s="8"/>
    </row>
    <row r="280" spans="1:17" x14ac:dyDescent="0.3">
      <c r="A280" t="s">
        <v>534</v>
      </c>
      <c r="B280" t="s">
        <v>27</v>
      </c>
      <c r="C280" s="6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  <c r="Q280" s="8"/>
    </row>
    <row r="281" spans="1:17" x14ac:dyDescent="0.3">
      <c r="A281" t="s">
        <v>535</v>
      </c>
      <c r="B281" t="s">
        <v>27</v>
      </c>
      <c r="C281" s="6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s="8"/>
    </row>
    <row r="282" spans="1:17" x14ac:dyDescent="0.3">
      <c r="A282" t="s">
        <v>536</v>
      </c>
      <c r="B282" t="s">
        <v>27</v>
      </c>
      <c r="C282" s="6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  <c r="Q282" s="8"/>
    </row>
    <row r="283" spans="1:17" x14ac:dyDescent="0.3">
      <c r="A283" t="s">
        <v>538</v>
      </c>
      <c r="B283" t="s">
        <v>33</v>
      </c>
      <c r="C283" s="6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  <c r="Q283" s="8"/>
    </row>
    <row r="284" spans="1:17" x14ac:dyDescent="0.3">
      <c r="A284" t="s">
        <v>540</v>
      </c>
      <c r="B284" t="s">
        <v>14</v>
      </c>
      <c r="C284" s="6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  <c r="Q284" s="8"/>
    </row>
    <row r="285" spans="1:17" x14ac:dyDescent="0.3">
      <c r="A285" t="s">
        <v>542</v>
      </c>
      <c r="B285" t="s">
        <v>14</v>
      </c>
      <c r="C285" s="6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  <c r="Q285" s="8"/>
    </row>
    <row r="286" spans="1:17" x14ac:dyDescent="0.3">
      <c r="A286" t="s">
        <v>543</v>
      </c>
      <c r="B286" t="s">
        <v>27</v>
      </c>
      <c r="C286" s="6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  <c r="Q286" s="8"/>
    </row>
    <row r="287" spans="1:17" x14ac:dyDescent="0.3">
      <c r="A287" t="s">
        <v>544</v>
      </c>
      <c r="B287" t="s">
        <v>27</v>
      </c>
      <c r="C287" s="6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  <c r="Q287" s="8"/>
    </row>
    <row r="288" spans="1:17" x14ac:dyDescent="0.3">
      <c r="A288" t="s">
        <v>546</v>
      </c>
      <c r="B288" t="s">
        <v>33</v>
      </c>
      <c r="C288" s="6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  <c r="Q288" s="8"/>
    </row>
    <row r="289" spans="1:17" x14ac:dyDescent="0.3">
      <c r="A289" t="s">
        <v>547</v>
      </c>
      <c r="B289" t="s">
        <v>27</v>
      </c>
      <c r="C289" s="6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  <c r="Q289" s="8"/>
    </row>
    <row r="290" spans="1:17" x14ac:dyDescent="0.3">
      <c r="A290" t="s">
        <v>549</v>
      </c>
      <c r="B290" t="s">
        <v>43</v>
      </c>
      <c r="C290" s="6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  <c r="Q290" s="8"/>
    </row>
    <row r="291" spans="1:17" x14ac:dyDescent="0.3">
      <c r="A291" t="s">
        <v>550</v>
      </c>
      <c r="B291" t="s">
        <v>33</v>
      </c>
      <c r="C291" s="6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  <c r="Q291" s="8"/>
    </row>
    <row r="292" spans="1:17" x14ac:dyDescent="0.3">
      <c r="A292" t="s">
        <v>552</v>
      </c>
      <c r="B292" t="s">
        <v>43</v>
      </c>
      <c r="C292" s="6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  <c r="Q292" s="8"/>
    </row>
    <row r="293" spans="1:17" x14ac:dyDescent="0.3">
      <c r="A293" t="s">
        <v>553</v>
      </c>
      <c r="B293" t="s">
        <v>43</v>
      </c>
      <c r="C293" s="6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  <c r="Q293" s="8"/>
    </row>
    <row r="294" spans="1:17" x14ac:dyDescent="0.3">
      <c r="A294" t="s">
        <v>555</v>
      </c>
      <c r="B294" t="s">
        <v>43</v>
      </c>
      <c r="C294" s="6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  <c r="Q294" s="8"/>
    </row>
    <row r="295" spans="1:17" x14ac:dyDescent="0.3">
      <c r="A295" t="s">
        <v>557</v>
      </c>
      <c r="B295" t="s">
        <v>43</v>
      </c>
      <c r="C295" s="6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  <c r="Q295" s="8"/>
    </row>
    <row r="296" spans="1:17" x14ac:dyDescent="0.3">
      <c r="A296" t="s">
        <v>559</v>
      </c>
      <c r="B296" t="s">
        <v>14</v>
      </c>
      <c r="C296" s="6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s="8"/>
    </row>
    <row r="297" spans="1:17" x14ac:dyDescent="0.3">
      <c r="A297" t="s">
        <v>560</v>
      </c>
      <c r="B297" t="s">
        <v>14</v>
      </c>
      <c r="C297" s="6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  <c r="Q297" s="8"/>
    </row>
    <row r="298" spans="1:17" x14ac:dyDescent="0.3">
      <c r="A298" t="s">
        <v>562</v>
      </c>
      <c r="B298" t="s">
        <v>14</v>
      </c>
      <c r="C298" s="6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  <c r="Q298" s="8"/>
    </row>
    <row r="299" spans="1:17" x14ac:dyDescent="0.3">
      <c r="A299" t="s">
        <v>564</v>
      </c>
      <c r="B299" t="s">
        <v>43</v>
      </c>
      <c r="C299" s="6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  <c r="Q299" s="8"/>
    </row>
    <row r="300" spans="1:17" x14ac:dyDescent="0.3">
      <c r="A300" t="s">
        <v>565</v>
      </c>
      <c r="B300" t="s">
        <v>43</v>
      </c>
      <c r="C300" s="6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  <c r="Q300" s="8"/>
    </row>
    <row r="301" spans="1:17" x14ac:dyDescent="0.3">
      <c r="A301" t="s">
        <v>566</v>
      </c>
      <c r="B301" t="s">
        <v>14</v>
      </c>
      <c r="C301" s="6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s="8"/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D89052-1579-423E-BDC9-B1FFCE944EA0}">
  <dimension ref="A1:X301"/>
  <sheetViews>
    <sheetView workbookViewId="0">
      <selection activeCell="Q3" sqref="Q3"/>
    </sheetView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style="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18.109375" bestFit="1" customWidth="1"/>
    <col min="18" max="18" width="15.109375" bestFit="1" customWidth="1"/>
    <col min="20" max="20" width="22.5546875" bestFit="1" customWidth="1"/>
    <col min="21" max="22" width="15.5546875" bestFit="1" customWidth="1"/>
    <col min="23" max="23" width="10.77734375" bestFit="1" customWidth="1"/>
    <col min="24" max="24" width="21.21875" customWidth="1"/>
  </cols>
  <sheetData>
    <row r="1" spans="1:24" x14ac:dyDescent="0.3">
      <c r="A1" t="s">
        <v>0</v>
      </c>
      <c r="B1" t="s">
        <v>1</v>
      </c>
      <c r="C1" s="5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s="46" t="s">
        <v>618</v>
      </c>
      <c r="Q1" t="s">
        <v>617</v>
      </c>
      <c r="R1" s="46" t="s">
        <v>647</v>
      </c>
    </row>
    <row r="2" spans="1:24" x14ac:dyDescent="0.3">
      <c r="A2" t="s">
        <v>13</v>
      </c>
      <c r="B2" t="s">
        <v>14</v>
      </c>
      <c r="C2" s="5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  <c r="Q2" s="8"/>
      <c r="R2" t="str">
        <f>IFERROR(
  IF(
    AND(
      INT($C2) &gt;= INT(INDEX('Campaign Metadata'!$B:$B, MATCH(TRIM($P2), 'Campaign Metadata'!$A:$A, 0))),
      INT($C2) &lt;= INT(INDEX('Campaign Metadata'!$C:$C, MATCH(TRIM($P2), 'Campaign Metadata'!$A:$A, 0)))
    ),
    "During Campaign",
    "Before Campaign"
  ),
  "No Campaign"
)</f>
        <v>Before Campaign</v>
      </c>
    </row>
    <row r="3" spans="1:24" x14ac:dyDescent="0.3">
      <c r="A3" t="s">
        <v>20</v>
      </c>
      <c r="B3" t="s">
        <v>14</v>
      </c>
      <c r="C3" s="5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  <c r="Q3" s="8"/>
      <c r="R3" t="str">
        <f>IFERROR(
  IF(
    AND(
      INT($C3) &gt;= INT(INDEX('Campaign Metadata'!$B:$B, MATCH(TRIM($P3), 'Campaign Metadata'!$A:$A, 0))),
      INT($C3) &lt;= INT(INDEX('Campaign Metadata'!$C:$C, MATCH(TRIM($P3), 'Campaign Metadata'!$A:$A, 0)))
    ),
    "During Campaign",
    "Before Campaign"
  ),
  "No Campaign"
)</f>
        <v>Before Campaign</v>
      </c>
      <c r="X3" s="39" t="s">
        <v>649</v>
      </c>
    </row>
    <row r="4" spans="1:24" x14ac:dyDescent="0.3">
      <c r="A4" t="s">
        <v>26</v>
      </c>
      <c r="B4" t="s">
        <v>27</v>
      </c>
      <c r="C4" s="5">
        <v>45789</v>
      </c>
      <c r="D4" t="s">
        <v>16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O4" t="s">
        <v>31</v>
      </c>
      <c r="P4" t="s">
        <v>31</v>
      </c>
      <c r="Q4" s="8"/>
      <c r="R4" t="str">
        <f>IFERROR(
  IF(
    AND(
      INT($C4) &gt;= INT(INDEX('Campaign Metadata'!$B:$B, MATCH(TRIM($P4), 'Campaign Metadata'!$A:$A, 0))),
      INT($C4) &lt;= INT(INDEX('Campaign Metadata'!$C:$C, MATCH(TRIM($P4), 'Campaign Metadata'!$A:$A, 0)))
    ),
    "During Campaign",
    "Before Campaign"
  ),
  "No Campaign"
)</f>
        <v>Before Campaign</v>
      </c>
    </row>
    <row r="5" spans="1:24" x14ac:dyDescent="0.3">
      <c r="A5" t="s">
        <v>32</v>
      </c>
      <c r="B5" t="s">
        <v>33</v>
      </c>
      <c r="C5" s="5">
        <v>45516</v>
      </c>
      <c r="D5" t="s">
        <v>35</v>
      </c>
      <c r="E5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37</v>
      </c>
      <c r="O5" t="s">
        <v>38</v>
      </c>
      <c r="P5" t="s">
        <v>38</v>
      </c>
      <c r="Q5" s="8"/>
      <c r="R5" t="str">
        <f>IFERROR(
  IF(
    AND(
      INT($C5) &gt;= INT(INDEX('Campaign Metadata'!$B:$B, MATCH(TRIM($P5), 'Campaign Metadata'!$A:$A, 0))),
      INT($C5) &lt;= INT(INDEX('Campaign Metadata'!$C:$C, MATCH(TRIM($P5), 'Campaign Metadata'!$A:$A, 0)))
    ),
    "During Campaign",
    "Before Campaign"
  ),
  "No Campaign"
)</f>
        <v>Before Campaign</v>
      </c>
    </row>
    <row r="6" spans="1:24" x14ac:dyDescent="0.3">
      <c r="A6" t="s">
        <v>39</v>
      </c>
      <c r="B6" t="s">
        <v>27</v>
      </c>
      <c r="C6" s="5">
        <v>45469</v>
      </c>
      <c r="D6" t="s">
        <v>16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O6" t="s">
        <v>19</v>
      </c>
      <c r="P6" t="s">
        <v>19</v>
      </c>
      <c r="Q6" s="8"/>
      <c r="R6" t="str">
        <f>IFERROR(
  IF(
    AND(
      INT($C6) &gt;= INT(INDEX('Campaign Metadata'!$B:$B, MATCH(TRIM($P6), 'Campaign Metadata'!$A:$A, 0))),
      INT($C6) &lt;= INT(INDEX('Campaign Metadata'!$C:$C, MATCH(TRIM($P6), 'Campaign Metadata'!$A:$A, 0)))
    ),
    "During Campaign",
    "Before Campaign"
  ),
  "No Campaign"
)</f>
        <v>During Campaign</v>
      </c>
    </row>
    <row r="7" spans="1:24" x14ac:dyDescent="0.3">
      <c r="A7" t="s">
        <v>42</v>
      </c>
      <c r="B7" t="s">
        <v>43</v>
      </c>
      <c r="C7" s="5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  <c r="P7" t="s">
        <v>25</v>
      </c>
      <c r="Q7" s="8"/>
      <c r="R7" t="str">
        <f>IFERROR(
  IF(
    AND(
      INT($C7) &gt;= INT(INDEX('Campaign Metadata'!$B:$B, MATCH(TRIM($P7), 'Campaign Metadata'!$A:$A, 0))),
      INT($C7) &lt;= INT(INDEX('Campaign Metadata'!$C:$C, MATCH(TRIM($P7), 'Campaign Metadata'!$A:$A, 0)))
    ),
    "During Campaign",
    "Before Campaign"
  ),
  "No Campaign"
)</f>
        <v>During Campaign</v>
      </c>
    </row>
    <row r="8" spans="1:24" x14ac:dyDescent="0.3">
      <c r="A8" t="s">
        <v>47</v>
      </c>
      <c r="B8" t="s">
        <v>14</v>
      </c>
      <c r="C8" s="5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  <c r="P8" t="s">
        <v>25</v>
      </c>
      <c r="Q8" s="8"/>
      <c r="R8" t="str">
        <f>IFERROR(
  IF(
    AND(
      INT($C8) &gt;= INT(INDEX('Campaign Metadata'!$B:$B, MATCH(TRIM($P8), 'Campaign Metadata'!$A:$A, 0))),
      INT($C8) &lt;= INT(INDEX('Campaign Metadata'!$C:$C, MATCH(TRIM($P8), 'Campaign Metadata'!$A:$A, 0)))
    ),
    "During Campaign",
    "Before Campaign"
  ),
  "No Campaign"
)</f>
        <v>Before Campaign</v>
      </c>
    </row>
    <row r="9" spans="1:24" x14ac:dyDescent="0.3">
      <c r="A9" t="s">
        <v>50</v>
      </c>
      <c r="B9" t="s">
        <v>27</v>
      </c>
      <c r="C9" s="5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  <c r="P9" t="s">
        <v>38</v>
      </c>
      <c r="Q9" s="8"/>
      <c r="R9" t="str">
        <f>IFERROR(
  IF(
    AND(
      INT($C9) &gt;= INT(INDEX('Campaign Metadata'!$B:$B, MATCH(TRIM($P9), 'Campaign Metadata'!$A:$A, 0))),
      INT($C9) &lt;= INT(INDEX('Campaign Metadata'!$C:$C, MATCH(TRIM($P9), 'Campaign Metadata'!$A:$A, 0)))
    ),
    "During Campaign",
    "Before Campaign"
  ),
  "No Campaign"
)</f>
        <v>Before Campaign</v>
      </c>
    </row>
    <row r="10" spans="1:24" x14ac:dyDescent="0.3">
      <c r="A10" t="s">
        <v>54</v>
      </c>
      <c r="B10" t="s">
        <v>43</v>
      </c>
      <c r="C10" s="5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  <c r="Q10" s="8"/>
      <c r="R10" t="str">
        <f>IFERROR(
  IF(
    AND(
      INT($C10) &gt;= INT(INDEX('Campaign Metadata'!$B:$B, MATCH(TRIM($P10), 'Campaign Metadata'!$A:$A, 0))),
      INT($C10) &lt;= INT(INDEX('Campaign Metadata'!$C:$C, MATCH(TRIM($P10), 'Campaign Metadata'!$A:$A, 0)))
    ),
    "During Campaign",
    "Before Campaign"
  ),
  "No Campaign"
)</f>
        <v>Before Campaign</v>
      </c>
    </row>
    <row r="11" spans="1:24" x14ac:dyDescent="0.3">
      <c r="A11" t="s">
        <v>57</v>
      </c>
      <c r="B11" t="s">
        <v>43</v>
      </c>
      <c r="C11" s="5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  <c r="Q11" s="8"/>
      <c r="R11" t="str">
        <f>IFERROR(
  IF(
    AND(
      INT($C11) &gt;= INT(INDEX('Campaign Metadata'!$B:$B, MATCH(TRIM($P11), 'Campaign Metadata'!$A:$A, 0))),
      INT($C11) &lt;= INT(INDEX('Campaign Metadata'!$C:$C, MATCH(TRIM($P11), 'Campaign Metadata'!$A:$A, 0)))
    ),
    "During Campaign",
    "Before Campaign"
  ),
  "No Campaign"
)</f>
        <v>Before Campaign</v>
      </c>
    </row>
    <row r="12" spans="1:24" x14ac:dyDescent="0.3">
      <c r="A12" t="s">
        <v>60</v>
      </c>
      <c r="B12" t="s">
        <v>33</v>
      </c>
      <c r="C12" s="5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  <c r="Q12" s="8"/>
      <c r="R12" t="str">
        <f>IFERROR(
  IF(
    AND(
      INT($C12) &gt;= INT(INDEX('Campaign Metadata'!$B:$B, MATCH(TRIM($P12), 'Campaign Metadata'!$A:$A, 0))),
      INT($C12) &lt;= INT(INDEX('Campaign Metadata'!$C:$C, MATCH(TRIM($P12), 'Campaign Metadata'!$A:$A, 0)))
    ),
    "During Campaign",
    "Before Campaign"
  ),
  "No Campaign"
)</f>
        <v>Before Campaign</v>
      </c>
    </row>
    <row r="13" spans="1:24" x14ac:dyDescent="0.3">
      <c r="A13" t="s">
        <v>63</v>
      </c>
      <c r="B13" t="s">
        <v>43</v>
      </c>
      <c r="C13" s="5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  <c r="Q13" s="8"/>
      <c r="R13" t="str">
        <f>IFERROR(
  IF(
    AND(
      INT($C13) &gt;= INT(INDEX('Campaign Metadata'!$B:$B, MATCH(TRIM($P13), 'Campaign Metadata'!$A:$A, 0))),
      INT($C13) &lt;= INT(INDEX('Campaign Metadata'!$C:$C, MATCH(TRIM($P13), 'Campaign Metadata'!$A:$A, 0)))
    ),
    "During Campaign",
    "Before Campaign"
  ),
  "No Campaign"
)</f>
        <v>Before Campaign</v>
      </c>
    </row>
    <row r="14" spans="1:24" x14ac:dyDescent="0.3">
      <c r="A14" t="s">
        <v>66</v>
      </c>
      <c r="B14" t="s">
        <v>27</v>
      </c>
      <c r="C14" s="5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  <c r="Q14" s="8"/>
      <c r="R14" t="str">
        <f>IFERROR(
  IF(
    AND(
      INT($C14) &gt;= INT(INDEX('Campaign Metadata'!$B:$B, MATCH(TRIM($P14), 'Campaign Metadata'!$A:$A, 0))),
      INT($C14) &lt;= INT(INDEX('Campaign Metadata'!$C:$C, MATCH(TRIM($P14), 'Campaign Metadata'!$A:$A, 0)))
    ),
    "During Campaign",
    "Before Campaign"
  ),
  "No Campaign"
)</f>
        <v>Before Campaign</v>
      </c>
    </row>
    <row r="15" spans="1:24" x14ac:dyDescent="0.3">
      <c r="A15" t="s">
        <v>69</v>
      </c>
      <c r="B15" t="s">
        <v>43</v>
      </c>
      <c r="C15" s="5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  <c r="Q15" s="8"/>
      <c r="R15" t="str">
        <f>IFERROR(
  IF(
    AND(
      INT($C15) &gt;= INT(INDEX('Campaign Metadata'!$B:$B, MATCH(TRIM($P15), 'Campaign Metadata'!$A:$A, 0))),
      INT($C15) &lt;= INT(INDEX('Campaign Metadata'!$C:$C, MATCH(TRIM($P15), 'Campaign Metadata'!$A:$A, 0)))
    ),
    "During Campaign",
    "Before Campaign"
  ),
  "No Campaign"
)</f>
        <v>Before Campaign</v>
      </c>
    </row>
    <row r="16" spans="1:24" x14ac:dyDescent="0.3">
      <c r="A16" t="s">
        <v>72</v>
      </c>
      <c r="B16" t="s">
        <v>43</v>
      </c>
      <c r="C16" s="5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  <c r="Q16" s="8"/>
      <c r="R16" t="str">
        <f>IFERROR(
  IF(
    AND(
      INT($C16) &gt;= INT(INDEX('Campaign Metadata'!$B:$B, MATCH(TRIM($P16), 'Campaign Metadata'!$A:$A, 0))),
      INT($C16) &lt;= INT(INDEX('Campaign Metadata'!$C:$C, MATCH(TRIM($P16), 'Campaign Metadata'!$A:$A, 0)))
    ),
    "During Campaign",
    "Before Campaign"
  ),
  "No Campaign"
)</f>
        <v>Before Campaign</v>
      </c>
    </row>
    <row r="17" spans="1:18" x14ac:dyDescent="0.3">
      <c r="A17" t="s">
        <v>76</v>
      </c>
      <c r="B17" t="s">
        <v>43</v>
      </c>
      <c r="C17" s="5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  <c r="Q17" s="8"/>
      <c r="R17" t="str">
        <f>IFERROR(
  IF(
    AND(
      INT($C17) &gt;= INT(INDEX('Campaign Metadata'!$B:$B, MATCH(TRIM($P17), 'Campaign Metadata'!$A:$A, 0))),
      INT($C17) &lt;= INT(INDEX('Campaign Metadata'!$C:$C, MATCH(TRIM($P17), 'Campaign Metadata'!$A:$A, 0)))
    ),
    "During Campaign",
    "Before Campaign"
  ),
  "No Campaign"
)</f>
        <v>Before Campaign</v>
      </c>
    </row>
    <row r="18" spans="1:18" x14ac:dyDescent="0.3">
      <c r="A18" t="s">
        <v>78</v>
      </c>
      <c r="B18" t="s">
        <v>43</v>
      </c>
      <c r="C18" s="5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  <c r="Q18" s="8"/>
      <c r="R18" t="str">
        <f>IFERROR(
  IF(
    AND(
      INT($C18) &gt;= INT(INDEX('Campaign Metadata'!$B:$B, MATCH(TRIM($P18), 'Campaign Metadata'!$A:$A, 0))),
      INT($C18) &lt;= INT(INDEX('Campaign Metadata'!$C:$C, MATCH(TRIM($P18), 'Campaign Metadata'!$A:$A, 0)))
    ),
    "During Campaign",
    "Before Campaign"
  ),
  "No Campaign"
)</f>
        <v>Before Campaign</v>
      </c>
    </row>
    <row r="19" spans="1:18" x14ac:dyDescent="0.3">
      <c r="A19" t="s">
        <v>80</v>
      </c>
      <c r="B19" t="s">
        <v>33</v>
      </c>
      <c r="C19" s="5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  <c r="Q19" s="8"/>
      <c r="R19" t="str">
        <f>IFERROR(
  IF(
    AND(
      INT($C19) &gt;= INT(INDEX('Campaign Metadata'!$B:$B, MATCH(TRIM($P19), 'Campaign Metadata'!$A:$A, 0))),
      INT($C19) &lt;= INT(INDEX('Campaign Metadata'!$C:$C, MATCH(TRIM($P19), 'Campaign Metadata'!$A:$A, 0)))
    ),
    "During Campaign",
    "Before Campaign"
  ),
  "No Campaign"
)</f>
        <v>Before Campaign</v>
      </c>
    </row>
    <row r="20" spans="1:18" x14ac:dyDescent="0.3">
      <c r="A20" t="s">
        <v>83</v>
      </c>
      <c r="B20" t="s">
        <v>33</v>
      </c>
      <c r="C20" s="5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  <c r="Q20" s="8"/>
      <c r="R20" t="str">
        <f>IFERROR(
  IF(
    AND(
      INT($C20) &gt;= INT(INDEX('Campaign Metadata'!$B:$B, MATCH(TRIM($P20), 'Campaign Metadata'!$A:$A, 0))),
      INT($C20) &lt;= INT(INDEX('Campaign Metadata'!$C:$C, MATCH(TRIM($P20), 'Campaign Metadata'!$A:$A, 0)))
    ),
    "During Campaign",
    "Before Campaign"
  ),
  "No Campaign"
)</f>
        <v>Before Campaign</v>
      </c>
    </row>
    <row r="21" spans="1:18" x14ac:dyDescent="0.3">
      <c r="A21" t="s">
        <v>86</v>
      </c>
      <c r="B21" t="s">
        <v>33</v>
      </c>
      <c r="C21" s="5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  <c r="Q21" s="8"/>
      <c r="R21" t="str">
        <f>IFERROR(
  IF(
    AND(
      INT($C21) &gt;= INT(INDEX('Campaign Metadata'!$B:$B, MATCH(TRIM($P21), 'Campaign Metadata'!$A:$A, 0))),
      INT($C21) &lt;= INT(INDEX('Campaign Metadata'!$C:$C, MATCH(TRIM($P21), 'Campaign Metadata'!$A:$A, 0)))
    ),
    "During Campaign",
    "Before Campaign"
  ),
  "No Campaign"
)</f>
        <v>Before Campaign</v>
      </c>
    </row>
    <row r="22" spans="1:18" x14ac:dyDescent="0.3">
      <c r="A22" t="s">
        <v>89</v>
      </c>
      <c r="B22" t="s">
        <v>33</v>
      </c>
      <c r="C22" s="5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  <c r="Q22" s="8"/>
      <c r="R22" t="str">
        <f>IFERROR(
  IF(
    AND(
      INT($C22) &gt;= INT(INDEX('Campaign Metadata'!$B:$B, MATCH(TRIM($P22), 'Campaign Metadata'!$A:$A, 0))),
      INT($C22) &lt;= INT(INDEX('Campaign Metadata'!$C:$C, MATCH(TRIM($P22), 'Campaign Metadata'!$A:$A, 0)))
    ),
    "During Campaign",
    "Before Campaign"
  ),
  "No Campaign"
)</f>
        <v>Before Campaign</v>
      </c>
    </row>
    <row r="23" spans="1:18" x14ac:dyDescent="0.3">
      <c r="A23" t="s">
        <v>91</v>
      </c>
      <c r="B23" t="s">
        <v>43</v>
      </c>
      <c r="C23" s="5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  <c r="Q23" s="8"/>
      <c r="R23" t="str">
        <f>IFERROR(
  IF(
    AND(
      INT($C23) &gt;= INT(INDEX('Campaign Metadata'!$B:$B, MATCH(TRIM($P23), 'Campaign Metadata'!$A:$A, 0))),
      INT($C23) &lt;= INT(INDEX('Campaign Metadata'!$C:$C, MATCH(TRIM($P23), 'Campaign Metadata'!$A:$A, 0)))
    ),
    "During Campaign",
    "Before Campaign"
  ),
  "No Campaign"
)</f>
        <v>Before Campaign</v>
      </c>
    </row>
    <row r="24" spans="1:18" x14ac:dyDescent="0.3">
      <c r="A24" t="s">
        <v>93</v>
      </c>
      <c r="B24" t="s">
        <v>43</v>
      </c>
      <c r="C24" s="5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  <c r="Q24" s="8"/>
      <c r="R24" t="str">
        <f>IFERROR(
  IF(
    AND(
      INT($C24) &gt;= INT(INDEX('Campaign Metadata'!$B:$B, MATCH(TRIM($P24), 'Campaign Metadata'!$A:$A, 0))),
      INT($C24) &lt;= INT(INDEX('Campaign Metadata'!$C:$C, MATCH(TRIM($P24), 'Campaign Metadata'!$A:$A, 0)))
    ),
    "During Campaign",
    "Before Campaign"
  ),
  "No Campaign"
)</f>
        <v>Before Campaign</v>
      </c>
    </row>
    <row r="25" spans="1:18" x14ac:dyDescent="0.3">
      <c r="A25" t="s">
        <v>96</v>
      </c>
      <c r="B25" t="s">
        <v>43</v>
      </c>
      <c r="C25" s="5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  <c r="Q25" s="8"/>
      <c r="R25" t="str">
        <f>IFERROR(
  IF(
    AND(
      INT($C25) &gt;= INT(INDEX('Campaign Metadata'!$B:$B, MATCH(TRIM($P25), 'Campaign Metadata'!$A:$A, 0))),
      INT($C25) &lt;= INT(INDEX('Campaign Metadata'!$C:$C, MATCH(TRIM($P25), 'Campaign Metadata'!$A:$A, 0)))
    ),
    "During Campaign",
    "Before Campaign"
  ),
  "No Campaign"
)</f>
        <v>Before Campaign</v>
      </c>
    </row>
    <row r="26" spans="1:18" x14ac:dyDescent="0.3">
      <c r="A26" t="s">
        <v>98</v>
      </c>
      <c r="B26" t="s">
        <v>14</v>
      </c>
      <c r="C26" s="5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  <c r="Q26" s="8"/>
      <c r="R26" t="str">
        <f>IFERROR(
  IF(
    AND(
      INT($C26) &gt;= INT(INDEX('Campaign Metadata'!$B:$B, MATCH(TRIM($P26), 'Campaign Metadata'!$A:$A, 0))),
      INT($C26) &lt;= INT(INDEX('Campaign Metadata'!$C:$C, MATCH(TRIM($P26), 'Campaign Metadata'!$A:$A, 0)))
    ),
    "During Campaign",
    "Before Campaign"
  ),
  "No Campaign"
)</f>
        <v>Before Campaign</v>
      </c>
    </row>
    <row r="27" spans="1:18" x14ac:dyDescent="0.3">
      <c r="A27" t="s">
        <v>100</v>
      </c>
      <c r="B27" t="s">
        <v>27</v>
      </c>
      <c r="C27" s="5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  <c r="Q27" s="8"/>
      <c r="R27" t="str">
        <f>IFERROR(
  IF(
    AND(
      INT($C27) &gt;= INT(INDEX('Campaign Metadata'!$B:$B, MATCH(TRIM($P27), 'Campaign Metadata'!$A:$A, 0))),
      INT($C27) &lt;= INT(INDEX('Campaign Metadata'!$C:$C, MATCH(TRIM($P27), 'Campaign Metadata'!$A:$A, 0)))
    ),
    "During Campaign",
    "Before Campaign"
  ),
  "No Campaign"
)</f>
        <v>Before Campaign</v>
      </c>
    </row>
    <row r="28" spans="1:18" x14ac:dyDescent="0.3">
      <c r="A28" t="s">
        <v>102</v>
      </c>
      <c r="B28" t="s">
        <v>27</v>
      </c>
      <c r="C28" s="5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  <c r="Q28" s="8"/>
      <c r="R28" t="str">
        <f>IFERROR(
  IF(
    AND(
      INT($C28) &gt;= INT(INDEX('Campaign Metadata'!$B:$B, MATCH(TRIM($P28), 'Campaign Metadata'!$A:$A, 0))),
      INT($C28) &lt;= INT(INDEX('Campaign Metadata'!$C:$C, MATCH(TRIM($P28), 'Campaign Metadata'!$A:$A, 0)))
    ),
    "During Campaign",
    "Before Campaign"
  ),
  "No Campaign"
)</f>
        <v>Before Campaign</v>
      </c>
    </row>
    <row r="29" spans="1:18" x14ac:dyDescent="0.3">
      <c r="A29" t="s">
        <v>105</v>
      </c>
      <c r="B29" t="s">
        <v>33</v>
      </c>
      <c r="C29" s="5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  <c r="Q29" s="8"/>
      <c r="R29" t="str">
        <f>IFERROR(
  IF(
    AND(
      INT($C29) &gt;= INT(INDEX('Campaign Metadata'!$B:$B, MATCH(TRIM($P29), 'Campaign Metadata'!$A:$A, 0))),
      INT($C29) &lt;= INT(INDEX('Campaign Metadata'!$C:$C, MATCH(TRIM($P29), 'Campaign Metadata'!$A:$A, 0)))
    ),
    "During Campaign",
    "Before Campaign"
  ),
  "No Campaign"
)</f>
        <v>During Campaign</v>
      </c>
    </row>
    <row r="30" spans="1:18" x14ac:dyDescent="0.3">
      <c r="A30" t="s">
        <v>107</v>
      </c>
      <c r="B30" t="s">
        <v>33</v>
      </c>
      <c r="C30" s="5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  <c r="Q30" s="8"/>
      <c r="R30" t="str">
        <f>IFERROR(
  IF(
    AND(
      INT($C30) &gt;= INT(INDEX('Campaign Metadata'!$B:$B, MATCH(TRIM($P30), 'Campaign Metadata'!$A:$A, 0))),
      INT($C30) &lt;= INT(INDEX('Campaign Metadata'!$C:$C, MATCH(TRIM($P30), 'Campaign Metadata'!$A:$A, 0)))
    ),
    "During Campaign",
    "Before Campaign"
  ),
  "No Campaign"
)</f>
        <v>Before Campaign</v>
      </c>
    </row>
    <row r="31" spans="1:18" x14ac:dyDescent="0.3">
      <c r="A31" t="s">
        <v>109</v>
      </c>
      <c r="B31" t="s">
        <v>33</v>
      </c>
      <c r="C31" s="5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  <c r="Q31" s="8"/>
      <c r="R31" t="str">
        <f>IFERROR(
  IF(
    AND(
      INT($C31) &gt;= INT(INDEX('Campaign Metadata'!$B:$B, MATCH(TRIM($P31), 'Campaign Metadata'!$A:$A, 0))),
      INT($C31) &lt;= INT(INDEX('Campaign Metadata'!$C:$C, MATCH(TRIM($P31), 'Campaign Metadata'!$A:$A, 0)))
    ),
    "During Campaign",
    "Before Campaign"
  ),
  "No Campaign"
)</f>
        <v>Before Campaign</v>
      </c>
    </row>
    <row r="32" spans="1:18" x14ac:dyDescent="0.3">
      <c r="A32" t="s">
        <v>111</v>
      </c>
      <c r="B32" t="s">
        <v>33</v>
      </c>
      <c r="C32" s="5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  <c r="Q32" s="8"/>
      <c r="R32" t="str">
        <f>IFERROR(
  IF(
    AND(
      INT($C32) &gt;= INT(INDEX('Campaign Metadata'!$B:$B, MATCH(TRIM($P32), 'Campaign Metadata'!$A:$A, 0))),
      INT($C32) &lt;= INT(INDEX('Campaign Metadata'!$C:$C, MATCH(TRIM($P32), 'Campaign Metadata'!$A:$A, 0)))
    ),
    "During Campaign",
    "Before Campaign"
  ),
  "No Campaign"
)</f>
        <v>Before Campaign</v>
      </c>
    </row>
    <row r="33" spans="1:18" x14ac:dyDescent="0.3">
      <c r="A33" t="s">
        <v>114</v>
      </c>
      <c r="B33" t="s">
        <v>14</v>
      </c>
      <c r="C33" s="5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  <c r="Q33" s="8"/>
      <c r="R33" t="str">
        <f>IFERROR(
  IF(
    AND(
      INT($C33) &gt;= INT(INDEX('Campaign Metadata'!$B:$B, MATCH(TRIM($P33), 'Campaign Metadata'!$A:$A, 0))),
      INT($C33) &lt;= INT(INDEX('Campaign Metadata'!$C:$C, MATCH(TRIM($P33), 'Campaign Metadata'!$A:$A, 0)))
    ),
    "During Campaign",
    "Before Campaign"
  ),
  "No Campaign"
)</f>
        <v>Before Campaign</v>
      </c>
    </row>
    <row r="34" spans="1:18" x14ac:dyDescent="0.3">
      <c r="A34" t="s">
        <v>116</v>
      </c>
      <c r="B34" t="s">
        <v>43</v>
      </c>
      <c r="C34" s="5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  <c r="Q34" s="8"/>
      <c r="R34" t="str">
        <f>IFERROR(
  IF(
    AND(
      INT($C34) &gt;= INT(INDEX('Campaign Metadata'!$B:$B, MATCH(TRIM($P34), 'Campaign Metadata'!$A:$A, 0))),
      INT($C34) &lt;= INT(INDEX('Campaign Metadata'!$C:$C, MATCH(TRIM($P34), 'Campaign Metadata'!$A:$A, 0)))
    ),
    "During Campaign",
    "Before Campaign"
  ),
  "No Campaign"
)</f>
        <v>Before Campaign</v>
      </c>
    </row>
    <row r="35" spans="1:18" x14ac:dyDescent="0.3">
      <c r="A35" t="s">
        <v>118</v>
      </c>
      <c r="B35" t="s">
        <v>43</v>
      </c>
      <c r="C35" s="5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  <c r="Q35" s="8"/>
      <c r="R35" t="str">
        <f>IFERROR(
  IF(
    AND(
      INT($C35) &gt;= INT(INDEX('Campaign Metadata'!$B:$B, MATCH(TRIM($P35), 'Campaign Metadata'!$A:$A, 0))),
      INT($C35) &lt;= INT(INDEX('Campaign Metadata'!$C:$C, MATCH(TRIM($P35), 'Campaign Metadata'!$A:$A, 0)))
    ),
    "During Campaign",
    "Before Campaign"
  ),
  "No Campaign"
)</f>
        <v>Before Campaign</v>
      </c>
    </row>
    <row r="36" spans="1:18" x14ac:dyDescent="0.3">
      <c r="A36" t="s">
        <v>120</v>
      </c>
      <c r="B36" t="s">
        <v>33</v>
      </c>
      <c r="C36" s="5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  <c r="Q36" s="8"/>
      <c r="R36" t="str">
        <f>IFERROR(
  IF(
    AND(
      INT($C36) &gt;= INT(INDEX('Campaign Metadata'!$B:$B, MATCH(TRIM($P36), 'Campaign Metadata'!$A:$A, 0))),
      INT($C36) &lt;= INT(INDEX('Campaign Metadata'!$C:$C, MATCH(TRIM($P36), 'Campaign Metadata'!$A:$A, 0)))
    ),
    "During Campaign",
    "Before Campaign"
  ),
  "No Campaign"
)</f>
        <v>Before Campaign</v>
      </c>
    </row>
    <row r="37" spans="1:18" x14ac:dyDescent="0.3">
      <c r="A37" t="s">
        <v>122</v>
      </c>
      <c r="B37" t="s">
        <v>33</v>
      </c>
      <c r="C37" s="5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  <c r="Q37" s="8"/>
      <c r="R37" t="str">
        <f>IFERROR(
  IF(
    AND(
      INT($C37) &gt;= INT(INDEX('Campaign Metadata'!$B:$B, MATCH(TRIM($P37), 'Campaign Metadata'!$A:$A, 0))),
      INT($C37) &lt;= INT(INDEX('Campaign Metadata'!$C:$C, MATCH(TRIM($P37), 'Campaign Metadata'!$A:$A, 0)))
    ),
    "During Campaign",
    "Before Campaign"
  ),
  "No Campaign"
)</f>
        <v>Before Campaign</v>
      </c>
    </row>
    <row r="38" spans="1:18" x14ac:dyDescent="0.3">
      <c r="A38" t="s">
        <v>124</v>
      </c>
      <c r="B38" t="s">
        <v>43</v>
      </c>
      <c r="C38" s="5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  <c r="Q38" s="8"/>
      <c r="R38" t="str">
        <f>IFERROR(
  IF(
    AND(
      INT($C38) &gt;= INT(INDEX('Campaign Metadata'!$B:$B, MATCH(TRIM($P38), 'Campaign Metadata'!$A:$A, 0))),
      INT($C38) &lt;= INT(INDEX('Campaign Metadata'!$C:$C, MATCH(TRIM($P38), 'Campaign Metadata'!$A:$A, 0)))
    ),
    "During Campaign",
    "Before Campaign"
  ),
  "No Campaign"
)</f>
        <v>Before Campaign</v>
      </c>
    </row>
    <row r="39" spans="1:18" x14ac:dyDescent="0.3">
      <c r="A39" t="s">
        <v>126</v>
      </c>
      <c r="B39" t="s">
        <v>27</v>
      </c>
      <c r="C39" s="5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  <c r="Q39" s="8"/>
      <c r="R39" t="str">
        <f>IFERROR(
  IF(
    AND(
      INT($C39) &gt;= INT(INDEX('Campaign Metadata'!$B:$B, MATCH(TRIM($P39), 'Campaign Metadata'!$A:$A, 0))),
      INT($C39) &lt;= INT(INDEX('Campaign Metadata'!$C:$C, MATCH(TRIM($P39), 'Campaign Metadata'!$A:$A, 0)))
    ),
    "During Campaign",
    "Before Campaign"
  ),
  "No Campaign"
)</f>
        <v>Before Campaign</v>
      </c>
    </row>
    <row r="40" spans="1:18" x14ac:dyDescent="0.3">
      <c r="A40" t="s">
        <v>128</v>
      </c>
      <c r="B40" t="s">
        <v>43</v>
      </c>
      <c r="C40" s="5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  <c r="Q40" s="8"/>
      <c r="R40" t="str">
        <f>IFERROR(
  IF(
    AND(
      INT($C40) &gt;= INT(INDEX('Campaign Metadata'!$B:$B, MATCH(TRIM($P40), 'Campaign Metadata'!$A:$A, 0))),
      INT($C40) &lt;= INT(INDEX('Campaign Metadata'!$C:$C, MATCH(TRIM($P40), 'Campaign Metadata'!$A:$A, 0)))
    ),
    "During Campaign",
    "Before Campaign"
  ),
  "No Campaign"
)</f>
        <v>Before Campaign</v>
      </c>
    </row>
    <row r="41" spans="1:18" x14ac:dyDescent="0.3">
      <c r="A41" t="s">
        <v>130</v>
      </c>
      <c r="B41" t="s">
        <v>14</v>
      </c>
      <c r="C41" s="5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  <c r="Q41" s="8"/>
      <c r="R41" t="str">
        <f>IFERROR(
  IF(
    AND(
      INT($C41) &gt;= INT(INDEX('Campaign Metadata'!$B:$B, MATCH(TRIM($P41), 'Campaign Metadata'!$A:$A, 0))),
      INT($C41) &lt;= INT(INDEX('Campaign Metadata'!$C:$C, MATCH(TRIM($P41), 'Campaign Metadata'!$A:$A, 0)))
    ),
    "During Campaign",
    "Before Campaign"
  ),
  "No Campaign"
)</f>
        <v>During Campaign</v>
      </c>
    </row>
    <row r="42" spans="1:18" x14ac:dyDescent="0.3">
      <c r="A42" t="s">
        <v>133</v>
      </c>
      <c r="B42" t="s">
        <v>33</v>
      </c>
      <c r="C42" s="5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  <c r="Q42" s="8"/>
      <c r="R42" t="str">
        <f>IFERROR(
  IF(
    AND(
      INT($C42) &gt;= INT(INDEX('Campaign Metadata'!$B:$B, MATCH(TRIM($P42), 'Campaign Metadata'!$A:$A, 0))),
      INT($C42) &lt;= INT(INDEX('Campaign Metadata'!$C:$C, MATCH(TRIM($P42), 'Campaign Metadata'!$A:$A, 0)))
    ),
    "During Campaign",
    "Before Campaign"
  ),
  "No Campaign"
)</f>
        <v>During Campaign</v>
      </c>
    </row>
    <row r="43" spans="1:18" x14ac:dyDescent="0.3">
      <c r="A43" t="s">
        <v>135</v>
      </c>
      <c r="B43" t="s">
        <v>27</v>
      </c>
      <c r="C43" s="5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  <c r="Q43" s="8"/>
      <c r="R43" t="str">
        <f>IFERROR(
  IF(
    AND(
      INT($C43) &gt;= INT(INDEX('Campaign Metadata'!$B:$B, MATCH(TRIM($P43), 'Campaign Metadata'!$A:$A, 0))),
      INT($C43) &lt;= INT(INDEX('Campaign Metadata'!$C:$C, MATCH(TRIM($P43), 'Campaign Metadata'!$A:$A, 0)))
    ),
    "During Campaign",
    "Before Campaign"
  ),
  "No Campaign"
)</f>
        <v>Before Campaign</v>
      </c>
    </row>
    <row r="44" spans="1:18" x14ac:dyDescent="0.3">
      <c r="A44" t="s">
        <v>137</v>
      </c>
      <c r="B44" t="s">
        <v>33</v>
      </c>
      <c r="C44" s="5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  <c r="Q44" s="8"/>
      <c r="R44" t="str">
        <f>IFERROR(
  IF(
    AND(
      INT($C44) &gt;= INT(INDEX('Campaign Metadata'!$B:$B, MATCH(TRIM($P44), 'Campaign Metadata'!$A:$A, 0))),
      INT($C44) &lt;= INT(INDEX('Campaign Metadata'!$C:$C, MATCH(TRIM($P44), 'Campaign Metadata'!$A:$A, 0)))
    ),
    "During Campaign",
    "Before Campaign"
  ),
  "No Campaign"
)</f>
        <v>Before Campaign</v>
      </c>
    </row>
    <row r="45" spans="1:18" x14ac:dyDescent="0.3">
      <c r="A45" t="s">
        <v>139</v>
      </c>
      <c r="B45" t="s">
        <v>14</v>
      </c>
      <c r="C45" s="5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  <c r="Q45" s="8"/>
      <c r="R45" t="str">
        <f>IFERROR(
  IF(
    AND(
      INT($C45) &gt;= INT(INDEX('Campaign Metadata'!$B:$B, MATCH(TRIM($P45), 'Campaign Metadata'!$A:$A, 0))),
      INT($C45) &lt;= INT(INDEX('Campaign Metadata'!$C:$C, MATCH(TRIM($P45), 'Campaign Metadata'!$A:$A, 0)))
    ),
    "During Campaign",
    "Before Campaign"
  ),
  "No Campaign"
)</f>
        <v>Before Campaign</v>
      </c>
    </row>
    <row r="46" spans="1:18" x14ac:dyDescent="0.3">
      <c r="A46" t="s">
        <v>141</v>
      </c>
      <c r="B46" t="s">
        <v>43</v>
      </c>
      <c r="C46" s="5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  <c r="Q46" s="8"/>
      <c r="R46" t="str">
        <f>IFERROR(
  IF(
    AND(
      INT($C46) &gt;= INT(INDEX('Campaign Metadata'!$B:$B, MATCH(TRIM($P46), 'Campaign Metadata'!$A:$A, 0))),
      INT($C46) &lt;= INT(INDEX('Campaign Metadata'!$C:$C, MATCH(TRIM($P46), 'Campaign Metadata'!$A:$A, 0)))
    ),
    "During Campaign",
    "Before Campaign"
  ),
  "No Campaign"
)</f>
        <v>Before Campaign</v>
      </c>
    </row>
    <row r="47" spans="1:18" x14ac:dyDescent="0.3">
      <c r="A47" t="s">
        <v>143</v>
      </c>
      <c r="B47" t="s">
        <v>14</v>
      </c>
      <c r="C47" s="5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  <c r="Q47" s="8"/>
      <c r="R47" t="str">
        <f>IFERROR(
  IF(
    AND(
      INT($C47) &gt;= INT(INDEX('Campaign Metadata'!$B:$B, MATCH(TRIM($P47), 'Campaign Metadata'!$A:$A, 0))),
      INT($C47) &lt;= INT(INDEX('Campaign Metadata'!$C:$C, MATCH(TRIM($P47), 'Campaign Metadata'!$A:$A, 0)))
    ),
    "During Campaign",
    "Before Campaign"
  ),
  "No Campaign"
)</f>
        <v>Before Campaign</v>
      </c>
    </row>
    <row r="48" spans="1:18" x14ac:dyDescent="0.3">
      <c r="A48" t="s">
        <v>146</v>
      </c>
      <c r="B48" t="s">
        <v>14</v>
      </c>
      <c r="C48" s="5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  <c r="Q48" s="8"/>
      <c r="R48" t="str">
        <f>IFERROR(
  IF(
    AND(
      INT($C48) &gt;= INT(INDEX('Campaign Metadata'!$B:$B, MATCH(TRIM($P48), 'Campaign Metadata'!$A:$A, 0))),
      INT($C48) &lt;= INT(INDEX('Campaign Metadata'!$C:$C, MATCH(TRIM($P48), 'Campaign Metadata'!$A:$A, 0)))
    ),
    "During Campaign",
    "Before Campaign"
  ),
  "No Campaign"
)</f>
        <v>Before Campaign</v>
      </c>
    </row>
    <row r="49" spans="1:18" x14ac:dyDescent="0.3">
      <c r="A49" t="s">
        <v>148</v>
      </c>
      <c r="B49" t="s">
        <v>14</v>
      </c>
      <c r="C49" s="5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  <c r="Q49" s="8"/>
      <c r="R49" t="str">
        <f>IFERROR(
  IF(
    AND(
      INT($C49) &gt;= INT(INDEX('Campaign Metadata'!$B:$B, MATCH(TRIM($P49), 'Campaign Metadata'!$A:$A, 0))),
      INT($C49) &lt;= INT(INDEX('Campaign Metadata'!$C:$C, MATCH(TRIM($P49), 'Campaign Metadata'!$A:$A, 0)))
    ),
    "During Campaign",
    "Before Campaign"
  ),
  "No Campaign"
)</f>
        <v>Before Campaign</v>
      </c>
    </row>
    <row r="50" spans="1:18" x14ac:dyDescent="0.3">
      <c r="A50" t="s">
        <v>150</v>
      </c>
      <c r="B50" t="s">
        <v>14</v>
      </c>
      <c r="C50" s="5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  <c r="Q50" s="8"/>
      <c r="R50" t="str">
        <f>IFERROR(
  IF(
    AND(
      INT($C50) &gt;= INT(INDEX('Campaign Metadata'!$B:$B, MATCH(TRIM($P50), 'Campaign Metadata'!$A:$A, 0))),
      INT($C50) &lt;= INT(INDEX('Campaign Metadata'!$C:$C, MATCH(TRIM($P50), 'Campaign Metadata'!$A:$A, 0)))
    ),
    "During Campaign",
    "Before Campaign"
  ),
  "No Campaign"
)</f>
        <v>Before Campaign</v>
      </c>
    </row>
    <row r="51" spans="1:18" x14ac:dyDescent="0.3">
      <c r="A51" t="s">
        <v>152</v>
      </c>
      <c r="B51" t="s">
        <v>27</v>
      </c>
      <c r="C51" s="5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  <c r="Q51" s="8"/>
      <c r="R51" t="str">
        <f>IFERROR(
  IF(
    AND(
      INT($C51) &gt;= INT(INDEX('Campaign Metadata'!$B:$B, MATCH(TRIM($P51), 'Campaign Metadata'!$A:$A, 0))),
      INT($C51) &lt;= INT(INDEX('Campaign Metadata'!$C:$C, MATCH(TRIM($P51), 'Campaign Metadata'!$A:$A, 0)))
    ),
    "During Campaign",
    "Before Campaign"
  ),
  "No Campaign"
)</f>
        <v>Before Campaign</v>
      </c>
    </row>
    <row r="52" spans="1:18" x14ac:dyDescent="0.3">
      <c r="A52" t="s">
        <v>155</v>
      </c>
      <c r="B52" t="s">
        <v>43</v>
      </c>
      <c r="C52" s="5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  <c r="Q52" s="8"/>
      <c r="R52" t="str">
        <f>IFERROR(
  IF(
    AND(
      INT($C52) &gt;= INT(INDEX('Campaign Metadata'!$B:$B, MATCH(TRIM($P52), 'Campaign Metadata'!$A:$A, 0))),
      INT($C52) &lt;= INT(INDEX('Campaign Metadata'!$C:$C, MATCH(TRIM($P52), 'Campaign Metadata'!$A:$A, 0)))
    ),
    "During Campaign",
    "Before Campaign"
  ),
  "No Campaign"
)</f>
        <v>Before Campaign</v>
      </c>
    </row>
    <row r="53" spans="1:18" x14ac:dyDescent="0.3">
      <c r="A53" t="s">
        <v>157</v>
      </c>
      <c r="B53" t="s">
        <v>43</v>
      </c>
      <c r="C53" s="5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  <c r="Q53" s="8"/>
      <c r="R53" t="str">
        <f>IFERROR(
  IF(
    AND(
      INT($C53) &gt;= INT(INDEX('Campaign Metadata'!$B:$B, MATCH(TRIM($P53), 'Campaign Metadata'!$A:$A, 0))),
      INT($C53) &lt;= INT(INDEX('Campaign Metadata'!$C:$C, MATCH(TRIM($P53), 'Campaign Metadata'!$A:$A, 0)))
    ),
    "During Campaign",
    "Before Campaign"
  ),
  "No Campaign"
)</f>
        <v>Before Campaign</v>
      </c>
    </row>
    <row r="54" spans="1:18" x14ac:dyDescent="0.3">
      <c r="A54" t="s">
        <v>159</v>
      </c>
      <c r="B54" t="s">
        <v>27</v>
      </c>
      <c r="C54" s="5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  <c r="Q54" s="8"/>
      <c r="R54" t="str">
        <f>IFERROR(
  IF(
    AND(
      INT($C54) &gt;= INT(INDEX('Campaign Metadata'!$B:$B, MATCH(TRIM($P54), 'Campaign Metadata'!$A:$A, 0))),
      INT($C54) &lt;= INT(INDEX('Campaign Metadata'!$C:$C, MATCH(TRIM($P54), 'Campaign Metadata'!$A:$A, 0)))
    ),
    "During Campaign",
    "Before Campaign"
  ),
  "No Campaign"
)</f>
        <v>Before Campaign</v>
      </c>
    </row>
    <row r="55" spans="1:18" x14ac:dyDescent="0.3">
      <c r="A55" t="s">
        <v>161</v>
      </c>
      <c r="B55" t="s">
        <v>27</v>
      </c>
      <c r="C55" s="5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  <c r="Q55" s="8"/>
      <c r="R55" t="str">
        <f>IFERROR(
  IF(
    AND(
      INT($C55) &gt;= INT(INDEX('Campaign Metadata'!$B:$B, MATCH(TRIM($P55), 'Campaign Metadata'!$A:$A, 0))),
      INT($C55) &lt;= INT(INDEX('Campaign Metadata'!$C:$C, MATCH(TRIM($P55), 'Campaign Metadata'!$A:$A, 0)))
    ),
    "During Campaign",
    "Before Campaign"
  ),
  "No Campaign"
)</f>
        <v>Before Campaign</v>
      </c>
    </row>
    <row r="56" spans="1:18" x14ac:dyDescent="0.3">
      <c r="A56" t="s">
        <v>163</v>
      </c>
      <c r="B56" t="s">
        <v>43</v>
      </c>
      <c r="C56" s="5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  <c r="Q56" s="8"/>
      <c r="R56" t="str">
        <f>IFERROR(
  IF(
    AND(
      INT($C56) &gt;= INT(INDEX('Campaign Metadata'!$B:$B, MATCH(TRIM($P56), 'Campaign Metadata'!$A:$A, 0))),
      INT($C56) &lt;= INT(INDEX('Campaign Metadata'!$C:$C, MATCH(TRIM($P56), 'Campaign Metadata'!$A:$A, 0)))
    ),
    "During Campaign",
    "Before Campaign"
  ),
  "No Campaign"
)</f>
        <v>Before Campaign</v>
      </c>
    </row>
    <row r="57" spans="1:18" x14ac:dyDescent="0.3">
      <c r="A57" t="s">
        <v>165</v>
      </c>
      <c r="B57" t="s">
        <v>43</v>
      </c>
      <c r="C57" s="5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  <c r="Q57" s="8"/>
      <c r="R57" t="str">
        <f>IFERROR(
  IF(
    AND(
      INT($C57) &gt;= INT(INDEX('Campaign Metadata'!$B:$B, MATCH(TRIM($P57), 'Campaign Metadata'!$A:$A, 0))),
      INT($C57) &lt;= INT(INDEX('Campaign Metadata'!$C:$C, MATCH(TRIM($P57), 'Campaign Metadata'!$A:$A, 0)))
    ),
    "During Campaign",
    "Before Campaign"
  ),
  "No Campaign"
)</f>
        <v>Before Campaign</v>
      </c>
    </row>
    <row r="58" spans="1:18" x14ac:dyDescent="0.3">
      <c r="A58" t="s">
        <v>167</v>
      </c>
      <c r="B58" t="s">
        <v>14</v>
      </c>
      <c r="C58" s="5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  <c r="Q58" s="8"/>
      <c r="R58" t="str">
        <f>IFERROR(
  IF(
    AND(
      INT($C58) &gt;= INT(INDEX('Campaign Metadata'!$B:$B, MATCH(TRIM($P58), 'Campaign Metadata'!$A:$A, 0))),
      INT($C58) &lt;= INT(INDEX('Campaign Metadata'!$C:$C, MATCH(TRIM($P58), 'Campaign Metadata'!$A:$A, 0)))
    ),
    "During Campaign",
    "Before Campaign"
  ),
  "No Campaign"
)</f>
        <v>Before Campaign</v>
      </c>
    </row>
    <row r="59" spans="1:18" x14ac:dyDescent="0.3">
      <c r="A59" t="s">
        <v>169</v>
      </c>
      <c r="B59" t="s">
        <v>33</v>
      </c>
      <c r="C59" s="5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  <c r="Q59" s="8"/>
      <c r="R59" t="str">
        <f>IFERROR(
  IF(
    AND(
      INT($C59) &gt;= INT(INDEX('Campaign Metadata'!$B:$B, MATCH(TRIM($P59), 'Campaign Metadata'!$A:$A, 0))),
      INT($C59) &lt;= INT(INDEX('Campaign Metadata'!$C:$C, MATCH(TRIM($P59), 'Campaign Metadata'!$A:$A, 0)))
    ),
    "During Campaign",
    "Before Campaign"
  ),
  "No Campaign"
)</f>
        <v>Before Campaign</v>
      </c>
    </row>
    <row r="60" spans="1:18" x14ac:dyDescent="0.3">
      <c r="A60" t="s">
        <v>171</v>
      </c>
      <c r="B60" t="s">
        <v>33</v>
      </c>
      <c r="C60" s="5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  <c r="Q60" s="8"/>
      <c r="R60" t="str">
        <f>IFERROR(
  IF(
    AND(
      INT($C60) &gt;= INT(INDEX('Campaign Metadata'!$B:$B, MATCH(TRIM($P60), 'Campaign Metadata'!$A:$A, 0))),
      INT($C60) &lt;= INT(INDEX('Campaign Metadata'!$C:$C, MATCH(TRIM($P60), 'Campaign Metadata'!$A:$A, 0)))
    ),
    "During Campaign",
    "Before Campaign"
  ),
  "No Campaign"
)</f>
        <v>During Campaign</v>
      </c>
    </row>
    <row r="61" spans="1:18" x14ac:dyDescent="0.3">
      <c r="A61" t="s">
        <v>173</v>
      </c>
      <c r="B61" t="s">
        <v>33</v>
      </c>
      <c r="C61" s="5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s="8"/>
      <c r="R61" t="str">
        <f>IFERROR(
  IF(
    AND(
      INT($C61) &gt;= INT(INDEX('Campaign Metadata'!$B:$B, MATCH(TRIM($P61), 'Campaign Metadata'!$A:$A, 0))),
      INT($C61) &lt;= INT(INDEX('Campaign Metadata'!$C:$C, MATCH(TRIM($P61), 'Campaign Metadata'!$A:$A, 0)))
    ),
    "During Campaign",
    "Before Campaign"
  ),
  "No Campaign"
)</f>
        <v>Before Campaign</v>
      </c>
    </row>
    <row r="62" spans="1:18" x14ac:dyDescent="0.3">
      <c r="A62" t="s">
        <v>176</v>
      </c>
      <c r="B62" t="s">
        <v>14</v>
      </c>
      <c r="C62" s="5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  <c r="Q62" s="8"/>
      <c r="R62" t="str">
        <f>IFERROR(
  IF(
    AND(
      INT($C62) &gt;= INT(INDEX('Campaign Metadata'!$B:$B, MATCH(TRIM($P62), 'Campaign Metadata'!$A:$A, 0))),
      INT($C62) &lt;= INT(INDEX('Campaign Metadata'!$C:$C, MATCH(TRIM($P62), 'Campaign Metadata'!$A:$A, 0)))
    ),
    "During Campaign",
    "Before Campaign"
  ),
  "No Campaign"
)</f>
        <v>Before Campaign</v>
      </c>
    </row>
    <row r="63" spans="1:18" x14ac:dyDescent="0.3">
      <c r="A63" t="s">
        <v>178</v>
      </c>
      <c r="B63" t="s">
        <v>14</v>
      </c>
      <c r="C63" s="5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  <c r="Q63" s="8"/>
      <c r="R63" t="str">
        <f>IFERROR(
  IF(
    AND(
      INT($C63) &gt;= INT(INDEX('Campaign Metadata'!$B:$B, MATCH(TRIM($P63), 'Campaign Metadata'!$A:$A, 0))),
      INT($C63) &lt;= INT(INDEX('Campaign Metadata'!$C:$C, MATCH(TRIM($P63), 'Campaign Metadata'!$A:$A, 0)))
    ),
    "During Campaign",
    "Before Campaign"
  ),
  "No Campaign"
)</f>
        <v>Before Campaign</v>
      </c>
    </row>
    <row r="64" spans="1:18" x14ac:dyDescent="0.3">
      <c r="A64" t="s">
        <v>180</v>
      </c>
      <c r="B64" t="s">
        <v>14</v>
      </c>
      <c r="C64" s="5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  <c r="Q64" s="8"/>
      <c r="R64" t="str">
        <f>IFERROR(
  IF(
    AND(
      INT($C64) &gt;= INT(INDEX('Campaign Metadata'!$B:$B, MATCH(TRIM($P64), 'Campaign Metadata'!$A:$A, 0))),
      INT($C64) &lt;= INT(INDEX('Campaign Metadata'!$C:$C, MATCH(TRIM($P64), 'Campaign Metadata'!$A:$A, 0)))
    ),
    "During Campaign",
    "Before Campaign"
  ),
  "No Campaign"
)</f>
        <v>Before Campaign</v>
      </c>
    </row>
    <row r="65" spans="1:18" x14ac:dyDescent="0.3">
      <c r="A65" t="s">
        <v>181</v>
      </c>
      <c r="B65" t="s">
        <v>43</v>
      </c>
      <c r="C65" s="5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  <c r="Q65" s="8"/>
      <c r="R65" t="str">
        <f>IFERROR(
  IF(
    AND(
      INT($C65) &gt;= INT(INDEX('Campaign Metadata'!$B:$B, MATCH(TRIM($P65), 'Campaign Metadata'!$A:$A, 0))),
      INT($C65) &lt;= INT(INDEX('Campaign Metadata'!$C:$C, MATCH(TRIM($P65), 'Campaign Metadata'!$A:$A, 0)))
    ),
    "During Campaign",
    "Before Campaign"
  ),
  "No Campaign"
)</f>
        <v>Before Campaign</v>
      </c>
    </row>
    <row r="66" spans="1:18" x14ac:dyDescent="0.3">
      <c r="A66" t="s">
        <v>183</v>
      </c>
      <c r="B66" t="s">
        <v>33</v>
      </c>
      <c r="C66" s="5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  <c r="Q66" s="8"/>
      <c r="R66" t="str">
        <f>IFERROR(
  IF(
    AND(
      INT($C66) &gt;= INT(INDEX('Campaign Metadata'!$B:$B, MATCH(TRIM($P66), 'Campaign Metadata'!$A:$A, 0))),
      INT($C66) &lt;= INT(INDEX('Campaign Metadata'!$C:$C, MATCH(TRIM($P66), 'Campaign Metadata'!$A:$A, 0)))
    ),
    "During Campaign",
    "Before Campaign"
  ),
  "No Campaign"
)</f>
        <v>Before Campaign</v>
      </c>
    </row>
    <row r="67" spans="1:18" x14ac:dyDescent="0.3">
      <c r="A67" t="s">
        <v>185</v>
      </c>
      <c r="B67" t="s">
        <v>14</v>
      </c>
      <c r="C67" s="5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  <c r="Q67" s="8"/>
      <c r="R67" t="str">
        <f>IFERROR(
  IF(
    AND(
      INT($C67) &gt;= INT(INDEX('Campaign Metadata'!$B:$B, MATCH(TRIM($P67), 'Campaign Metadata'!$A:$A, 0))),
      INT($C67) &lt;= INT(INDEX('Campaign Metadata'!$C:$C, MATCH(TRIM($P67), 'Campaign Metadata'!$A:$A, 0)))
    ),
    "During Campaign",
    "Before Campaign"
  ),
  "No Campaign"
)</f>
        <v>Before Campaign</v>
      </c>
    </row>
    <row r="68" spans="1:18" x14ac:dyDescent="0.3">
      <c r="A68" t="s">
        <v>187</v>
      </c>
      <c r="B68" t="s">
        <v>43</v>
      </c>
      <c r="C68" s="5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  <c r="Q68" s="8"/>
      <c r="R68" t="str">
        <f>IFERROR(
  IF(
    AND(
      INT($C68) &gt;= INT(INDEX('Campaign Metadata'!$B:$B, MATCH(TRIM($P68), 'Campaign Metadata'!$A:$A, 0))),
      INT($C68) &lt;= INT(INDEX('Campaign Metadata'!$C:$C, MATCH(TRIM($P68), 'Campaign Metadata'!$A:$A, 0)))
    ),
    "During Campaign",
    "Before Campaign"
  ),
  "No Campaign"
)</f>
        <v>Before Campaign</v>
      </c>
    </row>
    <row r="69" spans="1:18" x14ac:dyDescent="0.3">
      <c r="A69" t="s">
        <v>189</v>
      </c>
      <c r="B69" t="s">
        <v>33</v>
      </c>
      <c r="C69" s="5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  <c r="Q69" s="8"/>
      <c r="R69" t="str">
        <f>IFERROR(
  IF(
    AND(
      INT($C69) &gt;= INT(INDEX('Campaign Metadata'!$B:$B, MATCH(TRIM($P69), 'Campaign Metadata'!$A:$A, 0))),
      INT($C69) &lt;= INT(INDEX('Campaign Metadata'!$C:$C, MATCH(TRIM($P69), 'Campaign Metadata'!$A:$A, 0)))
    ),
    "During Campaign",
    "Before Campaign"
  ),
  "No Campaign"
)</f>
        <v>Before Campaign</v>
      </c>
    </row>
    <row r="70" spans="1:18" x14ac:dyDescent="0.3">
      <c r="A70" t="s">
        <v>191</v>
      </c>
      <c r="B70" t="s">
        <v>14</v>
      </c>
      <c r="C70" s="5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  <c r="Q70" s="8"/>
      <c r="R70" t="str">
        <f>IFERROR(
  IF(
    AND(
      INT($C70) &gt;= INT(INDEX('Campaign Metadata'!$B:$B, MATCH(TRIM($P70), 'Campaign Metadata'!$A:$A, 0))),
      INT($C70) &lt;= INT(INDEX('Campaign Metadata'!$C:$C, MATCH(TRIM($P70), 'Campaign Metadata'!$A:$A, 0)))
    ),
    "During Campaign",
    "Before Campaign"
  ),
  "No Campaign"
)</f>
        <v>Before Campaign</v>
      </c>
    </row>
    <row r="71" spans="1:18" x14ac:dyDescent="0.3">
      <c r="A71" t="s">
        <v>192</v>
      </c>
      <c r="B71" t="s">
        <v>43</v>
      </c>
      <c r="C71" s="5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  <c r="Q71" s="8"/>
      <c r="R71" t="str">
        <f>IFERROR(
  IF(
    AND(
      INT($C71) &gt;= INT(INDEX('Campaign Metadata'!$B:$B, MATCH(TRIM($P71), 'Campaign Metadata'!$A:$A, 0))),
      INT($C71) &lt;= INT(INDEX('Campaign Metadata'!$C:$C, MATCH(TRIM($P71), 'Campaign Metadata'!$A:$A, 0)))
    ),
    "During Campaign",
    "Before Campaign"
  ),
  "No Campaign"
)</f>
        <v>Before Campaign</v>
      </c>
    </row>
    <row r="72" spans="1:18" x14ac:dyDescent="0.3">
      <c r="A72" t="s">
        <v>194</v>
      </c>
      <c r="B72" t="s">
        <v>27</v>
      </c>
      <c r="C72" s="5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  <c r="Q72" s="8"/>
      <c r="R72" t="str">
        <f>IFERROR(
  IF(
    AND(
      INT($C72) &gt;= INT(INDEX('Campaign Metadata'!$B:$B, MATCH(TRIM($P72), 'Campaign Metadata'!$A:$A, 0))),
      INT($C72) &lt;= INT(INDEX('Campaign Metadata'!$C:$C, MATCH(TRIM($P72), 'Campaign Metadata'!$A:$A, 0)))
    ),
    "During Campaign",
    "Before Campaign"
  ),
  "No Campaign"
)</f>
        <v>Before Campaign</v>
      </c>
    </row>
    <row r="73" spans="1:18" x14ac:dyDescent="0.3">
      <c r="A73" t="s">
        <v>196</v>
      </c>
      <c r="B73" t="s">
        <v>27</v>
      </c>
      <c r="C73" s="5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  <c r="Q73" s="8"/>
      <c r="R73" t="str">
        <f>IFERROR(
  IF(
    AND(
      INT($C73) &gt;= INT(INDEX('Campaign Metadata'!$B:$B, MATCH(TRIM($P73), 'Campaign Metadata'!$A:$A, 0))),
      INT($C73) &lt;= INT(INDEX('Campaign Metadata'!$C:$C, MATCH(TRIM($P73), 'Campaign Metadata'!$A:$A, 0)))
    ),
    "During Campaign",
    "Before Campaign"
  ),
  "No Campaign"
)</f>
        <v>Before Campaign</v>
      </c>
    </row>
    <row r="74" spans="1:18" x14ac:dyDescent="0.3">
      <c r="A74" t="s">
        <v>198</v>
      </c>
      <c r="B74" t="s">
        <v>43</v>
      </c>
      <c r="C74" s="5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  <c r="Q74" s="8"/>
      <c r="R74" t="str">
        <f>IFERROR(
  IF(
    AND(
      INT($C74) &gt;= INT(INDEX('Campaign Metadata'!$B:$B, MATCH(TRIM($P74), 'Campaign Metadata'!$A:$A, 0))),
      INT($C74) &lt;= INT(INDEX('Campaign Metadata'!$C:$C, MATCH(TRIM($P74), 'Campaign Metadata'!$A:$A, 0)))
    ),
    "During Campaign",
    "Before Campaign"
  ),
  "No Campaign"
)</f>
        <v>Before Campaign</v>
      </c>
    </row>
    <row r="75" spans="1:18" x14ac:dyDescent="0.3">
      <c r="A75" t="s">
        <v>200</v>
      </c>
      <c r="B75" t="s">
        <v>27</v>
      </c>
      <c r="C75" s="5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  <c r="Q75" s="8"/>
      <c r="R75" t="str">
        <f>IFERROR(
  IF(
    AND(
      INT($C75) &gt;= INT(INDEX('Campaign Metadata'!$B:$B, MATCH(TRIM($P75), 'Campaign Metadata'!$A:$A, 0))),
      INT($C75) &lt;= INT(INDEX('Campaign Metadata'!$C:$C, MATCH(TRIM($P75), 'Campaign Metadata'!$A:$A, 0)))
    ),
    "During Campaign",
    "Before Campaign"
  ),
  "No Campaign"
)</f>
        <v>Before Campaign</v>
      </c>
    </row>
    <row r="76" spans="1:18" x14ac:dyDescent="0.3">
      <c r="A76" t="s">
        <v>202</v>
      </c>
      <c r="B76" t="s">
        <v>33</v>
      </c>
      <c r="C76" s="5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  <c r="Q76" s="8"/>
      <c r="R76" t="str">
        <f>IFERROR(
  IF(
    AND(
      INT($C76) &gt;= INT(INDEX('Campaign Metadata'!$B:$B, MATCH(TRIM($P76), 'Campaign Metadata'!$A:$A, 0))),
      INT($C76) &lt;= INT(INDEX('Campaign Metadata'!$C:$C, MATCH(TRIM($P76), 'Campaign Metadata'!$A:$A, 0)))
    ),
    "During Campaign",
    "Before Campaign"
  ),
  "No Campaign"
)</f>
        <v>Before Campaign</v>
      </c>
    </row>
    <row r="77" spans="1:18" x14ac:dyDescent="0.3">
      <c r="A77" t="s">
        <v>204</v>
      </c>
      <c r="B77" t="s">
        <v>14</v>
      </c>
      <c r="C77" s="5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  <c r="Q77" s="8"/>
      <c r="R77" t="str">
        <f>IFERROR(
  IF(
    AND(
      INT($C77) &gt;= INT(INDEX('Campaign Metadata'!$B:$B, MATCH(TRIM($P77), 'Campaign Metadata'!$A:$A, 0))),
      INT($C77) &lt;= INT(INDEX('Campaign Metadata'!$C:$C, MATCH(TRIM($P77), 'Campaign Metadata'!$A:$A, 0)))
    ),
    "During Campaign",
    "Before Campaign"
  ),
  "No Campaign"
)</f>
        <v>Before Campaign</v>
      </c>
    </row>
    <row r="78" spans="1:18" x14ac:dyDescent="0.3">
      <c r="A78" t="s">
        <v>206</v>
      </c>
      <c r="B78" t="s">
        <v>43</v>
      </c>
      <c r="C78" s="5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  <c r="Q78" s="8"/>
      <c r="R78" t="str">
        <f>IFERROR(
  IF(
    AND(
      INT($C78) &gt;= INT(INDEX('Campaign Metadata'!$B:$B, MATCH(TRIM($P78), 'Campaign Metadata'!$A:$A, 0))),
      INT($C78) &lt;= INT(INDEX('Campaign Metadata'!$C:$C, MATCH(TRIM($P78), 'Campaign Metadata'!$A:$A, 0)))
    ),
    "During Campaign",
    "Before Campaign"
  ),
  "No Campaign"
)</f>
        <v>Before Campaign</v>
      </c>
    </row>
    <row r="79" spans="1:18" x14ac:dyDescent="0.3">
      <c r="A79" t="s">
        <v>207</v>
      </c>
      <c r="B79" t="s">
        <v>14</v>
      </c>
      <c r="C79" s="5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  <c r="Q79" s="8"/>
      <c r="R79" t="str">
        <f>IFERROR(
  IF(
    AND(
      INT($C79) &gt;= INT(INDEX('Campaign Metadata'!$B:$B, MATCH(TRIM($P79), 'Campaign Metadata'!$A:$A, 0))),
      INT($C79) &lt;= INT(INDEX('Campaign Metadata'!$C:$C, MATCH(TRIM($P79), 'Campaign Metadata'!$A:$A, 0)))
    ),
    "During Campaign",
    "Before Campaign"
  ),
  "No Campaign"
)</f>
        <v>Before Campaign</v>
      </c>
    </row>
    <row r="80" spans="1:18" x14ac:dyDescent="0.3">
      <c r="A80" t="s">
        <v>208</v>
      </c>
      <c r="B80" t="s">
        <v>33</v>
      </c>
      <c r="C80" s="5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  <c r="Q80" s="8"/>
      <c r="R80" t="str">
        <f>IFERROR(
  IF(
    AND(
      INT($C80) &gt;= INT(INDEX('Campaign Metadata'!$B:$B, MATCH(TRIM($P80), 'Campaign Metadata'!$A:$A, 0))),
      INT($C80) &lt;= INT(INDEX('Campaign Metadata'!$C:$C, MATCH(TRIM($P80), 'Campaign Metadata'!$A:$A, 0)))
    ),
    "During Campaign",
    "Before Campaign"
  ),
  "No Campaign"
)</f>
        <v>During Campaign</v>
      </c>
    </row>
    <row r="81" spans="1:18" x14ac:dyDescent="0.3">
      <c r="A81" t="s">
        <v>210</v>
      </c>
      <c r="B81" t="s">
        <v>33</v>
      </c>
      <c r="C81" s="5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  <c r="Q81" s="8"/>
      <c r="R81" t="str">
        <f>IFERROR(
  IF(
    AND(
      INT($C81) &gt;= INT(INDEX('Campaign Metadata'!$B:$B, MATCH(TRIM($P81), 'Campaign Metadata'!$A:$A, 0))),
      INT($C81) &lt;= INT(INDEX('Campaign Metadata'!$C:$C, MATCH(TRIM($P81), 'Campaign Metadata'!$A:$A, 0)))
    ),
    "During Campaign",
    "Before Campaign"
  ),
  "No Campaign"
)</f>
        <v>Before Campaign</v>
      </c>
    </row>
    <row r="82" spans="1:18" x14ac:dyDescent="0.3">
      <c r="A82" t="s">
        <v>211</v>
      </c>
      <c r="B82" t="s">
        <v>33</v>
      </c>
      <c r="C82" s="5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  <c r="Q82" s="8"/>
      <c r="R82" t="str">
        <f>IFERROR(
  IF(
    AND(
      INT($C82) &gt;= INT(INDEX('Campaign Metadata'!$B:$B, MATCH(TRIM($P82), 'Campaign Metadata'!$A:$A, 0))),
      INT($C82) &lt;= INT(INDEX('Campaign Metadata'!$C:$C, MATCH(TRIM($P82), 'Campaign Metadata'!$A:$A, 0)))
    ),
    "During Campaign",
    "Before Campaign"
  ),
  "No Campaign"
)</f>
        <v>Before Campaign</v>
      </c>
    </row>
    <row r="83" spans="1:18" x14ac:dyDescent="0.3">
      <c r="A83" t="s">
        <v>213</v>
      </c>
      <c r="B83" t="s">
        <v>33</v>
      </c>
      <c r="C83" s="5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s="8"/>
      <c r="R83" t="str">
        <f>IFERROR(
  IF(
    AND(
      INT($C83) &gt;= INT(INDEX('Campaign Metadata'!$B:$B, MATCH(TRIM($P83), 'Campaign Metadata'!$A:$A, 0))),
      INT($C83) &lt;= INT(INDEX('Campaign Metadata'!$C:$C, MATCH(TRIM($P83), 'Campaign Metadata'!$A:$A, 0)))
    ),
    "During Campaign",
    "Before Campaign"
  ),
  "No Campaign"
)</f>
        <v>Before Campaign</v>
      </c>
    </row>
    <row r="84" spans="1:18" x14ac:dyDescent="0.3">
      <c r="A84" t="s">
        <v>217</v>
      </c>
      <c r="B84" t="s">
        <v>27</v>
      </c>
      <c r="C84" s="5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  <c r="Q84" s="8"/>
      <c r="R84" t="str">
        <f>IFERROR(
  IF(
    AND(
      INT($C84) &gt;= INT(INDEX('Campaign Metadata'!$B:$B, MATCH(TRIM($P84), 'Campaign Metadata'!$A:$A, 0))),
      INT($C84) &lt;= INT(INDEX('Campaign Metadata'!$C:$C, MATCH(TRIM($P84), 'Campaign Metadata'!$A:$A, 0)))
    ),
    "During Campaign",
    "Before Campaign"
  ),
  "No Campaign"
)</f>
        <v>Before Campaign</v>
      </c>
    </row>
    <row r="85" spans="1:18" x14ac:dyDescent="0.3">
      <c r="A85" t="s">
        <v>220</v>
      </c>
      <c r="B85" t="s">
        <v>43</v>
      </c>
      <c r="C85" s="5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  <c r="Q85" s="8"/>
      <c r="R85" t="str">
        <f>IFERROR(
  IF(
    AND(
      INT($C85) &gt;= INT(INDEX('Campaign Metadata'!$B:$B, MATCH(TRIM($P85), 'Campaign Metadata'!$A:$A, 0))),
      INT($C85) &lt;= INT(INDEX('Campaign Metadata'!$C:$C, MATCH(TRIM($P85), 'Campaign Metadata'!$A:$A, 0)))
    ),
    "During Campaign",
    "Before Campaign"
  ),
  "No Campaign"
)</f>
        <v>Before Campaign</v>
      </c>
    </row>
    <row r="86" spans="1:18" x14ac:dyDescent="0.3">
      <c r="A86" t="s">
        <v>222</v>
      </c>
      <c r="B86" t="s">
        <v>33</v>
      </c>
      <c r="C86" s="5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  <c r="Q86" s="8"/>
      <c r="R86" t="str">
        <f>IFERROR(
  IF(
    AND(
      INT($C86) &gt;= INT(INDEX('Campaign Metadata'!$B:$B, MATCH(TRIM($P86), 'Campaign Metadata'!$A:$A, 0))),
      INT($C86) &lt;= INT(INDEX('Campaign Metadata'!$C:$C, MATCH(TRIM($P86), 'Campaign Metadata'!$A:$A, 0)))
    ),
    "During Campaign",
    "Before Campaign"
  ),
  "No Campaign"
)</f>
        <v>Before Campaign</v>
      </c>
    </row>
    <row r="87" spans="1:18" x14ac:dyDescent="0.3">
      <c r="A87" t="s">
        <v>223</v>
      </c>
      <c r="B87" t="s">
        <v>27</v>
      </c>
      <c r="C87" s="5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  <c r="Q87" s="8"/>
      <c r="R87" t="str">
        <f>IFERROR(
  IF(
    AND(
      INT($C87) &gt;= INT(INDEX('Campaign Metadata'!$B:$B, MATCH(TRIM($P87), 'Campaign Metadata'!$A:$A, 0))),
      INT($C87) &lt;= INT(INDEX('Campaign Metadata'!$C:$C, MATCH(TRIM($P87), 'Campaign Metadata'!$A:$A, 0)))
    ),
    "During Campaign",
    "Before Campaign"
  ),
  "No Campaign"
)</f>
        <v>Before Campaign</v>
      </c>
    </row>
    <row r="88" spans="1:18" x14ac:dyDescent="0.3">
      <c r="A88" t="s">
        <v>225</v>
      </c>
      <c r="B88" t="s">
        <v>14</v>
      </c>
      <c r="C88" s="5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  <c r="Q88" s="8"/>
      <c r="R88" t="str">
        <f>IFERROR(
  IF(
    AND(
      INT($C88) &gt;= INT(INDEX('Campaign Metadata'!$B:$B, MATCH(TRIM($P88), 'Campaign Metadata'!$A:$A, 0))),
      INT($C88) &lt;= INT(INDEX('Campaign Metadata'!$C:$C, MATCH(TRIM($P88), 'Campaign Metadata'!$A:$A, 0)))
    ),
    "During Campaign",
    "Before Campaign"
  ),
  "No Campaign"
)</f>
        <v>Before Campaign</v>
      </c>
    </row>
    <row r="89" spans="1:18" x14ac:dyDescent="0.3">
      <c r="A89" t="s">
        <v>227</v>
      </c>
      <c r="B89" t="s">
        <v>43</v>
      </c>
      <c r="C89" s="5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  <c r="Q89" s="8"/>
      <c r="R89" t="str">
        <f>IFERROR(
  IF(
    AND(
      INT($C89) &gt;= INT(INDEX('Campaign Metadata'!$B:$B, MATCH(TRIM($P89), 'Campaign Metadata'!$A:$A, 0))),
      INT($C89) &lt;= INT(INDEX('Campaign Metadata'!$C:$C, MATCH(TRIM($P89), 'Campaign Metadata'!$A:$A, 0)))
    ),
    "During Campaign",
    "Before Campaign"
  ),
  "No Campaign"
)</f>
        <v>Before Campaign</v>
      </c>
    </row>
    <row r="90" spans="1:18" x14ac:dyDescent="0.3">
      <c r="A90" t="s">
        <v>229</v>
      </c>
      <c r="B90" t="s">
        <v>14</v>
      </c>
      <c r="C90" s="5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  <c r="Q90" s="8"/>
      <c r="R90" t="str">
        <f>IFERROR(
  IF(
    AND(
      INT($C90) &gt;= INT(INDEX('Campaign Metadata'!$B:$B, MATCH(TRIM($P90), 'Campaign Metadata'!$A:$A, 0))),
      INT($C90) &lt;= INT(INDEX('Campaign Metadata'!$C:$C, MATCH(TRIM($P90), 'Campaign Metadata'!$A:$A, 0)))
    ),
    "During Campaign",
    "Before Campaign"
  ),
  "No Campaign"
)</f>
        <v>Before Campaign</v>
      </c>
    </row>
    <row r="91" spans="1:18" x14ac:dyDescent="0.3">
      <c r="A91" t="s">
        <v>231</v>
      </c>
      <c r="B91" t="s">
        <v>33</v>
      </c>
      <c r="C91" s="5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  <c r="Q91" s="8"/>
      <c r="R91" t="str">
        <f>IFERROR(
  IF(
    AND(
      INT($C91) &gt;= INT(INDEX('Campaign Metadata'!$B:$B, MATCH(TRIM($P91), 'Campaign Metadata'!$A:$A, 0))),
      INT($C91) &lt;= INT(INDEX('Campaign Metadata'!$C:$C, MATCH(TRIM($P91), 'Campaign Metadata'!$A:$A, 0)))
    ),
    "During Campaign",
    "Before Campaign"
  ),
  "No Campaign"
)</f>
        <v>Before Campaign</v>
      </c>
    </row>
    <row r="92" spans="1:18" x14ac:dyDescent="0.3">
      <c r="A92" t="s">
        <v>233</v>
      </c>
      <c r="B92" t="s">
        <v>43</v>
      </c>
      <c r="C92" s="5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  <c r="Q92" s="8"/>
      <c r="R92" t="str">
        <f>IFERROR(
  IF(
    AND(
      INT($C92) &gt;= INT(INDEX('Campaign Metadata'!$B:$B, MATCH(TRIM($P92), 'Campaign Metadata'!$A:$A, 0))),
      INT($C92) &lt;= INT(INDEX('Campaign Metadata'!$C:$C, MATCH(TRIM($P92), 'Campaign Metadata'!$A:$A, 0)))
    ),
    "During Campaign",
    "Before Campaign"
  ),
  "No Campaign"
)</f>
        <v>During Campaign</v>
      </c>
    </row>
    <row r="93" spans="1:18" x14ac:dyDescent="0.3">
      <c r="A93" t="s">
        <v>235</v>
      </c>
      <c r="B93" t="s">
        <v>14</v>
      </c>
      <c r="C93" s="5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  <c r="Q93" s="8"/>
      <c r="R93" t="str">
        <f>IFERROR(
  IF(
    AND(
      INT($C93) &gt;= INT(INDEX('Campaign Metadata'!$B:$B, MATCH(TRIM($P93), 'Campaign Metadata'!$A:$A, 0))),
      INT($C93) &lt;= INT(INDEX('Campaign Metadata'!$C:$C, MATCH(TRIM($P93), 'Campaign Metadata'!$A:$A, 0)))
    ),
    "During Campaign",
    "Before Campaign"
  ),
  "No Campaign"
)</f>
        <v>Before Campaign</v>
      </c>
    </row>
    <row r="94" spans="1:18" x14ac:dyDescent="0.3">
      <c r="A94" t="s">
        <v>236</v>
      </c>
      <c r="B94" t="s">
        <v>33</v>
      </c>
      <c r="C94" s="5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  <c r="Q94" s="8"/>
      <c r="R94" t="str">
        <f>IFERROR(
  IF(
    AND(
      INT($C94) &gt;= INT(INDEX('Campaign Metadata'!$B:$B, MATCH(TRIM($P94), 'Campaign Metadata'!$A:$A, 0))),
      INT($C94) &lt;= INT(INDEX('Campaign Metadata'!$C:$C, MATCH(TRIM($P94), 'Campaign Metadata'!$A:$A, 0)))
    ),
    "During Campaign",
    "Before Campaign"
  ),
  "No Campaign"
)</f>
        <v>Before Campaign</v>
      </c>
    </row>
    <row r="95" spans="1:18" x14ac:dyDescent="0.3">
      <c r="A95" t="s">
        <v>238</v>
      </c>
      <c r="B95" t="s">
        <v>33</v>
      </c>
      <c r="C95" s="5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  <c r="Q95" s="8"/>
      <c r="R95" t="str">
        <f>IFERROR(
  IF(
    AND(
      INT($C95) &gt;= INT(INDEX('Campaign Metadata'!$B:$B, MATCH(TRIM($P95), 'Campaign Metadata'!$A:$A, 0))),
      INT($C95) &lt;= INT(INDEX('Campaign Metadata'!$C:$C, MATCH(TRIM($P95), 'Campaign Metadata'!$A:$A, 0)))
    ),
    "During Campaign",
    "Before Campaign"
  ),
  "No Campaign"
)</f>
        <v>Before Campaign</v>
      </c>
    </row>
    <row r="96" spans="1:18" x14ac:dyDescent="0.3">
      <c r="A96" t="s">
        <v>239</v>
      </c>
      <c r="B96" t="s">
        <v>33</v>
      </c>
      <c r="C96" s="5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  <c r="Q96" s="8"/>
      <c r="R96" t="str">
        <f>IFERROR(
  IF(
    AND(
      INT($C96) &gt;= INT(INDEX('Campaign Metadata'!$B:$B, MATCH(TRIM($P96), 'Campaign Metadata'!$A:$A, 0))),
      INT($C96) &lt;= INT(INDEX('Campaign Metadata'!$C:$C, MATCH(TRIM($P96), 'Campaign Metadata'!$A:$A, 0)))
    ),
    "During Campaign",
    "Before Campaign"
  ),
  "No Campaign"
)</f>
        <v>Before Campaign</v>
      </c>
    </row>
    <row r="97" spans="1:18" x14ac:dyDescent="0.3">
      <c r="A97" t="s">
        <v>241</v>
      </c>
      <c r="B97" t="s">
        <v>14</v>
      </c>
      <c r="C97" s="5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  <c r="Q97" s="8"/>
      <c r="R97" t="str">
        <f>IFERROR(
  IF(
    AND(
      INT($C97) &gt;= INT(INDEX('Campaign Metadata'!$B:$B, MATCH(TRIM($P97), 'Campaign Metadata'!$A:$A, 0))),
      INT($C97) &lt;= INT(INDEX('Campaign Metadata'!$C:$C, MATCH(TRIM($P97), 'Campaign Metadata'!$A:$A, 0)))
    ),
    "During Campaign",
    "Before Campaign"
  ),
  "No Campaign"
)</f>
        <v>Before Campaign</v>
      </c>
    </row>
    <row r="98" spans="1:18" x14ac:dyDescent="0.3">
      <c r="A98" t="s">
        <v>243</v>
      </c>
      <c r="B98" t="s">
        <v>33</v>
      </c>
      <c r="C98" s="5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  <c r="Q98" s="8"/>
      <c r="R98" t="str">
        <f>IFERROR(
  IF(
    AND(
      INT($C98) &gt;= INT(INDEX('Campaign Metadata'!$B:$B, MATCH(TRIM($P98), 'Campaign Metadata'!$A:$A, 0))),
      INT($C98) &lt;= INT(INDEX('Campaign Metadata'!$C:$C, MATCH(TRIM($P98), 'Campaign Metadata'!$A:$A, 0)))
    ),
    "During Campaign",
    "Before Campaign"
  ),
  "No Campaign"
)</f>
        <v>Before Campaign</v>
      </c>
    </row>
    <row r="99" spans="1:18" x14ac:dyDescent="0.3">
      <c r="A99" t="s">
        <v>245</v>
      </c>
      <c r="B99" t="s">
        <v>14</v>
      </c>
      <c r="C99" s="5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  <c r="Q99" s="8"/>
      <c r="R99" t="str">
        <f>IFERROR(
  IF(
    AND(
      INT($C99) &gt;= INT(INDEX('Campaign Metadata'!$B:$B, MATCH(TRIM($P99), 'Campaign Metadata'!$A:$A, 0))),
      INT($C99) &lt;= INT(INDEX('Campaign Metadata'!$C:$C, MATCH(TRIM($P99), 'Campaign Metadata'!$A:$A, 0)))
    ),
    "During Campaign",
    "Before Campaign"
  ),
  "No Campaign"
)</f>
        <v>Before Campaign</v>
      </c>
    </row>
    <row r="100" spans="1:18" x14ac:dyDescent="0.3">
      <c r="A100" t="s">
        <v>246</v>
      </c>
      <c r="B100" t="s">
        <v>27</v>
      </c>
      <c r="C100" s="5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  <c r="Q100" s="8"/>
      <c r="R100" t="str">
        <f>IFERROR(
  IF(
    AND(
      INT($C100) &gt;= INT(INDEX('Campaign Metadata'!$B:$B, MATCH(TRIM($P100), 'Campaign Metadata'!$A:$A, 0))),
      INT($C100) &lt;= INT(INDEX('Campaign Metadata'!$C:$C, MATCH(TRIM($P100), 'Campaign Metadata'!$A:$A, 0)))
    ),
    "During Campaign",
    "Before Campaign"
  ),
  "No Campaign"
)</f>
        <v>Before Campaign</v>
      </c>
    </row>
    <row r="101" spans="1:18" x14ac:dyDescent="0.3">
      <c r="A101" t="s">
        <v>248</v>
      </c>
      <c r="B101" t="s">
        <v>27</v>
      </c>
      <c r="C101" s="5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  <c r="Q101" s="8"/>
      <c r="R101" t="str">
        <f>IFERROR(
  IF(
    AND(
      INT($C101) &gt;= INT(INDEX('Campaign Metadata'!$B:$B, MATCH(TRIM($P101), 'Campaign Metadata'!$A:$A, 0))),
      INT($C101) &lt;= INT(INDEX('Campaign Metadata'!$C:$C, MATCH(TRIM($P101), 'Campaign Metadata'!$A:$A, 0)))
    ),
    "During Campaign",
    "Before Campaign"
  ),
  "No Campaign"
)</f>
        <v>Before Campaign</v>
      </c>
    </row>
    <row r="102" spans="1:18" x14ac:dyDescent="0.3">
      <c r="A102" t="s">
        <v>250</v>
      </c>
      <c r="B102" t="s">
        <v>27</v>
      </c>
      <c r="C102" s="5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  <c r="Q102" s="8"/>
      <c r="R102" t="str">
        <f>IFERROR(
  IF(
    AND(
      INT($C102) &gt;= INT(INDEX('Campaign Metadata'!$B:$B, MATCH(TRIM($P102), 'Campaign Metadata'!$A:$A, 0))),
      INT($C102) &lt;= INT(INDEX('Campaign Metadata'!$C:$C, MATCH(TRIM($P102), 'Campaign Metadata'!$A:$A, 0)))
    ),
    "During Campaign",
    "Before Campaign"
  ),
  "No Campaign"
)</f>
        <v>Before Campaign</v>
      </c>
    </row>
    <row r="103" spans="1:18" x14ac:dyDescent="0.3">
      <c r="A103" t="s">
        <v>251</v>
      </c>
      <c r="B103" t="s">
        <v>14</v>
      </c>
      <c r="C103" s="5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  <c r="Q103" s="8"/>
      <c r="R103" t="str">
        <f>IFERROR(
  IF(
    AND(
      INT($C103) &gt;= INT(INDEX('Campaign Metadata'!$B:$B, MATCH(TRIM($P103), 'Campaign Metadata'!$A:$A, 0))),
      INT($C103) &lt;= INT(INDEX('Campaign Metadata'!$C:$C, MATCH(TRIM($P103), 'Campaign Metadata'!$A:$A, 0)))
    ),
    "During Campaign",
    "Before Campaign"
  ),
  "No Campaign"
)</f>
        <v>Before Campaign</v>
      </c>
    </row>
    <row r="104" spans="1:18" x14ac:dyDescent="0.3">
      <c r="A104" t="s">
        <v>253</v>
      </c>
      <c r="B104" t="s">
        <v>43</v>
      </c>
      <c r="C104" s="5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  <c r="Q104" s="8"/>
      <c r="R104" t="str">
        <f>IFERROR(
  IF(
    AND(
      INT($C104) &gt;= INT(INDEX('Campaign Metadata'!$B:$B, MATCH(TRIM($P104), 'Campaign Metadata'!$A:$A, 0))),
      INT($C104) &lt;= INT(INDEX('Campaign Metadata'!$C:$C, MATCH(TRIM($P104), 'Campaign Metadata'!$A:$A, 0)))
    ),
    "During Campaign",
    "Before Campaign"
  ),
  "No Campaign"
)</f>
        <v>Before Campaign</v>
      </c>
    </row>
    <row r="105" spans="1:18" x14ac:dyDescent="0.3">
      <c r="A105" t="s">
        <v>255</v>
      </c>
      <c r="B105" t="s">
        <v>27</v>
      </c>
      <c r="C105" s="5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  <c r="Q105" s="8"/>
      <c r="R105" t="str">
        <f>IFERROR(
  IF(
    AND(
      INT($C105) &gt;= INT(INDEX('Campaign Metadata'!$B:$B, MATCH(TRIM($P105), 'Campaign Metadata'!$A:$A, 0))),
      INT($C105) &lt;= INT(INDEX('Campaign Metadata'!$C:$C, MATCH(TRIM($P105), 'Campaign Metadata'!$A:$A, 0)))
    ),
    "During Campaign",
    "Before Campaign"
  ),
  "No Campaign"
)</f>
        <v>Before Campaign</v>
      </c>
    </row>
    <row r="106" spans="1:18" x14ac:dyDescent="0.3">
      <c r="A106" t="s">
        <v>257</v>
      </c>
      <c r="B106" t="s">
        <v>33</v>
      </c>
      <c r="C106" s="5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  <c r="Q106" s="8"/>
      <c r="R106" t="str">
        <f>IFERROR(
  IF(
    AND(
      INT($C106) &gt;= INT(INDEX('Campaign Metadata'!$B:$B, MATCH(TRIM($P106), 'Campaign Metadata'!$A:$A, 0))),
      INT($C106) &lt;= INT(INDEX('Campaign Metadata'!$C:$C, MATCH(TRIM($P106), 'Campaign Metadata'!$A:$A, 0)))
    ),
    "During Campaign",
    "Before Campaign"
  ),
  "No Campaign"
)</f>
        <v>Before Campaign</v>
      </c>
    </row>
    <row r="107" spans="1:18" x14ac:dyDescent="0.3">
      <c r="A107" t="s">
        <v>259</v>
      </c>
      <c r="B107" t="s">
        <v>33</v>
      </c>
      <c r="C107" s="5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  <c r="Q107" s="8"/>
      <c r="R107" t="str">
        <f>IFERROR(
  IF(
    AND(
      INT($C107) &gt;= INT(INDEX('Campaign Metadata'!$B:$B, MATCH(TRIM($P107), 'Campaign Metadata'!$A:$A, 0))),
      INT($C107) &lt;= INT(INDEX('Campaign Metadata'!$C:$C, MATCH(TRIM($P107), 'Campaign Metadata'!$A:$A, 0)))
    ),
    "During Campaign",
    "Before Campaign"
  ),
  "No Campaign"
)</f>
        <v>Before Campaign</v>
      </c>
    </row>
    <row r="108" spans="1:18" x14ac:dyDescent="0.3">
      <c r="A108" t="s">
        <v>261</v>
      </c>
      <c r="B108" t="s">
        <v>27</v>
      </c>
      <c r="C108" s="5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  <c r="Q108" s="8"/>
      <c r="R108" t="str">
        <f>IFERROR(
  IF(
    AND(
      INT($C108) &gt;= INT(INDEX('Campaign Metadata'!$B:$B, MATCH(TRIM($P108), 'Campaign Metadata'!$A:$A, 0))),
      INT($C108) &lt;= INT(INDEX('Campaign Metadata'!$C:$C, MATCH(TRIM($P108), 'Campaign Metadata'!$A:$A, 0)))
    ),
    "During Campaign",
    "Before Campaign"
  ),
  "No Campaign"
)</f>
        <v>Before Campaign</v>
      </c>
    </row>
    <row r="109" spans="1:18" x14ac:dyDescent="0.3">
      <c r="A109" t="s">
        <v>263</v>
      </c>
      <c r="B109" t="s">
        <v>14</v>
      </c>
      <c r="C109" s="5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  <c r="Q109" s="8"/>
      <c r="R109" t="str">
        <f>IFERROR(
  IF(
    AND(
      INT($C109) &gt;= INT(INDEX('Campaign Metadata'!$B:$B, MATCH(TRIM($P109), 'Campaign Metadata'!$A:$A, 0))),
      INT($C109) &lt;= INT(INDEX('Campaign Metadata'!$C:$C, MATCH(TRIM($P109), 'Campaign Metadata'!$A:$A, 0)))
    ),
    "During Campaign",
    "Before Campaign"
  ),
  "No Campaign"
)</f>
        <v>Before Campaign</v>
      </c>
    </row>
    <row r="110" spans="1:18" x14ac:dyDescent="0.3">
      <c r="A110" t="s">
        <v>265</v>
      </c>
      <c r="B110" t="s">
        <v>14</v>
      </c>
      <c r="C110" s="5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  <c r="Q110" s="8"/>
      <c r="R110" t="str">
        <f>IFERROR(
  IF(
    AND(
      INT($C110) &gt;= INT(INDEX('Campaign Metadata'!$B:$B, MATCH(TRIM($P110), 'Campaign Metadata'!$A:$A, 0))),
      INT($C110) &lt;= INT(INDEX('Campaign Metadata'!$C:$C, MATCH(TRIM($P110), 'Campaign Metadata'!$A:$A, 0)))
    ),
    "During Campaign",
    "Before Campaign"
  ),
  "No Campaign"
)</f>
        <v>Before Campaign</v>
      </c>
    </row>
    <row r="111" spans="1:18" x14ac:dyDescent="0.3">
      <c r="A111" t="s">
        <v>267</v>
      </c>
      <c r="B111" t="s">
        <v>33</v>
      </c>
      <c r="C111" s="5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  <c r="Q111" s="8"/>
      <c r="R111" t="str">
        <f>IFERROR(
  IF(
    AND(
      INT($C111) &gt;= INT(INDEX('Campaign Metadata'!$B:$B, MATCH(TRIM($P111), 'Campaign Metadata'!$A:$A, 0))),
      INT($C111) &lt;= INT(INDEX('Campaign Metadata'!$C:$C, MATCH(TRIM($P111), 'Campaign Metadata'!$A:$A, 0)))
    ),
    "During Campaign",
    "Before Campaign"
  ),
  "No Campaign"
)</f>
        <v>Before Campaign</v>
      </c>
    </row>
    <row r="112" spans="1:18" x14ac:dyDescent="0.3">
      <c r="A112" t="s">
        <v>269</v>
      </c>
      <c r="B112" t="s">
        <v>27</v>
      </c>
      <c r="C112" s="5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  <c r="Q112" s="8"/>
      <c r="R112" t="str">
        <f>IFERROR(
  IF(
    AND(
      INT($C112) &gt;= INT(INDEX('Campaign Metadata'!$B:$B, MATCH(TRIM($P112), 'Campaign Metadata'!$A:$A, 0))),
      INT($C112) &lt;= INT(INDEX('Campaign Metadata'!$C:$C, MATCH(TRIM($P112), 'Campaign Metadata'!$A:$A, 0)))
    ),
    "During Campaign",
    "Before Campaign"
  ),
  "No Campaign"
)</f>
        <v>Before Campaign</v>
      </c>
    </row>
    <row r="113" spans="1:18" x14ac:dyDescent="0.3">
      <c r="A113" t="s">
        <v>271</v>
      </c>
      <c r="B113" t="s">
        <v>14</v>
      </c>
      <c r="C113" s="5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  <c r="Q113" s="8"/>
      <c r="R113" t="str">
        <f>IFERROR(
  IF(
    AND(
      INT($C113) &gt;= INT(INDEX('Campaign Metadata'!$B:$B, MATCH(TRIM($P113), 'Campaign Metadata'!$A:$A, 0))),
      INT($C113) &lt;= INT(INDEX('Campaign Metadata'!$C:$C, MATCH(TRIM($P113), 'Campaign Metadata'!$A:$A, 0)))
    ),
    "During Campaign",
    "Before Campaign"
  ),
  "No Campaign"
)</f>
        <v>Before Campaign</v>
      </c>
    </row>
    <row r="114" spans="1:18" x14ac:dyDescent="0.3">
      <c r="A114" t="s">
        <v>273</v>
      </c>
      <c r="B114" t="s">
        <v>14</v>
      </c>
      <c r="C114" s="5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  <c r="Q114" s="8"/>
      <c r="R114" t="str">
        <f>IFERROR(
  IF(
    AND(
      INT($C114) &gt;= INT(INDEX('Campaign Metadata'!$B:$B, MATCH(TRIM($P114), 'Campaign Metadata'!$A:$A, 0))),
      INT($C114) &lt;= INT(INDEX('Campaign Metadata'!$C:$C, MATCH(TRIM($P114), 'Campaign Metadata'!$A:$A, 0)))
    ),
    "During Campaign",
    "Before Campaign"
  ),
  "No Campaign"
)</f>
        <v>Before Campaign</v>
      </c>
    </row>
    <row r="115" spans="1:18" x14ac:dyDescent="0.3">
      <c r="A115" t="s">
        <v>275</v>
      </c>
      <c r="B115" t="s">
        <v>14</v>
      </c>
      <c r="C115" s="5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  <c r="Q115" s="8"/>
      <c r="R115" t="str">
        <f>IFERROR(
  IF(
    AND(
      INT($C115) &gt;= INT(INDEX('Campaign Metadata'!$B:$B, MATCH(TRIM($P115), 'Campaign Metadata'!$A:$A, 0))),
      INT($C115) &lt;= INT(INDEX('Campaign Metadata'!$C:$C, MATCH(TRIM($P115), 'Campaign Metadata'!$A:$A, 0)))
    ),
    "During Campaign",
    "Before Campaign"
  ),
  "No Campaign"
)</f>
        <v>Before Campaign</v>
      </c>
    </row>
    <row r="116" spans="1:18" x14ac:dyDescent="0.3">
      <c r="A116" t="s">
        <v>277</v>
      </c>
      <c r="B116" t="s">
        <v>14</v>
      </c>
      <c r="C116" s="5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  <c r="Q116" s="8"/>
      <c r="R116" t="str">
        <f>IFERROR(
  IF(
    AND(
      INT($C116) &gt;= INT(INDEX('Campaign Metadata'!$B:$B, MATCH(TRIM($P116), 'Campaign Metadata'!$A:$A, 0))),
      INT($C116) &lt;= INT(INDEX('Campaign Metadata'!$C:$C, MATCH(TRIM($P116), 'Campaign Metadata'!$A:$A, 0)))
    ),
    "During Campaign",
    "Before Campaign"
  ),
  "No Campaign"
)</f>
        <v>Before Campaign</v>
      </c>
    </row>
    <row r="117" spans="1:18" x14ac:dyDescent="0.3">
      <c r="A117" t="s">
        <v>279</v>
      </c>
      <c r="B117" t="s">
        <v>27</v>
      </c>
      <c r="C117" s="5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  <c r="Q117" s="8"/>
      <c r="R117" t="str">
        <f>IFERROR(
  IF(
    AND(
      INT($C117) &gt;= INT(INDEX('Campaign Metadata'!$B:$B, MATCH(TRIM($P117), 'Campaign Metadata'!$A:$A, 0))),
      INT($C117) &lt;= INT(INDEX('Campaign Metadata'!$C:$C, MATCH(TRIM($P117), 'Campaign Metadata'!$A:$A, 0)))
    ),
    "During Campaign",
    "Before Campaign"
  ),
  "No Campaign"
)</f>
        <v>Before Campaign</v>
      </c>
    </row>
    <row r="118" spans="1:18" x14ac:dyDescent="0.3">
      <c r="A118" t="s">
        <v>281</v>
      </c>
      <c r="B118" t="s">
        <v>14</v>
      </c>
      <c r="C118" s="5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  <c r="Q118" s="8"/>
      <c r="R118" t="str">
        <f>IFERROR(
  IF(
    AND(
      INT($C118) &gt;= INT(INDEX('Campaign Metadata'!$B:$B, MATCH(TRIM($P118), 'Campaign Metadata'!$A:$A, 0))),
      INT($C118) &lt;= INT(INDEX('Campaign Metadata'!$C:$C, MATCH(TRIM($P118), 'Campaign Metadata'!$A:$A, 0)))
    ),
    "During Campaign",
    "Before Campaign"
  ),
  "No Campaign"
)</f>
        <v>Before Campaign</v>
      </c>
    </row>
    <row r="119" spans="1:18" x14ac:dyDescent="0.3">
      <c r="A119" t="s">
        <v>283</v>
      </c>
      <c r="B119" t="s">
        <v>43</v>
      </c>
      <c r="C119" s="5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  <c r="Q119" s="8"/>
      <c r="R119" t="str">
        <f>IFERROR(
  IF(
    AND(
      INT($C119) &gt;= INT(INDEX('Campaign Metadata'!$B:$B, MATCH(TRIM($P119), 'Campaign Metadata'!$A:$A, 0))),
      INT($C119) &lt;= INT(INDEX('Campaign Metadata'!$C:$C, MATCH(TRIM($P119), 'Campaign Metadata'!$A:$A, 0)))
    ),
    "During Campaign",
    "Before Campaign"
  ),
  "No Campaign"
)</f>
        <v>Before Campaign</v>
      </c>
    </row>
    <row r="120" spans="1:18" x14ac:dyDescent="0.3">
      <c r="A120" t="s">
        <v>284</v>
      </c>
      <c r="B120" t="s">
        <v>33</v>
      </c>
      <c r="C120" s="5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  <c r="Q120" s="8"/>
      <c r="R120" t="str">
        <f>IFERROR(
  IF(
    AND(
      INT($C120) &gt;= INT(INDEX('Campaign Metadata'!$B:$B, MATCH(TRIM($P120), 'Campaign Metadata'!$A:$A, 0))),
      INT($C120) &lt;= INT(INDEX('Campaign Metadata'!$C:$C, MATCH(TRIM($P120), 'Campaign Metadata'!$A:$A, 0)))
    ),
    "During Campaign",
    "Before Campaign"
  ),
  "No Campaign"
)</f>
        <v>Before Campaign</v>
      </c>
    </row>
    <row r="121" spans="1:18" x14ac:dyDescent="0.3">
      <c r="A121" t="s">
        <v>286</v>
      </c>
      <c r="B121" t="s">
        <v>43</v>
      </c>
      <c r="C121" s="5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  <c r="Q121" s="8"/>
      <c r="R121" t="str">
        <f>IFERROR(
  IF(
    AND(
      INT($C121) &gt;= INT(INDEX('Campaign Metadata'!$B:$B, MATCH(TRIM($P121), 'Campaign Metadata'!$A:$A, 0))),
      INT($C121) &lt;= INT(INDEX('Campaign Metadata'!$C:$C, MATCH(TRIM($P121), 'Campaign Metadata'!$A:$A, 0)))
    ),
    "During Campaign",
    "Before Campaign"
  ),
  "No Campaign"
)</f>
        <v>Before Campaign</v>
      </c>
    </row>
    <row r="122" spans="1:18" x14ac:dyDescent="0.3">
      <c r="A122" t="s">
        <v>287</v>
      </c>
      <c r="B122" t="s">
        <v>33</v>
      </c>
      <c r="C122" s="5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  <c r="Q122" s="8"/>
      <c r="R122" t="str">
        <f>IFERROR(
  IF(
    AND(
      INT($C122) &gt;= INT(INDEX('Campaign Metadata'!$B:$B, MATCH(TRIM($P122), 'Campaign Metadata'!$A:$A, 0))),
      INT($C122) &lt;= INT(INDEX('Campaign Metadata'!$C:$C, MATCH(TRIM($P122), 'Campaign Metadata'!$A:$A, 0)))
    ),
    "During Campaign",
    "Before Campaign"
  ),
  "No Campaign"
)</f>
        <v>Before Campaign</v>
      </c>
    </row>
    <row r="123" spans="1:18" x14ac:dyDescent="0.3">
      <c r="A123" t="s">
        <v>288</v>
      </c>
      <c r="B123" t="s">
        <v>33</v>
      </c>
      <c r="C123" s="5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  <c r="Q123" s="8"/>
      <c r="R123" t="str">
        <f>IFERROR(
  IF(
    AND(
      INT($C123) &gt;= INT(INDEX('Campaign Metadata'!$B:$B, MATCH(TRIM($P123), 'Campaign Metadata'!$A:$A, 0))),
      INT($C123) &lt;= INT(INDEX('Campaign Metadata'!$C:$C, MATCH(TRIM($P123), 'Campaign Metadata'!$A:$A, 0)))
    ),
    "During Campaign",
    "Before Campaign"
  ),
  "No Campaign"
)</f>
        <v>During Campaign</v>
      </c>
    </row>
    <row r="124" spans="1:18" x14ac:dyDescent="0.3">
      <c r="A124" t="s">
        <v>289</v>
      </c>
      <c r="B124" t="s">
        <v>33</v>
      </c>
      <c r="C124" s="5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  <c r="Q124" s="8"/>
      <c r="R124" t="str">
        <f>IFERROR(
  IF(
    AND(
      INT($C124) &gt;= INT(INDEX('Campaign Metadata'!$B:$B, MATCH(TRIM($P124), 'Campaign Metadata'!$A:$A, 0))),
      INT($C124) &lt;= INT(INDEX('Campaign Metadata'!$C:$C, MATCH(TRIM($P124), 'Campaign Metadata'!$A:$A, 0)))
    ),
    "During Campaign",
    "Before Campaign"
  ),
  "No Campaign"
)</f>
        <v>Before Campaign</v>
      </c>
    </row>
    <row r="125" spans="1:18" x14ac:dyDescent="0.3">
      <c r="A125" t="s">
        <v>290</v>
      </c>
      <c r="B125" t="s">
        <v>27</v>
      </c>
      <c r="C125" s="5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  <c r="Q125" s="8"/>
      <c r="R125" t="str">
        <f>IFERROR(
  IF(
    AND(
      INT($C125) &gt;= INT(INDEX('Campaign Metadata'!$B:$B, MATCH(TRIM($P125), 'Campaign Metadata'!$A:$A, 0))),
      INT($C125) &lt;= INT(INDEX('Campaign Metadata'!$C:$C, MATCH(TRIM($P125), 'Campaign Metadata'!$A:$A, 0)))
    ),
    "During Campaign",
    "Before Campaign"
  ),
  "No Campaign"
)</f>
        <v>Before Campaign</v>
      </c>
    </row>
    <row r="126" spans="1:18" x14ac:dyDescent="0.3">
      <c r="A126" t="s">
        <v>292</v>
      </c>
      <c r="B126" t="s">
        <v>14</v>
      </c>
      <c r="C126" s="5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  <c r="Q126" s="8"/>
      <c r="R126" t="str">
        <f>IFERROR(
  IF(
    AND(
      INT($C126) &gt;= INT(INDEX('Campaign Metadata'!$B:$B, MATCH(TRIM($P126), 'Campaign Metadata'!$A:$A, 0))),
      INT($C126) &lt;= INT(INDEX('Campaign Metadata'!$C:$C, MATCH(TRIM($P126), 'Campaign Metadata'!$A:$A, 0)))
    ),
    "During Campaign",
    "Before Campaign"
  ),
  "No Campaign"
)</f>
        <v>Before Campaign</v>
      </c>
    </row>
    <row r="127" spans="1:18" x14ac:dyDescent="0.3">
      <c r="A127" t="s">
        <v>294</v>
      </c>
      <c r="B127" t="s">
        <v>33</v>
      </c>
      <c r="C127" s="5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  <c r="Q127" s="8"/>
      <c r="R127" t="str">
        <f>IFERROR(
  IF(
    AND(
      INT($C127) &gt;= INT(INDEX('Campaign Metadata'!$B:$B, MATCH(TRIM($P127), 'Campaign Metadata'!$A:$A, 0))),
      INT($C127) &lt;= INT(INDEX('Campaign Metadata'!$C:$C, MATCH(TRIM($P127), 'Campaign Metadata'!$A:$A, 0)))
    ),
    "During Campaign",
    "Before Campaign"
  ),
  "No Campaign"
)</f>
        <v>During Campaign</v>
      </c>
    </row>
    <row r="128" spans="1:18" x14ac:dyDescent="0.3">
      <c r="A128" t="s">
        <v>295</v>
      </c>
      <c r="B128" t="s">
        <v>43</v>
      </c>
      <c r="C128" s="5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  <c r="Q128" s="8"/>
      <c r="R128" t="str">
        <f>IFERROR(
  IF(
    AND(
      INT($C128) &gt;= INT(INDEX('Campaign Metadata'!$B:$B, MATCH(TRIM($P128), 'Campaign Metadata'!$A:$A, 0))),
      INT($C128) &lt;= INT(INDEX('Campaign Metadata'!$C:$C, MATCH(TRIM($P128), 'Campaign Metadata'!$A:$A, 0)))
    ),
    "During Campaign",
    "Before Campaign"
  ),
  "No Campaign"
)</f>
        <v>Before Campaign</v>
      </c>
    </row>
    <row r="129" spans="1:18" x14ac:dyDescent="0.3">
      <c r="A129" t="s">
        <v>296</v>
      </c>
      <c r="B129" t="s">
        <v>14</v>
      </c>
      <c r="C129" s="5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  <c r="Q129" s="8"/>
      <c r="R129" t="str">
        <f>IFERROR(
  IF(
    AND(
      INT($C129) &gt;= INT(INDEX('Campaign Metadata'!$B:$B, MATCH(TRIM($P129), 'Campaign Metadata'!$A:$A, 0))),
      INT($C129) &lt;= INT(INDEX('Campaign Metadata'!$C:$C, MATCH(TRIM($P129), 'Campaign Metadata'!$A:$A, 0)))
    ),
    "During Campaign",
    "Before Campaign"
  ),
  "No Campaign"
)</f>
        <v>Before Campaign</v>
      </c>
    </row>
    <row r="130" spans="1:18" x14ac:dyDescent="0.3">
      <c r="A130" t="s">
        <v>297</v>
      </c>
      <c r="B130" t="s">
        <v>14</v>
      </c>
      <c r="C130" s="5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  <c r="Q130" s="8"/>
      <c r="R130" t="str">
        <f>IFERROR(
  IF(
    AND(
      INT($C130) &gt;= INT(INDEX('Campaign Metadata'!$B:$B, MATCH(TRIM($P130), 'Campaign Metadata'!$A:$A, 0))),
      INT($C130) &lt;= INT(INDEX('Campaign Metadata'!$C:$C, MATCH(TRIM($P130), 'Campaign Metadata'!$A:$A, 0)))
    ),
    "During Campaign",
    "Before Campaign"
  ),
  "No Campaign"
)</f>
        <v>Before Campaign</v>
      </c>
    </row>
    <row r="131" spans="1:18" x14ac:dyDescent="0.3">
      <c r="A131" t="s">
        <v>298</v>
      </c>
      <c r="B131" t="s">
        <v>27</v>
      </c>
      <c r="C131" s="5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  <c r="Q131" s="8"/>
      <c r="R131" t="str">
        <f>IFERROR(
  IF(
    AND(
      INT($C131) &gt;= INT(INDEX('Campaign Metadata'!$B:$B, MATCH(TRIM($P131), 'Campaign Metadata'!$A:$A, 0))),
      INT($C131) &lt;= INT(INDEX('Campaign Metadata'!$C:$C, MATCH(TRIM($P131), 'Campaign Metadata'!$A:$A, 0)))
    ),
    "During Campaign",
    "Before Campaign"
  ),
  "No Campaign"
)</f>
        <v>Before Campaign</v>
      </c>
    </row>
    <row r="132" spans="1:18" x14ac:dyDescent="0.3">
      <c r="A132" t="s">
        <v>300</v>
      </c>
      <c r="B132" t="s">
        <v>33</v>
      </c>
      <c r="C132" s="5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  <c r="Q132" s="8"/>
      <c r="R132" t="str">
        <f>IFERROR(
  IF(
    AND(
      INT($C132) &gt;= INT(INDEX('Campaign Metadata'!$B:$B, MATCH(TRIM($P132), 'Campaign Metadata'!$A:$A, 0))),
      INT($C132) &lt;= INT(INDEX('Campaign Metadata'!$C:$C, MATCH(TRIM($P132), 'Campaign Metadata'!$A:$A, 0)))
    ),
    "During Campaign",
    "Before Campaign"
  ),
  "No Campaign"
)</f>
        <v>Before Campaign</v>
      </c>
    </row>
    <row r="133" spans="1:18" x14ac:dyDescent="0.3">
      <c r="A133" t="s">
        <v>301</v>
      </c>
      <c r="B133" t="s">
        <v>33</v>
      </c>
      <c r="C133" s="5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  <c r="Q133" s="8"/>
      <c r="R133" t="str">
        <f>IFERROR(
  IF(
    AND(
      INT($C133) &gt;= INT(INDEX('Campaign Metadata'!$B:$B, MATCH(TRIM($P133), 'Campaign Metadata'!$A:$A, 0))),
      INT($C133) &lt;= INT(INDEX('Campaign Metadata'!$C:$C, MATCH(TRIM($P133), 'Campaign Metadata'!$A:$A, 0)))
    ),
    "During Campaign",
    "Before Campaign"
  ),
  "No Campaign"
)</f>
        <v>Before Campaign</v>
      </c>
    </row>
    <row r="134" spans="1:18" x14ac:dyDescent="0.3">
      <c r="A134" t="s">
        <v>302</v>
      </c>
      <c r="B134" t="s">
        <v>43</v>
      </c>
      <c r="C134" s="5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  <c r="Q134" s="8"/>
      <c r="R134" t="str">
        <f>IFERROR(
  IF(
    AND(
      INT($C134) &gt;= INT(INDEX('Campaign Metadata'!$B:$B, MATCH(TRIM($P134), 'Campaign Metadata'!$A:$A, 0))),
      INT($C134) &lt;= INT(INDEX('Campaign Metadata'!$C:$C, MATCH(TRIM($P134), 'Campaign Metadata'!$A:$A, 0)))
    ),
    "During Campaign",
    "Before Campaign"
  ),
  "No Campaign"
)</f>
        <v>Before Campaign</v>
      </c>
    </row>
    <row r="135" spans="1:18" x14ac:dyDescent="0.3">
      <c r="A135" t="s">
        <v>304</v>
      </c>
      <c r="B135" t="s">
        <v>14</v>
      </c>
      <c r="C135" s="5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  <c r="Q135" s="8"/>
      <c r="R135" t="str">
        <f>IFERROR(
  IF(
    AND(
      INT($C135) &gt;= INT(INDEX('Campaign Metadata'!$B:$B, MATCH(TRIM($P135), 'Campaign Metadata'!$A:$A, 0))),
      INT($C135) &lt;= INT(INDEX('Campaign Metadata'!$C:$C, MATCH(TRIM($P135), 'Campaign Metadata'!$A:$A, 0)))
    ),
    "During Campaign",
    "Before Campaign"
  ),
  "No Campaign"
)</f>
        <v>Before Campaign</v>
      </c>
    </row>
    <row r="136" spans="1:18" x14ac:dyDescent="0.3">
      <c r="A136" t="s">
        <v>306</v>
      </c>
      <c r="B136" t="s">
        <v>43</v>
      </c>
      <c r="C136" s="5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  <c r="Q136" s="8"/>
      <c r="R136" t="str">
        <f>IFERROR(
  IF(
    AND(
      INT($C136) &gt;= INT(INDEX('Campaign Metadata'!$B:$B, MATCH(TRIM($P136), 'Campaign Metadata'!$A:$A, 0))),
      INT($C136) &lt;= INT(INDEX('Campaign Metadata'!$C:$C, MATCH(TRIM($P136), 'Campaign Metadata'!$A:$A, 0)))
    ),
    "During Campaign",
    "Before Campaign"
  ),
  "No Campaign"
)</f>
        <v>Before Campaign</v>
      </c>
    </row>
    <row r="137" spans="1:18" x14ac:dyDescent="0.3">
      <c r="A137" t="s">
        <v>308</v>
      </c>
      <c r="B137" t="s">
        <v>33</v>
      </c>
      <c r="C137" s="5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  <c r="Q137" s="8"/>
      <c r="R137" t="str">
        <f>IFERROR(
  IF(
    AND(
      INT($C137) &gt;= INT(INDEX('Campaign Metadata'!$B:$B, MATCH(TRIM($P137), 'Campaign Metadata'!$A:$A, 0))),
      INT($C137) &lt;= INT(INDEX('Campaign Metadata'!$C:$C, MATCH(TRIM($P137), 'Campaign Metadata'!$A:$A, 0)))
    ),
    "During Campaign",
    "Before Campaign"
  ),
  "No Campaign"
)</f>
        <v>Before Campaign</v>
      </c>
    </row>
    <row r="138" spans="1:18" x14ac:dyDescent="0.3">
      <c r="A138" t="s">
        <v>310</v>
      </c>
      <c r="B138" t="s">
        <v>43</v>
      </c>
      <c r="C138" s="5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  <c r="Q138" s="8"/>
      <c r="R138" t="str">
        <f>IFERROR(
  IF(
    AND(
      INT($C138) &gt;= INT(INDEX('Campaign Metadata'!$B:$B, MATCH(TRIM($P138), 'Campaign Metadata'!$A:$A, 0))),
      INT($C138) &lt;= INT(INDEX('Campaign Metadata'!$C:$C, MATCH(TRIM($P138), 'Campaign Metadata'!$A:$A, 0)))
    ),
    "During Campaign",
    "Before Campaign"
  ),
  "No Campaign"
)</f>
        <v>Before Campaign</v>
      </c>
    </row>
    <row r="139" spans="1:18" x14ac:dyDescent="0.3">
      <c r="A139" t="s">
        <v>311</v>
      </c>
      <c r="B139" t="s">
        <v>14</v>
      </c>
      <c r="C139" s="5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  <c r="Q139" s="8"/>
      <c r="R139" t="str">
        <f>IFERROR(
  IF(
    AND(
      INT($C139) &gt;= INT(INDEX('Campaign Metadata'!$B:$B, MATCH(TRIM($P139), 'Campaign Metadata'!$A:$A, 0))),
      INT($C139) &lt;= INT(INDEX('Campaign Metadata'!$C:$C, MATCH(TRIM($P139), 'Campaign Metadata'!$A:$A, 0)))
    ),
    "During Campaign",
    "Before Campaign"
  ),
  "No Campaign"
)</f>
        <v>Before Campaign</v>
      </c>
    </row>
    <row r="140" spans="1:18" x14ac:dyDescent="0.3">
      <c r="A140" t="s">
        <v>312</v>
      </c>
      <c r="B140" t="s">
        <v>27</v>
      </c>
      <c r="C140" s="5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  <c r="Q140" s="8"/>
      <c r="R140" t="str">
        <f>IFERROR(
  IF(
    AND(
      INT($C140) &gt;= INT(INDEX('Campaign Metadata'!$B:$B, MATCH(TRIM($P140), 'Campaign Metadata'!$A:$A, 0))),
      INT($C140) &lt;= INT(INDEX('Campaign Metadata'!$C:$C, MATCH(TRIM($P140), 'Campaign Metadata'!$A:$A, 0)))
    ),
    "During Campaign",
    "Before Campaign"
  ),
  "No Campaign"
)</f>
        <v>Before Campaign</v>
      </c>
    </row>
    <row r="141" spans="1:18" x14ac:dyDescent="0.3">
      <c r="A141" t="s">
        <v>314</v>
      </c>
      <c r="B141" t="s">
        <v>43</v>
      </c>
      <c r="C141" s="5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  <c r="Q141" s="8"/>
      <c r="R141" t="str">
        <f>IFERROR(
  IF(
    AND(
      INT($C141) &gt;= INT(INDEX('Campaign Metadata'!$B:$B, MATCH(TRIM($P141), 'Campaign Metadata'!$A:$A, 0))),
      INT($C141) &lt;= INT(INDEX('Campaign Metadata'!$C:$C, MATCH(TRIM($P141), 'Campaign Metadata'!$A:$A, 0)))
    ),
    "During Campaign",
    "Before Campaign"
  ),
  "No Campaign"
)</f>
        <v>Before Campaign</v>
      </c>
    </row>
    <row r="142" spans="1:18" x14ac:dyDescent="0.3">
      <c r="A142" t="s">
        <v>317</v>
      </c>
      <c r="B142" t="s">
        <v>14</v>
      </c>
      <c r="C142" s="5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  <c r="Q142" s="8"/>
      <c r="R142" t="str">
        <f>IFERROR(
  IF(
    AND(
      INT($C142) &gt;= INT(INDEX('Campaign Metadata'!$B:$B, MATCH(TRIM($P142), 'Campaign Metadata'!$A:$A, 0))),
      INT($C142) &lt;= INT(INDEX('Campaign Metadata'!$C:$C, MATCH(TRIM($P142), 'Campaign Metadata'!$A:$A, 0)))
    ),
    "During Campaign",
    "Before Campaign"
  ),
  "No Campaign"
)</f>
        <v>Before Campaign</v>
      </c>
    </row>
    <row r="143" spans="1:18" x14ac:dyDescent="0.3">
      <c r="A143" t="s">
        <v>319</v>
      </c>
      <c r="B143" t="s">
        <v>27</v>
      </c>
      <c r="C143" s="5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  <c r="Q143" s="8"/>
      <c r="R143" t="str">
        <f>IFERROR(
  IF(
    AND(
      INT($C143) &gt;= INT(INDEX('Campaign Metadata'!$B:$B, MATCH(TRIM($P143), 'Campaign Metadata'!$A:$A, 0))),
      INT($C143) &lt;= INT(INDEX('Campaign Metadata'!$C:$C, MATCH(TRIM($P143), 'Campaign Metadata'!$A:$A, 0)))
    ),
    "During Campaign",
    "Before Campaign"
  ),
  "No Campaign"
)</f>
        <v>During Campaign</v>
      </c>
    </row>
    <row r="144" spans="1:18" x14ac:dyDescent="0.3">
      <c r="A144" t="s">
        <v>320</v>
      </c>
      <c r="B144" t="s">
        <v>27</v>
      </c>
      <c r="C144" s="5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  <c r="Q144" s="8"/>
      <c r="R144" t="str">
        <f>IFERROR(
  IF(
    AND(
      INT($C144) &gt;= INT(INDEX('Campaign Metadata'!$B:$B, MATCH(TRIM($P144), 'Campaign Metadata'!$A:$A, 0))),
      INT($C144) &lt;= INT(INDEX('Campaign Metadata'!$C:$C, MATCH(TRIM($P144), 'Campaign Metadata'!$A:$A, 0)))
    ),
    "During Campaign",
    "Before Campaign"
  ),
  "No Campaign"
)</f>
        <v>Before Campaign</v>
      </c>
    </row>
    <row r="145" spans="1:18" x14ac:dyDescent="0.3">
      <c r="A145" t="s">
        <v>321</v>
      </c>
      <c r="B145" t="s">
        <v>27</v>
      </c>
      <c r="C145" s="5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  <c r="Q145" s="8"/>
      <c r="R145" t="str">
        <f>IFERROR(
  IF(
    AND(
      INT($C145) &gt;= INT(INDEX('Campaign Metadata'!$B:$B, MATCH(TRIM($P145), 'Campaign Metadata'!$A:$A, 0))),
      INT($C145) &lt;= INT(INDEX('Campaign Metadata'!$C:$C, MATCH(TRIM($P145), 'Campaign Metadata'!$A:$A, 0)))
    ),
    "During Campaign",
    "Before Campaign"
  ),
  "No Campaign"
)</f>
        <v>Before Campaign</v>
      </c>
    </row>
    <row r="146" spans="1:18" x14ac:dyDescent="0.3">
      <c r="A146" t="s">
        <v>322</v>
      </c>
      <c r="B146" t="s">
        <v>33</v>
      </c>
      <c r="C146" s="5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  <c r="Q146" s="8"/>
      <c r="R146" t="str">
        <f>IFERROR(
  IF(
    AND(
      INT($C146) &gt;= INT(INDEX('Campaign Metadata'!$B:$B, MATCH(TRIM($P146), 'Campaign Metadata'!$A:$A, 0))),
      INT($C146) &lt;= INT(INDEX('Campaign Metadata'!$C:$C, MATCH(TRIM($P146), 'Campaign Metadata'!$A:$A, 0)))
    ),
    "During Campaign",
    "Before Campaign"
  ),
  "No Campaign"
)</f>
        <v>Before Campaign</v>
      </c>
    </row>
    <row r="147" spans="1:18" x14ac:dyDescent="0.3">
      <c r="A147" t="s">
        <v>323</v>
      </c>
      <c r="B147" t="s">
        <v>27</v>
      </c>
      <c r="C147" s="5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  <c r="Q147" s="8"/>
      <c r="R147" t="str">
        <f>IFERROR(
  IF(
    AND(
      INT($C147) &gt;= INT(INDEX('Campaign Metadata'!$B:$B, MATCH(TRIM($P147), 'Campaign Metadata'!$A:$A, 0))),
      INT($C147) &lt;= INT(INDEX('Campaign Metadata'!$C:$C, MATCH(TRIM($P147), 'Campaign Metadata'!$A:$A, 0)))
    ),
    "During Campaign",
    "Before Campaign"
  ),
  "No Campaign"
)</f>
        <v>Before Campaign</v>
      </c>
    </row>
    <row r="148" spans="1:18" x14ac:dyDescent="0.3">
      <c r="A148" t="s">
        <v>326</v>
      </c>
      <c r="B148" t="s">
        <v>33</v>
      </c>
      <c r="C148" s="5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  <c r="Q148" s="8"/>
      <c r="R148" t="str">
        <f>IFERROR(
  IF(
    AND(
      INT($C148) &gt;= INT(INDEX('Campaign Metadata'!$B:$B, MATCH(TRIM($P148), 'Campaign Metadata'!$A:$A, 0))),
      INT($C148) &lt;= INT(INDEX('Campaign Metadata'!$C:$C, MATCH(TRIM($P148), 'Campaign Metadata'!$A:$A, 0)))
    ),
    "During Campaign",
    "Before Campaign"
  ),
  "No Campaign"
)</f>
        <v>During Campaign</v>
      </c>
    </row>
    <row r="149" spans="1:18" x14ac:dyDescent="0.3">
      <c r="A149" t="s">
        <v>327</v>
      </c>
      <c r="B149" t="s">
        <v>33</v>
      </c>
      <c r="C149" s="5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  <c r="Q149" s="8"/>
      <c r="R149" t="str">
        <f>IFERROR(
  IF(
    AND(
      INT($C149) &gt;= INT(INDEX('Campaign Metadata'!$B:$B, MATCH(TRIM($P149), 'Campaign Metadata'!$A:$A, 0))),
      INT($C149) &lt;= INT(INDEX('Campaign Metadata'!$C:$C, MATCH(TRIM($P149), 'Campaign Metadata'!$A:$A, 0)))
    ),
    "During Campaign",
    "Before Campaign"
  ),
  "No Campaign"
)</f>
        <v>Before Campaign</v>
      </c>
    </row>
    <row r="150" spans="1:18" x14ac:dyDescent="0.3">
      <c r="A150" t="s">
        <v>328</v>
      </c>
      <c r="B150" t="s">
        <v>14</v>
      </c>
      <c r="C150" s="5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  <c r="Q150" s="8"/>
      <c r="R150" t="str">
        <f>IFERROR(
  IF(
    AND(
      INT($C150) &gt;= INT(INDEX('Campaign Metadata'!$B:$B, MATCH(TRIM($P150), 'Campaign Metadata'!$A:$A, 0))),
      INT($C150) &lt;= INT(INDEX('Campaign Metadata'!$C:$C, MATCH(TRIM($P150), 'Campaign Metadata'!$A:$A, 0)))
    ),
    "During Campaign",
    "Before Campaign"
  ),
  "No Campaign"
)</f>
        <v>During Campaign</v>
      </c>
    </row>
    <row r="151" spans="1:18" x14ac:dyDescent="0.3">
      <c r="A151" t="s">
        <v>330</v>
      </c>
      <c r="B151" t="s">
        <v>27</v>
      </c>
      <c r="C151" s="5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  <c r="Q151" s="8"/>
      <c r="R151" t="str">
        <f>IFERROR(
  IF(
    AND(
      INT($C151) &gt;= INT(INDEX('Campaign Metadata'!$B:$B, MATCH(TRIM($P151), 'Campaign Metadata'!$A:$A, 0))),
      INT($C151) &lt;= INT(INDEX('Campaign Metadata'!$C:$C, MATCH(TRIM($P151), 'Campaign Metadata'!$A:$A, 0)))
    ),
    "During Campaign",
    "Before Campaign"
  ),
  "No Campaign"
)</f>
        <v>Before Campaign</v>
      </c>
    </row>
    <row r="152" spans="1:18" x14ac:dyDescent="0.3">
      <c r="A152" t="s">
        <v>332</v>
      </c>
      <c r="B152" t="s">
        <v>33</v>
      </c>
      <c r="C152" s="5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  <c r="Q152" s="8"/>
      <c r="R152" t="str">
        <f>IFERROR(
  IF(
    AND(
      INT($C152) &gt;= INT(INDEX('Campaign Metadata'!$B:$B, MATCH(TRIM($P152), 'Campaign Metadata'!$A:$A, 0))),
      INT($C152) &lt;= INT(INDEX('Campaign Metadata'!$C:$C, MATCH(TRIM($P152), 'Campaign Metadata'!$A:$A, 0)))
    ),
    "During Campaign",
    "Before Campaign"
  ),
  "No Campaign"
)</f>
        <v>Before Campaign</v>
      </c>
    </row>
    <row r="153" spans="1:18" x14ac:dyDescent="0.3">
      <c r="A153" t="s">
        <v>333</v>
      </c>
      <c r="B153" t="s">
        <v>43</v>
      </c>
      <c r="C153" s="5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  <c r="Q153" s="8"/>
      <c r="R153" t="str">
        <f>IFERROR(
  IF(
    AND(
      INT($C153) &gt;= INT(INDEX('Campaign Metadata'!$B:$B, MATCH(TRIM($P153), 'Campaign Metadata'!$A:$A, 0))),
      INT($C153) &lt;= INT(INDEX('Campaign Metadata'!$C:$C, MATCH(TRIM($P153), 'Campaign Metadata'!$A:$A, 0)))
    ),
    "During Campaign",
    "Before Campaign"
  ),
  "No Campaign"
)</f>
        <v>Before Campaign</v>
      </c>
    </row>
    <row r="154" spans="1:18" x14ac:dyDescent="0.3">
      <c r="A154" t="s">
        <v>335</v>
      </c>
      <c r="B154" t="s">
        <v>14</v>
      </c>
      <c r="C154" s="5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  <c r="Q154" s="8"/>
      <c r="R154" t="str">
        <f>IFERROR(
  IF(
    AND(
      INT($C154) &gt;= INT(INDEX('Campaign Metadata'!$B:$B, MATCH(TRIM($P154), 'Campaign Metadata'!$A:$A, 0))),
      INT($C154) &lt;= INT(INDEX('Campaign Metadata'!$C:$C, MATCH(TRIM($P154), 'Campaign Metadata'!$A:$A, 0)))
    ),
    "During Campaign",
    "Before Campaign"
  ),
  "No Campaign"
)</f>
        <v>During Campaign</v>
      </c>
    </row>
    <row r="155" spans="1:18" x14ac:dyDescent="0.3">
      <c r="A155" t="s">
        <v>337</v>
      </c>
      <c r="B155" t="s">
        <v>33</v>
      </c>
      <c r="C155" s="5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  <c r="Q155" s="8"/>
      <c r="R155" t="str">
        <f>IFERROR(
  IF(
    AND(
      INT($C155) &gt;= INT(INDEX('Campaign Metadata'!$B:$B, MATCH(TRIM($P155), 'Campaign Metadata'!$A:$A, 0))),
      INT($C155) &lt;= INT(INDEX('Campaign Metadata'!$C:$C, MATCH(TRIM($P155), 'Campaign Metadata'!$A:$A, 0)))
    ),
    "During Campaign",
    "Before Campaign"
  ),
  "No Campaign"
)</f>
        <v>Before Campaign</v>
      </c>
    </row>
    <row r="156" spans="1:18" x14ac:dyDescent="0.3">
      <c r="A156" t="s">
        <v>338</v>
      </c>
      <c r="B156" t="s">
        <v>27</v>
      </c>
      <c r="C156" s="5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  <c r="Q156" s="8"/>
      <c r="R156" t="str">
        <f>IFERROR(
  IF(
    AND(
      INT($C156) &gt;= INT(INDEX('Campaign Metadata'!$B:$B, MATCH(TRIM($P156), 'Campaign Metadata'!$A:$A, 0))),
      INT($C156) &lt;= INT(INDEX('Campaign Metadata'!$C:$C, MATCH(TRIM($P156), 'Campaign Metadata'!$A:$A, 0)))
    ),
    "During Campaign",
    "Before Campaign"
  ),
  "No Campaign"
)</f>
        <v>Before Campaign</v>
      </c>
    </row>
    <row r="157" spans="1:18" x14ac:dyDescent="0.3">
      <c r="A157" t="s">
        <v>340</v>
      </c>
      <c r="B157" t="s">
        <v>43</v>
      </c>
      <c r="C157" s="5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  <c r="Q157" s="8"/>
      <c r="R157" t="str">
        <f>IFERROR(
  IF(
    AND(
      INT($C157) &gt;= INT(INDEX('Campaign Metadata'!$B:$B, MATCH(TRIM($P157), 'Campaign Metadata'!$A:$A, 0))),
      INT($C157) &lt;= INT(INDEX('Campaign Metadata'!$C:$C, MATCH(TRIM($P157), 'Campaign Metadata'!$A:$A, 0)))
    ),
    "During Campaign",
    "Before Campaign"
  ),
  "No Campaign"
)</f>
        <v>During Campaign</v>
      </c>
    </row>
    <row r="158" spans="1:18" x14ac:dyDescent="0.3">
      <c r="A158" t="s">
        <v>342</v>
      </c>
      <c r="B158" t="s">
        <v>27</v>
      </c>
      <c r="C158" s="5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  <c r="Q158" s="8"/>
      <c r="R158" t="str">
        <f>IFERROR(
  IF(
    AND(
      INT($C158) &gt;= INT(INDEX('Campaign Metadata'!$B:$B, MATCH(TRIM($P158), 'Campaign Metadata'!$A:$A, 0))),
      INT($C158) &lt;= INT(INDEX('Campaign Metadata'!$C:$C, MATCH(TRIM($P158), 'Campaign Metadata'!$A:$A, 0)))
    ),
    "During Campaign",
    "Before Campaign"
  ),
  "No Campaign"
)</f>
        <v>Before Campaign</v>
      </c>
    </row>
    <row r="159" spans="1:18" x14ac:dyDescent="0.3">
      <c r="A159" t="s">
        <v>344</v>
      </c>
      <c r="B159" t="s">
        <v>33</v>
      </c>
      <c r="C159" s="5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  <c r="Q159" s="8"/>
      <c r="R159" t="str">
        <f>IFERROR(
  IF(
    AND(
      INT($C159) &gt;= INT(INDEX('Campaign Metadata'!$B:$B, MATCH(TRIM($P159), 'Campaign Metadata'!$A:$A, 0))),
      INT($C159) &lt;= INT(INDEX('Campaign Metadata'!$C:$C, MATCH(TRIM($P159), 'Campaign Metadata'!$A:$A, 0)))
    ),
    "During Campaign",
    "Before Campaign"
  ),
  "No Campaign"
)</f>
        <v>Before Campaign</v>
      </c>
    </row>
    <row r="160" spans="1:18" x14ac:dyDescent="0.3">
      <c r="A160" t="s">
        <v>346</v>
      </c>
      <c r="B160" t="s">
        <v>43</v>
      </c>
      <c r="C160" s="5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  <c r="Q160" s="8"/>
      <c r="R160" t="str">
        <f>IFERROR(
  IF(
    AND(
      INT($C160) &gt;= INT(INDEX('Campaign Metadata'!$B:$B, MATCH(TRIM($P160), 'Campaign Metadata'!$A:$A, 0))),
      INT($C160) &lt;= INT(INDEX('Campaign Metadata'!$C:$C, MATCH(TRIM($P160), 'Campaign Metadata'!$A:$A, 0)))
    ),
    "During Campaign",
    "Before Campaign"
  ),
  "No Campaign"
)</f>
        <v>Before Campaign</v>
      </c>
    </row>
    <row r="161" spans="1:18" x14ac:dyDescent="0.3">
      <c r="A161" t="s">
        <v>347</v>
      </c>
      <c r="B161" t="s">
        <v>14</v>
      </c>
      <c r="C161" s="5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  <c r="Q161" s="8"/>
      <c r="R161" t="str">
        <f>IFERROR(
  IF(
    AND(
      INT($C161) &gt;= INT(INDEX('Campaign Metadata'!$B:$B, MATCH(TRIM($P161), 'Campaign Metadata'!$A:$A, 0))),
      INT($C161) &lt;= INT(INDEX('Campaign Metadata'!$C:$C, MATCH(TRIM($P161), 'Campaign Metadata'!$A:$A, 0)))
    ),
    "During Campaign",
    "Before Campaign"
  ),
  "No Campaign"
)</f>
        <v>Before Campaign</v>
      </c>
    </row>
    <row r="162" spans="1:18" x14ac:dyDescent="0.3">
      <c r="A162" t="s">
        <v>349</v>
      </c>
      <c r="B162" t="s">
        <v>14</v>
      </c>
      <c r="C162" s="5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  <c r="Q162" s="8"/>
      <c r="R162" t="str">
        <f>IFERROR(
  IF(
    AND(
      INT($C162) &gt;= INT(INDEX('Campaign Metadata'!$B:$B, MATCH(TRIM($P162), 'Campaign Metadata'!$A:$A, 0))),
      INT($C162) &lt;= INT(INDEX('Campaign Metadata'!$C:$C, MATCH(TRIM($P162), 'Campaign Metadata'!$A:$A, 0)))
    ),
    "During Campaign",
    "Before Campaign"
  ),
  "No Campaign"
)</f>
        <v>Before Campaign</v>
      </c>
    </row>
    <row r="163" spans="1:18" x14ac:dyDescent="0.3">
      <c r="A163" t="s">
        <v>351</v>
      </c>
      <c r="B163" t="s">
        <v>43</v>
      </c>
      <c r="C163" s="5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  <c r="Q163" s="8"/>
      <c r="R163" t="str">
        <f>IFERROR(
  IF(
    AND(
      INT($C163) &gt;= INT(INDEX('Campaign Metadata'!$B:$B, MATCH(TRIM($P163), 'Campaign Metadata'!$A:$A, 0))),
      INT($C163) &lt;= INT(INDEX('Campaign Metadata'!$C:$C, MATCH(TRIM($P163), 'Campaign Metadata'!$A:$A, 0)))
    ),
    "During Campaign",
    "Before Campaign"
  ),
  "No Campaign"
)</f>
        <v>Before Campaign</v>
      </c>
    </row>
    <row r="164" spans="1:18" x14ac:dyDescent="0.3">
      <c r="A164" t="s">
        <v>353</v>
      </c>
      <c r="B164" t="s">
        <v>33</v>
      </c>
      <c r="C164" s="5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  <c r="Q164" s="8"/>
      <c r="R164" t="str">
        <f>IFERROR(
  IF(
    AND(
      INT($C164) &gt;= INT(INDEX('Campaign Metadata'!$B:$B, MATCH(TRIM($P164), 'Campaign Metadata'!$A:$A, 0))),
      INT($C164) &lt;= INT(INDEX('Campaign Metadata'!$C:$C, MATCH(TRIM($P164), 'Campaign Metadata'!$A:$A, 0)))
    ),
    "During Campaign",
    "Before Campaign"
  ),
  "No Campaign"
)</f>
        <v>Before Campaign</v>
      </c>
    </row>
    <row r="165" spans="1:18" x14ac:dyDescent="0.3">
      <c r="A165" t="s">
        <v>355</v>
      </c>
      <c r="B165" t="s">
        <v>27</v>
      </c>
      <c r="C165" s="5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  <c r="Q165" s="8"/>
      <c r="R165" t="str">
        <f>IFERROR(
  IF(
    AND(
      INT($C165) &gt;= INT(INDEX('Campaign Metadata'!$B:$B, MATCH(TRIM($P165), 'Campaign Metadata'!$A:$A, 0))),
      INT($C165) &lt;= INT(INDEX('Campaign Metadata'!$C:$C, MATCH(TRIM($P165), 'Campaign Metadata'!$A:$A, 0)))
    ),
    "During Campaign",
    "Before Campaign"
  ),
  "No Campaign"
)</f>
        <v>Before Campaign</v>
      </c>
    </row>
    <row r="166" spans="1:18" x14ac:dyDescent="0.3">
      <c r="A166" t="s">
        <v>356</v>
      </c>
      <c r="B166" t="s">
        <v>14</v>
      </c>
      <c r="C166" s="5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  <c r="Q166" s="8"/>
      <c r="R166" t="str">
        <f>IFERROR(
  IF(
    AND(
      INT($C166) &gt;= INT(INDEX('Campaign Metadata'!$B:$B, MATCH(TRIM($P166), 'Campaign Metadata'!$A:$A, 0))),
      INT($C166) &lt;= INT(INDEX('Campaign Metadata'!$C:$C, MATCH(TRIM($P166), 'Campaign Metadata'!$A:$A, 0)))
    ),
    "During Campaign",
    "Before Campaign"
  ),
  "No Campaign"
)</f>
        <v>Before Campaign</v>
      </c>
    </row>
    <row r="167" spans="1:18" x14ac:dyDescent="0.3">
      <c r="A167" t="s">
        <v>357</v>
      </c>
      <c r="B167" t="s">
        <v>14</v>
      </c>
      <c r="C167" s="5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  <c r="Q167" s="8"/>
      <c r="R167" t="str">
        <f>IFERROR(
  IF(
    AND(
      INT($C167) &gt;= INT(INDEX('Campaign Metadata'!$B:$B, MATCH(TRIM($P167), 'Campaign Metadata'!$A:$A, 0))),
      INT($C167) &lt;= INT(INDEX('Campaign Metadata'!$C:$C, MATCH(TRIM($P167), 'Campaign Metadata'!$A:$A, 0)))
    ),
    "During Campaign",
    "Before Campaign"
  ),
  "No Campaign"
)</f>
        <v>Before Campaign</v>
      </c>
    </row>
    <row r="168" spans="1:18" x14ac:dyDescent="0.3">
      <c r="A168" t="s">
        <v>358</v>
      </c>
      <c r="B168" t="s">
        <v>33</v>
      </c>
      <c r="C168" s="5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  <c r="Q168" s="8"/>
      <c r="R168" t="str">
        <f>IFERROR(
  IF(
    AND(
      INT($C168) &gt;= INT(INDEX('Campaign Metadata'!$B:$B, MATCH(TRIM($P168), 'Campaign Metadata'!$A:$A, 0))),
      INT($C168) &lt;= INT(INDEX('Campaign Metadata'!$C:$C, MATCH(TRIM($P168), 'Campaign Metadata'!$A:$A, 0)))
    ),
    "During Campaign",
    "Before Campaign"
  ),
  "No Campaign"
)</f>
        <v>Before Campaign</v>
      </c>
    </row>
    <row r="169" spans="1:18" x14ac:dyDescent="0.3">
      <c r="A169" t="s">
        <v>359</v>
      </c>
      <c r="B169" t="s">
        <v>43</v>
      </c>
      <c r="C169" s="5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  <c r="Q169" s="8"/>
      <c r="R169" t="str">
        <f>IFERROR(
  IF(
    AND(
      INT($C169) &gt;= INT(INDEX('Campaign Metadata'!$B:$B, MATCH(TRIM($P169), 'Campaign Metadata'!$A:$A, 0))),
      INT($C169) &lt;= INT(INDEX('Campaign Metadata'!$C:$C, MATCH(TRIM($P169), 'Campaign Metadata'!$A:$A, 0)))
    ),
    "During Campaign",
    "Before Campaign"
  ),
  "No Campaign"
)</f>
        <v>Before Campaign</v>
      </c>
    </row>
    <row r="170" spans="1:18" x14ac:dyDescent="0.3">
      <c r="A170" t="s">
        <v>361</v>
      </c>
      <c r="B170" t="s">
        <v>27</v>
      </c>
      <c r="C170" s="5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  <c r="Q170" s="8"/>
      <c r="R170" t="str">
        <f>IFERROR(
  IF(
    AND(
      INT($C170) &gt;= INT(INDEX('Campaign Metadata'!$B:$B, MATCH(TRIM($P170), 'Campaign Metadata'!$A:$A, 0))),
      INT($C170) &lt;= INT(INDEX('Campaign Metadata'!$C:$C, MATCH(TRIM($P170), 'Campaign Metadata'!$A:$A, 0)))
    ),
    "During Campaign",
    "Before Campaign"
  ),
  "No Campaign"
)</f>
        <v>Before Campaign</v>
      </c>
    </row>
    <row r="171" spans="1:18" x14ac:dyDescent="0.3">
      <c r="A171" t="s">
        <v>363</v>
      </c>
      <c r="B171" t="s">
        <v>14</v>
      </c>
      <c r="C171" s="5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  <c r="Q171" s="8"/>
      <c r="R171" t="str">
        <f>IFERROR(
  IF(
    AND(
      INT($C171) &gt;= INT(INDEX('Campaign Metadata'!$B:$B, MATCH(TRIM($P171), 'Campaign Metadata'!$A:$A, 0))),
      INT($C171) &lt;= INT(INDEX('Campaign Metadata'!$C:$C, MATCH(TRIM($P171), 'Campaign Metadata'!$A:$A, 0)))
    ),
    "During Campaign",
    "Before Campaign"
  ),
  "No Campaign"
)</f>
        <v>Before Campaign</v>
      </c>
    </row>
    <row r="172" spans="1:18" x14ac:dyDescent="0.3">
      <c r="A172" t="s">
        <v>365</v>
      </c>
      <c r="B172" t="s">
        <v>27</v>
      </c>
      <c r="C172" s="5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  <c r="Q172" s="8"/>
      <c r="R172" t="str">
        <f>IFERROR(
  IF(
    AND(
      INT($C172) &gt;= INT(INDEX('Campaign Metadata'!$B:$B, MATCH(TRIM($P172), 'Campaign Metadata'!$A:$A, 0))),
      INT($C172) &lt;= INT(INDEX('Campaign Metadata'!$C:$C, MATCH(TRIM($P172), 'Campaign Metadata'!$A:$A, 0)))
    ),
    "During Campaign",
    "Before Campaign"
  ),
  "No Campaign"
)</f>
        <v>Before Campaign</v>
      </c>
    </row>
    <row r="173" spans="1:18" x14ac:dyDescent="0.3">
      <c r="A173" t="s">
        <v>367</v>
      </c>
      <c r="B173" t="s">
        <v>43</v>
      </c>
      <c r="C173" s="5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  <c r="Q173" s="8"/>
      <c r="R173" t="str">
        <f>IFERROR(
  IF(
    AND(
      INT($C173) &gt;= INT(INDEX('Campaign Metadata'!$B:$B, MATCH(TRIM($P173), 'Campaign Metadata'!$A:$A, 0))),
      INT($C173) &lt;= INT(INDEX('Campaign Metadata'!$C:$C, MATCH(TRIM($P173), 'Campaign Metadata'!$A:$A, 0)))
    ),
    "During Campaign",
    "Before Campaign"
  ),
  "No Campaign"
)</f>
        <v>Before Campaign</v>
      </c>
    </row>
    <row r="174" spans="1:18" x14ac:dyDescent="0.3">
      <c r="A174" t="s">
        <v>369</v>
      </c>
      <c r="B174" t="s">
        <v>14</v>
      </c>
      <c r="C174" s="5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  <c r="Q174" s="8"/>
      <c r="R174" t="str">
        <f>IFERROR(
  IF(
    AND(
      INT($C174) &gt;= INT(INDEX('Campaign Metadata'!$B:$B, MATCH(TRIM($P174), 'Campaign Metadata'!$A:$A, 0))),
      INT($C174) &lt;= INT(INDEX('Campaign Metadata'!$C:$C, MATCH(TRIM($P174), 'Campaign Metadata'!$A:$A, 0)))
    ),
    "During Campaign",
    "Before Campaign"
  ),
  "No Campaign"
)</f>
        <v>Before Campaign</v>
      </c>
    </row>
    <row r="175" spans="1:18" x14ac:dyDescent="0.3">
      <c r="A175" t="s">
        <v>371</v>
      </c>
      <c r="B175" t="s">
        <v>43</v>
      </c>
      <c r="C175" s="5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  <c r="Q175" s="8"/>
      <c r="R175" t="str">
        <f>IFERROR(
  IF(
    AND(
      INT($C175) &gt;= INT(INDEX('Campaign Metadata'!$B:$B, MATCH(TRIM($P175), 'Campaign Metadata'!$A:$A, 0))),
      INT($C175) &lt;= INT(INDEX('Campaign Metadata'!$C:$C, MATCH(TRIM($P175), 'Campaign Metadata'!$A:$A, 0)))
    ),
    "During Campaign",
    "Before Campaign"
  ),
  "No Campaign"
)</f>
        <v>During Campaign</v>
      </c>
    </row>
    <row r="176" spans="1:18" x14ac:dyDescent="0.3">
      <c r="A176" t="s">
        <v>372</v>
      </c>
      <c r="B176" t="s">
        <v>33</v>
      </c>
      <c r="C176" s="5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  <c r="Q176" s="8"/>
      <c r="R176" t="str">
        <f>IFERROR(
  IF(
    AND(
      INT($C176) &gt;= INT(INDEX('Campaign Metadata'!$B:$B, MATCH(TRIM($P176), 'Campaign Metadata'!$A:$A, 0))),
      INT($C176) &lt;= INT(INDEX('Campaign Metadata'!$C:$C, MATCH(TRIM($P176), 'Campaign Metadata'!$A:$A, 0)))
    ),
    "During Campaign",
    "Before Campaign"
  ),
  "No Campaign"
)</f>
        <v>Before Campaign</v>
      </c>
    </row>
    <row r="177" spans="1:18" x14ac:dyDescent="0.3">
      <c r="A177" t="s">
        <v>374</v>
      </c>
      <c r="B177" t="s">
        <v>43</v>
      </c>
      <c r="C177" s="5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  <c r="Q177" s="8"/>
      <c r="R177" t="str">
        <f>IFERROR(
  IF(
    AND(
      INT($C177) &gt;= INT(INDEX('Campaign Metadata'!$B:$B, MATCH(TRIM($P177), 'Campaign Metadata'!$A:$A, 0))),
      INT($C177) &lt;= INT(INDEX('Campaign Metadata'!$C:$C, MATCH(TRIM($P177), 'Campaign Metadata'!$A:$A, 0)))
    ),
    "During Campaign",
    "Before Campaign"
  ),
  "No Campaign"
)</f>
        <v>During Campaign</v>
      </c>
    </row>
    <row r="178" spans="1:18" x14ac:dyDescent="0.3">
      <c r="A178" t="s">
        <v>376</v>
      </c>
      <c r="B178" t="s">
        <v>33</v>
      </c>
      <c r="C178" s="5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  <c r="Q178" s="8"/>
      <c r="R178" t="str">
        <f>IFERROR(
  IF(
    AND(
      INT($C178) &gt;= INT(INDEX('Campaign Metadata'!$B:$B, MATCH(TRIM($P178), 'Campaign Metadata'!$A:$A, 0))),
      INT($C178) &lt;= INT(INDEX('Campaign Metadata'!$C:$C, MATCH(TRIM($P178), 'Campaign Metadata'!$A:$A, 0)))
    ),
    "During Campaign",
    "Before Campaign"
  ),
  "No Campaign"
)</f>
        <v>Before Campaign</v>
      </c>
    </row>
    <row r="179" spans="1:18" x14ac:dyDescent="0.3">
      <c r="A179" t="s">
        <v>378</v>
      </c>
      <c r="B179" t="s">
        <v>33</v>
      </c>
      <c r="C179" s="5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  <c r="Q179" s="8"/>
      <c r="R179" t="str">
        <f>IFERROR(
  IF(
    AND(
      INT($C179) &gt;= INT(INDEX('Campaign Metadata'!$B:$B, MATCH(TRIM($P179), 'Campaign Metadata'!$A:$A, 0))),
      INT($C179) &lt;= INT(INDEX('Campaign Metadata'!$C:$C, MATCH(TRIM($P179), 'Campaign Metadata'!$A:$A, 0)))
    ),
    "During Campaign",
    "Before Campaign"
  ),
  "No Campaign"
)</f>
        <v>Before Campaign</v>
      </c>
    </row>
    <row r="180" spans="1:18" x14ac:dyDescent="0.3">
      <c r="A180" t="s">
        <v>379</v>
      </c>
      <c r="B180" t="s">
        <v>43</v>
      </c>
      <c r="C180" s="5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  <c r="Q180" s="8"/>
      <c r="R180" t="str">
        <f>IFERROR(
  IF(
    AND(
      INT($C180) &gt;= INT(INDEX('Campaign Metadata'!$B:$B, MATCH(TRIM($P180), 'Campaign Metadata'!$A:$A, 0))),
      INT($C180) &lt;= INT(INDEX('Campaign Metadata'!$C:$C, MATCH(TRIM($P180), 'Campaign Metadata'!$A:$A, 0)))
    ),
    "During Campaign",
    "Before Campaign"
  ),
  "No Campaign"
)</f>
        <v>Before Campaign</v>
      </c>
    </row>
    <row r="181" spans="1:18" x14ac:dyDescent="0.3">
      <c r="A181" t="s">
        <v>380</v>
      </c>
      <c r="B181" t="s">
        <v>27</v>
      </c>
      <c r="C181" s="5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  <c r="Q181" s="8"/>
      <c r="R181" t="str">
        <f>IFERROR(
  IF(
    AND(
      INT($C181) &gt;= INT(INDEX('Campaign Metadata'!$B:$B, MATCH(TRIM($P181), 'Campaign Metadata'!$A:$A, 0))),
      INT($C181) &lt;= INT(INDEX('Campaign Metadata'!$C:$C, MATCH(TRIM($P181), 'Campaign Metadata'!$A:$A, 0)))
    ),
    "During Campaign",
    "Before Campaign"
  ),
  "No Campaign"
)</f>
        <v>Before Campaign</v>
      </c>
    </row>
    <row r="182" spans="1:18" x14ac:dyDescent="0.3">
      <c r="A182" t="s">
        <v>381</v>
      </c>
      <c r="B182" t="s">
        <v>27</v>
      </c>
      <c r="C182" s="5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  <c r="Q182" s="8"/>
      <c r="R182" t="str">
        <f>IFERROR(
  IF(
    AND(
      INT($C182) &gt;= INT(INDEX('Campaign Metadata'!$B:$B, MATCH(TRIM($P182), 'Campaign Metadata'!$A:$A, 0))),
      INT($C182) &lt;= INT(INDEX('Campaign Metadata'!$C:$C, MATCH(TRIM($P182), 'Campaign Metadata'!$A:$A, 0)))
    ),
    "During Campaign",
    "Before Campaign"
  ),
  "No Campaign"
)</f>
        <v>Before Campaign</v>
      </c>
    </row>
    <row r="183" spans="1:18" x14ac:dyDescent="0.3">
      <c r="A183" t="s">
        <v>383</v>
      </c>
      <c r="B183" t="s">
        <v>43</v>
      </c>
      <c r="C183" s="5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  <c r="Q183" s="8"/>
      <c r="R183" t="str">
        <f>IFERROR(
  IF(
    AND(
      INT($C183) &gt;= INT(INDEX('Campaign Metadata'!$B:$B, MATCH(TRIM($P183), 'Campaign Metadata'!$A:$A, 0))),
      INT($C183) &lt;= INT(INDEX('Campaign Metadata'!$C:$C, MATCH(TRIM($P183), 'Campaign Metadata'!$A:$A, 0)))
    ),
    "During Campaign",
    "Before Campaign"
  ),
  "No Campaign"
)</f>
        <v>Before Campaign</v>
      </c>
    </row>
    <row r="184" spans="1:18" x14ac:dyDescent="0.3">
      <c r="A184" t="s">
        <v>384</v>
      </c>
      <c r="B184" t="s">
        <v>33</v>
      </c>
      <c r="C184" s="5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  <c r="Q184" s="8"/>
      <c r="R184" t="str">
        <f>IFERROR(
  IF(
    AND(
      INT($C184) &gt;= INT(INDEX('Campaign Metadata'!$B:$B, MATCH(TRIM($P184), 'Campaign Metadata'!$A:$A, 0))),
      INT($C184) &lt;= INT(INDEX('Campaign Metadata'!$C:$C, MATCH(TRIM($P184), 'Campaign Metadata'!$A:$A, 0)))
    ),
    "During Campaign",
    "Before Campaign"
  ),
  "No Campaign"
)</f>
        <v>Before Campaign</v>
      </c>
    </row>
    <row r="185" spans="1:18" x14ac:dyDescent="0.3">
      <c r="A185" t="s">
        <v>386</v>
      </c>
      <c r="B185" t="s">
        <v>14</v>
      </c>
      <c r="C185" s="5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  <c r="Q185" s="8"/>
      <c r="R185" t="str">
        <f>IFERROR(
  IF(
    AND(
      INT($C185) &gt;= INT(INDEX('Campaign Metadata'!$B:$B, MATCH(TRIM($P185), 'Campaign Metadata'!$A:$A, 0))),
      INT($C185) &lt;= INT(INDEX('Campaign Metadata'!$C:$C, MATCH(TRIM($P185), 'Campaign Metadata'!$A:$A, 0)))
    ),
    "During Campaign",
    "Before Campaign"
  ),
  "No Campaign"
)</f>
        <v>Before Campaign</v>
      </c>
    </row>
    <row r="186" spans="1:18" x14ac:dyDescent="0.3">
      <c r="A186" t="s">
        <v>388</v>
      </c>
      <c r="B186" t="s">
        <v>33</v>
      </c>
      <c r="C186" s="5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  <c r="Q186" s="8"/>
      <c r="R186" t="str">
        <f>IFERROR(
  IF(
    AND(
      INT($C186) &gt;= INT(INDEX('Campaign Metadata'!$B:$B, MATCH(TRIM($P186), 'Campaign Metadata'!$A:$A, 0))),
      INT($C186) &lt;= INT(INDEX('Campaign Metadata'!$C:$C, MATCH(TRIM($P186), 'Campaign Metadata'!$A:$A, 0)))
    ),
    "During Campaign",
    "Before Campaign"
  ),
  "No Campaign"
)</f>
        <v>Before Campaign</v>
      </c>
    </row>
    <row r="187" spans="1:18" x14ac:dyDescent="0.3">
      <c r="A187" t="s">
        <v>390</v>
      </c>
      <c r="B187" t="s">
        <v>43</v>
      </c>
      <c r="C187" s="5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  <c r="Q187" s="8"/>
      <c r="R187" t="str">
        <f>IFERROR(
  IF(
    AND(
      INT($C187) &gt;= INT(INDEX('Campaign Metadata'!$B:$B, MATCH(TRIM($P187), 'Campaign Metadata'!$A:$A, 0))),
      INT($C187) &lt;= INT(INDEX('Campaign Metadata'!$C:$C, MATCH(TRIM($P187), 'Campaign Metadata'!$A:$A, 0)))
    ),
    "During Campaign",
    "Before Campaign"
  ),
  "No Campaign"
)</f>
        <v>Before Campaign</v>
      </c>
    </row>
    <row r="188" spans="1:18" x14ac:dyDescent="0.3">
      <c r="A188" t="s">
        <v>391</v>
      </c>
      <c r="B188" t="s">
        <v>14</v>
      </c>
      <c r="C188" s="5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  <c r="Q188" s="8"/>
      <c r="R188" t="str">
        <f>IFERROR(
  IF(
    AND(
      INT($C188) &gt;= INT(INDEX('Campaign Metadata'!$B:$B, MATCH(TRIM($P188), 'Campaign Metadata'!$A:$A, 0))),
      INT($C188) &lt;= INT(INDEX('Campaign Metadata'!$C:$C, MATCH(TRIM($P188), 'Campaign Metadata'!$A:$A, 0)))
    ),
    "During Campaign",
    "Before Campaign"
  ),
  "No Campaign"
)</f>
        <v>Before Campaign</v>
      </c>
    </row>
    <row r="189" spans="1:18" x14ac:dyDescent="0.3">
      <c r="A189" t="s">
        <v>393</v>
      </c>
      <c r="B189" t="s">
        <v>27</v>
      </c>
      <c r="C189" s="5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  <c r="Q189" s="8"/>
      <c r="R189" t="str">
        <f>IFERROR(
  IF(
    AND(
      INT($C189) &gt;= INT(INDEX('Campaign Metadata'!$B:$B, MATCH(TRIM($P189), 'Campaign Metadata'!$A:$A, 0))),
      INT($C189) &lt;= INT(INDEX('Campaign Metadata'!$C:$C, MATCH(TRIM($P189), 'Campaign Metadata'!$A:$A, 0)))
    ),
    "During Campaign",
    "Before Campaign"
  ),
  "No Campaign"
)</f>
        <v>Before Campaign</v>
      </c>
    </row>
    <row r="190" spans="1:18" x14ac:dyDescent="0.3">
      <c r="A190" t="s">
        <v>394</v>
      </c>
      <c r="B190" t="s">
        <v>43</v>
      </c>
      <c r="C190" s="5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  <c r="Q190" s="8"/>
      <c r="R190" t="str">
        <f>IFERROR(
  IF(
    AND(
      INT($C190) &gt;= INT(INDEX('Campaign Metadata'!$B:$B, MATCH(TRIM($P190), 'Campaign Metadata'!$A:$A, 0))),
      INT($C190) &lt;= INT(INDEX('Campaign Metadata'!$C:$C, MATCH(TRIM($P190), 'Campaign Metadata'!$A:$A, 0)))
    ),
    "During Campaign",
    "Before Campaign"
  ),
  "No Campaign"
)</f>
        <v>Before Campaign</v>
      </c>
    </row>
    <row r="191" spans="1:18" x14ac:dyDescent="0.3">
      <c r="A191" t="s">
        <v>395</v>
      </c>
      <c r="B191" t="s">
        <v>27</v>
      </c>
      <c r="C191" s="5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  <c r="Q191" s="8"/>
      <c r="R191" t="str">
        <f>IFERROR(
  IF(
    AND(
      INT($C191) &gt;= INT(INDEX('Campaign Metadata'!$B:$B, MATCH(TRIM($P191), 'Campaign Metadata'!$A:$A, 0))),
      INT($C191) &lt;= INT(INDEX('Campaign Metadata'!$C:$C, MATCH(TRIM($P191), 'Campaign Metadata'!$A:$A, 0)))
    ),
    "During Campaign",
    "Before Campaign"
  ),
  "No Campaign"
)</f>
        <v>Before Campaign</v>
      </c>
    </row>
    <row r="192" spans="1:18" x14ac:dyDescent="0.3">
      <c r="A192" t="s">
        <v>397</v>
      </c>
      <c r="B192" t="s">
        <v>27</v>
      </c>
      <c r="C192" s="5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  <c r="Q192" s="8"/>
      <c r="R192" t="str">
        <f>IFERROR(
  IF(
    AND(
      INT($C192) &gt;= INT(INDEX('Campaign Metadata'!$B:$B, MATCH(TRIM($P192), 'Campaign Metadata'!$A:$A, 0))),
      INT($C192) &lt;= INT(INDEX('Campaign Metadata'!$C:$C, MATCH(TRIM($P192), 'Campaign Metadata'!$A:$A, 0)))
    ),
    "During Campaign",
    "Before Campaign"
  ),
  "No Campaign"
)</f>
        <v>Before Campaign</v>
      </c>
    </row>
    <row r="193" spans="1:18" x14ac:dyDescent="0.3">
      <c r="A193" t="s">
        <v>398</v>
      </c>
      <c r="B193" t="s">
        <v>33</v>
      </c>
      <c r="C193" s="5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  <c r="Q193" s="8"/>
      <c r="R193" t="str">
        <f>IFERROR(
  IF(
    AND(
      INT($C193) &gt;= INT(INDEX('Campaign Metadata'!$B:$B, MATCH(TRIM($P193), 'Campaign Metadata'!$A:$A, 0))),
      INT($C193) &lt;= INT(INDEX('Campaign Metadata'!$C:$C, MATCH(TRIM($P193), 'Campaign Metadata'!$A:$A, 0)))
    ),
    "During Campaign",
    "Before Campaign"
  ),
  "No Campaign"
)</f>
        <v>Before Campaign</v>
      </c>
    </row>
    <row r="194" spans="1:18" x14ac:dyDescent="0.3">
      <c r="A194" t="s">
        <v>400</v>
      </c>
      <c r="B194" t="s">
        <v>14</v>
      </c>
      <c r="C194" s="5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  <c r="Q194" s="8"/>
      <c r="R194" t="str">
        <f>IFERROR(
  IF(
    AND(
      INT($C194) &gt;= INT(INDEX('Campaign Metadata'!$B:$B, MATCH(TRIM($P194), 'Campaign Metadata'!$A:$A, 0))),
      INT($C194) &lt;= INT(INDEX('Campaign Metadata'!$C:$C, MATCH(TRIM($P194), 'Campaign Metadata'!$A:$A, 0)))
    ),
    "During Campaign",
    "Before Campaign"
  ),
  "No Campaign"
)</f>
        <v>Before Campaign</v>
      </c>
    </row>
    <row r="195" spans="1:18" x14ac:dyDescent="0.3">
      <c r="A195" t="s">
        <v>402</v>
      </c>
      <c r="B195" t="s">
        <v>27</v>
      </c>
      <c r="C195" s="5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  <c r="Q195" s="8"/>
      <c r="R195" t="str">
        <f>IFERROR(
  IF(
    AND(
      INT($C195) &gt;= INT(INDEX('Campaign Metadata'!$B:$B, MATCH(TRIM($P195), 'Campaign Metadata'!$A:$A, 0))),
      INT($C195) &lt;= INT(INDEX('Campaign Metadata'!$C:$C, MATCH(TRIM($P195), 'Campaign Metadata'!$A:$A, 0)))
    ),
    "During Campaign",
    "Before Campaign"
  ),
  "No Campaign"
)</f>
        <v>Before Campaign</v>
      </c>
    </row>
    <row r="196" spans="1:18" x14ac:dyDescent="0.3">
      <c r="A196" t="s">
        <v>403</v>
      </c>
      <c r="B196" t="s">
        <v>33</v>
      </c>
      <c r="C196" s="5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s="8"/>
      <c r="R196" t="str">
        <f>IFERROR(
  IF(
    AND(
      INT($C196) &gt;= INT(INDEX('Campaign Metadata'!$B:$B, MATCH(TRIM($P196), 'Campaign Metadata'!$A:$A, 0))),
      INT($C196) &lt;= INT(INDEX('Campaign Metadata'!$C:$C, MATCH(TRIM($P196), 'Campaign Metadata'!$A:$A, 0)))
    ),
    "During Campaign",
    "Before Campaign"
  ),
  "No Campaign"
)</f>
        <v>Before Campaign</v>
      </c>
    </row>
    <row r="197" spans="1:18" x14ac:dyDescent="0.3">
      <c r="A197" t="s">
        <v>405</v>
      </c>
      <c r="B197" t="s">
        <v>33</v>
      </c>
      <c r="C197" s="5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  <c r="Q197" s="8"/>
      <c r="R197" t="str">
        <f>IFERROR(
  IF(
    AND(
      INT($C197) &gt;= INT(INDEX('Campaign Metadata'!$B:$B, MATCH(TRIM($P197), 'Campaign Metadata'!$A:$A, 0))),
      INT($C197) &lt;= INT(INDEX('Campaign Metadata'!$C:$C, MATCH(TRIM($P197), 'Campaign Metadata'!$A:$A, 0)))
    ),
    "During Campaign",
    "Before Campaign"
  ),
  "No Campaign"
)</f>
        <v>Before Campaign</v>
      </c>
    </row>
    <row r="198" spans="1:18" x14ac:dyDescent="0.3">
      <c r="A198" t="s">
        <v>407</v>
      </c>
      <c r="B198" t="s">
        <v>14</v>
      </c>
      <c r="C198" s="5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  <c r="Q198" s="8"/>
      <c r="R198" t="str">
        <f>IFERROR(
  IF(
    AND(
      INT($C198) &gt;= INT(INDEX('Campaign Metadata'!$B:$B, MATCH(TRIM($P198), 'Campaign Metadata'!$A:$A, 0))),
      INT($C198) &lt;= INT(INDEX('Campaign Metadata'!$C:$C, MATCH(TRIM($P198), 'Campaign Metadata'!$A:$A, 0)))
    ),
    "During Campaign",
    "Before Campaign"
  ),
  "No Campaign"
)</f>
        <v>Before Campaign</v>
      </c>
    </row>
    <row r="199" spans="1:18" x14ac:dyDescent="0.3">
      <c r="A199" t="s">
        <v>408</v>
      </c>
      <c r="B199" t="s">
        <v>14</v>
      </c>
      <c r="C199" s="5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  <c r="Q199" s="8"/>
      <c r="R199" t="str">
        <f>IFERROR(
  IF(
    AND(
      INT($C199) &gt;= INT(INDEX('Campaign Metadata'!$B:$B, MATCH(TRIM($P199), 'Campaign Metadata'!$A:$A, 0))),
      INT($C199) &lt;= INT(INDEX('Campaign Metadata'!$C:$C, MATCH(TRIM($P199), 'Campaign Metadata'!$A:$A, 0)))
    ),
    "During Campaign",
    "Before Campaign"
  ),
  "No Campaign"
)</f>
        <v>Before Campaign</v>
      </c>
    </row>
    <row r="200" spans="1:18" x14ac:dyDescent="0.3">
      <c r="A200" t="s">
        <v>410</v>
      </c>
      <c r="B200" t="s">
        <v>27</v>
      </c>
      <c r="C200" s="5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  <c r="Q200" s="8"/>
      <c r="R200" t="str">
        <f>IFERROR(
  IF(
    AND(
      INT($C200) &gt;= INT(INDEX('Campaign Metadata'!$B:$B, MATCH(TRIM($P200), 'Campaign Metadata'!$A:$A, 0))),
      INT($C200) &lt;= INT(INDEX('Campaign Metadata'!$C:$C, MATCH(TRIM($P200), 'Campaign Metadata'!$A:$A, 0)))
    ),
    "During Campaign",
    "Before Campaign"
  ),
  "No Campaign"
)</f>
        <v>Before Campaign</v>
      </c>
    </row>
    <row r="201" spans="1:18" x14ac:dyDescent="0.3">
      <c r="A201" t="s">
        <v>411</v>
      </c>
      <c r="B201" t="s">
        <v>43</v>
      </c>
      <c r="C201" s="5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  <c r="Q201" s="8"/>
      <c r="R201" t="str">
        <f>IFERROR(
  IF(
    AND(
      INT($C201) &gt;= INT(INDEX('Campaign Metadata'!$B:$B, MATCH(TRIM($P201), 'Campaign Metadata'!$A:$A, 0))),
      INT($C201) &lt;= INT(INDEX('Campaign Metadata'!$C:$C, MATCH(TRIM($P201), 'Campaign Metadata'!$A:$A, 0)))
    ),
    "During Campaign",
    "Before Campaign"
  ),
  "No Campaign"
)</f>
        <v>Before Campaign</v>
      </c>
    </row>
    <row r="202" spans="1:18" x14ac:dyDescent="0.3">
      <c r="A202" t="s">
        <v>413</v>
      </c>
      <c r="B202" t="s">
        <v>14</v>
      </c>
      <c r="C202" s="5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  <c r="Q202" s="8"/>
      <c r="R202" t="str">
        <f>IFERROR(
  IF(
    AND(
      INT($C202) &gt;= INT(INDEX('Campaign Metadata'!$B:$B, MATCH(TRIM($P202), 'Campaign Metadata'!$A:$A, 0))),
      INT($C202) &lt;= INT(INDEX('Campaign Metadata'!$C:$C, MATCH(TRIM($P202), 'Campaign Metadata'!$A:$A, 0)))
    ),
    "During Campaign",
    "Before Campaign"
  ),
  "No Campaign"
)</f>
        <v>Before Campaign</v>
      </c>
    </row>
    <row r="203" spans="1:18" x14ac:dyDescent="0.3">
      <c r="A203" t="s">
        <v>415</v>
      </c>
      <c r="B203" t="s">
        <v>43</v>
      </c>
      <c r="C203" s="5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  <c r="Q203" s="8"/>
      <c r="R203" t="str">
        <f>IFERROR(
  IF(
    AND(
      INT($C203) &gt;= INT(INDEX('Campaign Metadata'!$B:$B, MATCH(TRIM($P203), 'Campaign Metadata'!$A:$A, 0))),
      INT($C203) &lt;= INT(INDEX('Campaign Metadata'!$C:$C, MATCH(TRIM($P203), 'Campaign Metadata'!$A:$A, 0)))
    ),
    "During Campaign",
    "Before Campaign"
  ),
  "No Campaign"
)</f>
        <v>Before Campaign</v>
      </c>
    </row>
    <row r="204" spans="1:18" x14ac:dyDescent="0.3">
      <c r="A204" t="s">
        <v>417</v>
      </c>
      <c r="B204" t="s">
        <v>33</v>
      </c>
      <c r="C204" s="5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  <c r="Q204" s="8"/>
      <c r="R204" t="str">
        <f>IFERROR(
  IF(
    AND(
      INT($C204) &gt;= INT(INDEX('Campaign Metadata'!$B:$B, MATCH(TRIM($P204), 'Campaign Metadata'!$A:$A, 0))),
      INT($C204) &lt;= INT(INDEX('Campaign Metadata'!$C:$C, MATCH(TRIM($P204), 'Campaign Metadata'!$A:$A, 0)))
    ),
    "During Campaign",
    "Before Campaign"
  ),
  "No Campaign"
)</f>
        <v>Before Campaign</v>
      </c>
    </row>
    <row r="205" spans="1:18" x14ac:dyDescent="0.3">
      <c r="A205" t="s">
        <v>419</v>
      </c>
      <c r="B205" t="s">
        <v>33</v>
      </c>
      <c r="C205" s="5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  <c r="Q205" s="8"/>
      <c r="R205" t="str">
        <f>IFERROR(
  IF(
    AND(
      INT($C205) &gt;= INT(INDEX('Campaign Metadata'!$B:$B, MATCH(TRIM($P205), 'Campaign Metadata'!$A:$A, 0))),
      INT($C205) &lt;= INT(INDEX('Campaign Metadata'!$C:$C, MATCH(TRIM($P205), 'Campaign Metadata'!$A:$A, 0)))
    ),
    "During Campaign",
    "Before Campaign"
  ),
  "No Campaign"
)</f>
        <v>During Campaign</v>
      </c>
    </row>
    <row r="206" spans="1:18" x14ac:dyDescent="0.3">
      <c r="A206" t="s">
        <v>420</v>
      </c>
      <c r="B206" t="s">
        <v>14</v>
      </c>
      <c r="C206" s="5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  <c r="Q206" s="8"/>
      <c r="R206" t="str">
        <f>IFERROR(
  IF(
    AND(
      INT($C206) &gt;= INT(INDEX('Campaign Metadata'!$B:$B, MATCH(TRIM($P206), 'Campaign Metadata'!$A:$A, 0))),
      INT($C206) &lt;= INT(INDEX('Campaign Metadata'!$C:$C, MATCH(TRIM($P206), 'Campaign Metadata'!$A:$A, 0)))
    ),
    "During Campaign",
    "Before Campaign"
  ),
  "No Campaign"
)</f>
        <v>Before Campaign</v>
      </c>
    </row>
    <row r="207" spans="1:18" x14ac:dyDescent="0.3">
      <c r="A207" t="s">
        <v>422</v>
      </c>
      <c r="B207" t="s">
        <v>14</v>
      </c>
      <c r="C207" s="5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  <c r="Q207" s="8"/>
      <c r="R207" t="str">
        <f>IFERROR(
  IF(
    AND(
      INT($C207) &gt;= INT(INDEX('Campaign Metadata'!$B:$B, MATCH(TRIM($P207), 'Campaign Metadata'!$A:$A, 0))),
      INT($C207) &lt;= INT(INDEX('Campaign Metadata'!$C:$C, MATCH(TRIM($P207), 'Campaign Metadata'!$A:$A, 0)))
    ),
    "During Campaign",
    "Before Campaign"
  ),
  "No Campaign"
)</f>
        <v>During Campaign</v>
      </c>
    </row>
    <row r="208" spans="1:18" x14ac:dyDescent="0.3">
      <c r="A208" t="s">
        <v>423</v>
      </c>
      <c r="B208" t="s">
        <v>14</v>
      </c>
      <c r="C208" s="5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  <c r="Q208" s="8"/>
      <c r="R208" t="str">
        <f>IFERROR(
  IF(
    AND(
      INT($C208) &gt;= INT(INDEX('Campaign Metadata'!$B:$B, MATCH(TRIM($P208), 'Campaign Metadata'!$A:$A, 0))),
      INT($C208) &lt;= INT(INDEX('Campaign Metadata'!$C:$C, MATCH(TRIM($P208), 'Campaign Metadata'!$A:$A, 0)))
    ),
    "During Campaign",
    "Before Campaign"
  ),
  "No Campaign"
)</f>
        <v>During Campaign</v>
      </c>
    </row>
    <row r="209" spans="1:18" x14ac:dyDescent="0.3">
      <c r="A209" t="s">
        <v>425</v>
      </c>
      <c r="B209" t="s">
        <v>27</v>
      </c>
      <c r="C209" s="5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  <c r="Q209" s="8"/>
      <c r="R209" t="str">
        <f>IFERROR(
  IF(
    AND(
      INT($C209) &gt;= INT(INDEX('Campaign Metadata'!$B:$B, MATCH(TRIM($P209), 'Campaign Metadata'!$A:$A, 0))),
      INT($C209) &lt;= INT(INDEX('Campaign Metadata'!$C:$C, MATCH(TRIM($P209), 'Campaign Metadata'!$A:$A, 0)))
    ),
    "During Campaign",
    "Before Campaign"
  ),
  "No Campaign"
)</f>
        <v>Before Campaign</v>
      </c>
    </row>
    <row r="210" spans="1:18" x14ac:dyDescent="0.3">
      <c r="A210" t="s">
        <v>426</v>
      </c>
      <c r="B210" t="s">
        <v>14</v>
      </c>
      <c r="C210" s="5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  <c r="Q210" s="8"/>
      <c r="R210" t="str">
        <f>IFERROR(
  IF(
    AND(
      INT($C210) &gt;= INT(INDEX('Campaign Metadata'!$B:$B, MATCH(TRIM($P210), 'Campaign Metadata'!$A:$A, 0))),
      INT($C210) &lt;= INT(INDEX('Campaign Metadata'!$C:$C, MATCH(TRIM($P210), 'Campaign Metadata'!$A:$A, 0)))
    ),
    "During Campaign",
    "Before Campaign"
  ),
  "No Campaign"
)</f>
        <v>During Campaign</v>
      </c>
    </row>
    <row r="211" spans="1:18" x14ac:dyDescent="0.3">
      <c r="A211" t="s">
        <v>428</v>
      </c>
      <c r="B211" t="s">
        <v>27</v>
      </c>
      <c r="C211" s="5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  <c r="Q211" s="8"/>
      <c r="R211" t="str">
        <f>IFERROR(
  IF(
    AND(
      INT($C211) &gt;= INT(INDEX('Campaign Metadata'!$B:$B, MATCH(TRIM($P211), 'Campaign Metadata'!$A:$A, 0))),
      INT($C211) &lt;= INT(INDEX('Campaign Metadata'!$C:$C, MATCH(TRIM($P211), 'Campaign Metadata'!$A:$A, 0)))
    ),
    "During Campaign",
    "Before Campaign"
  ),
  "No Campaign"
)</f>
        <v>Before Campaign</v>
      </c>
    </row>
    <row r="212" spans="1:18" x14ac:dyDescent="0.3">
      <c r="A212" t="s">
        <v>429</v>
      </c>
      <c r="B212" t="s">
        <v>14</v>
      </c>
      <c r="C212" s="5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  <c r="Q212" s="8"/>
      <c r="R212" t="str">
        <f>IFERROR(
  IF(
    AND(
      INT($C212) &gt;= INT(INDEX('Campaign Metadata'!$B:$B, MATCH(TRIM($P212), 'Campaign Metadata'!$A:$A, 0))),
      INT($C212) &lt;= INT(INDEX('Campaign Metadata'!$C:$C, MATCH(TRIM($P212), 'Campaign Metadata'!$A:$A, 0)))
    ),
    "During Campaign",
    "Before Campaign"
  ),
  "No Campaign"
)</f>
        <v>Before Campaign</v>
      </c>
    </row>
    <row r="213" spans="1:18" x14ac:dyDescent="0.3">
      <c r="A213" t="s">
        <v>431</v>
      </c>
      <c r="B213" t="s">
        <v>27</v>
      </c>
      <c r="C213" s="5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  <c r="Q213" s="8"/>
      <c r="R213" t="str">
        <f>IFERROR(
  IF(
    AND(
      INT($C213) &gt;= INT(INDEX('Campaign Metadata'!$B:$B, MATCH(TRIM($P213), 'Campaign Metadata'!$A:$A, 0))),
      INT($C213) &lt;= INT(INDEX('Campaign Metadata'!$C:$C, MATCH(TRIM($P213), 'Campaign Metadata'!$A:$A, 0)))
    ),
    "During Campaign",
    "Before Campaign"
  ),
  "No Campaign"
)</f>
        <v>Before Campaign</v>
      </c>
    </row>
    <row r="214" spans="1:18" x14ac:dyDescent="0.3">
      <c r="A214" t="s">
        <v>432</v>
      </c>
      <c r="B214" t="s">
        <v>43</v>
      </c>
      <c r="C214" s="5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  <c r="Q214" s="8"/>
      <c r="R214" t="str">
        <f>IFERROR(
  IF(
    AND(
      INT($C214) &gt;= INT(INDEX('Campaign Metadata'!$B:$B, MATCH(TRIM($P214), 'Campaign Metadata'!$A:$A, 0))),
      INT($C214) &lt;= INT(INDEX('Campaign Metadata'!$C:$C, MATCH(TRIM($P214), 'Campaign Metadata'!$A:$A, 0)))
    ),
    "During Campaign",
    "Before Campaign"
  ),
  "No Campaign"
)</f>
        <v>Before Campaign</v>
      </c>
    </row>
    <row r="215" spans="1:18" x14ac:dyDescent="0.3">
      <c r="A215" t="s">
        <v>434</v>
      </c>
      <c r="B215" t="s">
        <v>33</v>
      </c>
      <c r="C215" s="5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  <c r="Q215" s="8"/>
      <c r="R215" t="str">
        <f>IFERROR(
  IF(
    AND(
      INT($C215) &gt;= INT(INDEX('Campaign Metadata'!$B:$B, MATCH(TRIM($P215), 'Campaign Metadata'!$A:$A, 0))),
      INT($C215) &lt;= INT(INDEX('Campaign Metadata'!$C:$C, MATCH(TRIM($P215), 'Campaign Metadata'!$A:$A, 0)))
    ),
    "During Campaign",
    "Before Campaign"
  ),
  "No Campaign"
)</f>
        <v>Before Campaign</v>
      </c>
    </row>
    <row r="216" spans="1:18" x14ac:dyDescent="0.3">
      <c r="A216" t="s">
        <v>435</v>
      </c>
      <c r="B216" t="s">
        <v>43</v>
      </c>
      <c r="C216" s="5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  <c r="Q216" s="8"/>
      <c r="R216" t="str">
        <f>IFERROR(
  IF(
    AND(
      INT($C216) &gt;= INT(INDEX('Campaign Metadata'!$B:$B, MATCH(TRIM($P216), 'Campaign Metadata'!$A:$A, 0))),
      INT($C216) &lt;= INT(INDEX('Campaign Metadata'!$C:$C, MATCH(TRIM($P216), 'Campaign Metadata'!$A:$A, 0)))
    ),
    "During Campaign",
    "Before Campaign"
  ),
  "No Campaign"
)</f>
        <v>Before Campaign</v>
      </c>
    </row>
    <row r="217" spans="1:18" x14ac:dyDescent="0.3">
      <c r="A217" t="s">
        <v>437</v>
      </c>
      <c r="B217" t="s">
        <v>27</v>
      </c>
      <c r="C217" s="5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  <c r="Q217" s="8"/>
      <c r="R217" t="str">
        <f>IFERROR(
  IF(
    AND(
      INT($C217) &gt;= INT(INDEX('Campaign Metadata'!$B:$B, MATCH(TRIM($P217), 'Campaign Metadata'!$A:$A, 0))),
      INT($C217) &lt;= INT(INDEX('Campaign Metadata'!$C:$C, MATCH(TRIM($P217), 'Campaign Metadata'!$A:$A, 0)))
    ),
    "During Campaign",
    "Before Campaign"
  ),
  "No Campaign"
)</f>
        <v>Before Campaign</v>
      </c>
    </row>
    <row r="218" spans="1:18" x14ac:dyDescent="0.3">
      <c r="A218" t="s">
        <v>438</v>
      </c>
      <c r="B218" t="s">
        <v>43</v>
      </c>
      <c r="C218" s="5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  <c r="Q218" s="8"/>
      <c r="R218" t="str">
        <f>IFERROR(
  IF(
    AND(
      INT($C218) &gt;= INT(INDEX('Campaign Metadata'!$B:$B, MATCH(TRIM($P218), 'Campaign Metadata'!$A:$A, 0))),
      INT($C218) &lt;= INT(INDEX('Campaign Metadata'!$C:$C, MATCH(TRIM($P218), 'Campaign Metadata'!$A:$A, 0)))
    ),
    "During Campaign",
    "Before Campaign"
  ),
  "No Campaign"
)</f>
        <v>Before Campaign</v>
      </c>
    </row>
    <row r="219" spans="1:18" x14ac:dyDescent="0.3">
      <c r="A219" t="s">
        <v>439</v>
      </c>
      <c r="B219" t="s">
        <v>43</v>
      </c>
      <c r="C219" s="5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  <c r="Q219" s="8"/>
      <c r="R219" t="str">
        <f>IFERROR(
  IF(
    AND(
      INT($C219) &gt;= INT(INDEX('Campaign Metadata'!$B:$B, MATCH(TRIM($P219), 'Campaign Metadata'!$A:$A, 0))),
      INT($C219) &lt;= INT(INDEX('Campaign Metadata'!$C:$C, MATCH(TRIM($P219), 'Campaign Metadata'!$A:$A, 0)))
    ),
    "During Campaign",
    "Before Campaign"
  ),
  "No Campaign"
)</f>
        <v>Before Campaign</v>
      </c>
    </row>
    <row r="220" spans="1:18" x14ac:dyDescent="0.3">
      <c r="A220" t="s">
        <v>440</v>
      </c>
      <c r="B220" t="s">
        <v>14</v>
      </c>
      <c r="C220" s="5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  <c r="Q220" s="8"/>
      <c r="R220" t="str">
        <f>IFERROR(
  IF(
    AND(
      INT($C220) &gt;= INT(INDEX('Campaign Metadata'!$B:$B, MATCH(TRIM($P220), 'Campaign Metadata'!$A:$A, 0))),
      INT($C220) &lt;= INT(INDEX('Campaign Metadata'!$C:$C, MATCH(TRIM($P220), 'Campaign Metadata'!$A:$A, 0)))
    ),
    "During Campaign",
    "Before Campaign"
  ),
  "No Campaign"
)</f>
        <v>Before Campaign</v>
      </c>
    </row>
    <row r="221" spans="1:18" x14ac:dyDescent="0.3">
      <c r="A221" t="s">
        <v>441</v>
      </c>
      <c r="B221" t="s">
        <v>33</v>
      </c>
      <c r="C221" s="5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  <c r="Q221" s="8"/>
      <c r="R221" t="str">
        <f>IFERROR(
  IF(
    AND(
      INT($C221) &gt;= INT(INDEX('Campaign Metadata'!$B:$B, MATCH(TRIM($P221), 'Campaign Metadata'!$A:$A, 0))),
      INT($C221) &lt;= INT(INDEX('Campaign Metadata'!$C:$C, MATCH(TRIM($P221), 'Campaign Metadata'!$A:$A, 0)))
    ),
    "During Campaign",
    "Before Campaign"
  ),
  "No Campaign"
)</f>
        <v>Before Campaign</v>
      </c>
    </row>
    <row r="222" spans="1:18" x14ac:dyDescent="0.3">
      <c r="A222" t="s">
        <v>442</v>
      </c>
      <c r="B222" t="s">
        <v>43</v>
      </c>
      <c r="C222" s="5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  <c r="Q222" s="8"/>
      <c r="R222" t="str">
        <f>IFERROR(
  IF(
    AND(
      INT($C222) &gt;= INT(INDEX('Campaign Metadata'!$B:$B, MATCH(TRIM($P222), 'Campaign Metadata'!$A:$A, 0))),
      INT($C222) &lt;= INT(INDEX('Campaign Metadata'!$C:$C, MATCH(TRIM($P222), 'Campaign Metadata'!$A:$A, 0)))
    ),
    "During Campaign",
    "Before Campaign"
  ),
  "No Campaign"
)</f>
        <v>Before Campaign</v>
      </c>
    </row>
    <row r="223" spans="1:18" x14ac:dyDescent="0.3">
      <c r="A223" t="s">
        <v>443</v>
      </c>
      <c r="B223" t="s">
        <v>43</v>
      </c>
      <c r="C223" s="5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  <c r="Q223" s="8"/>
      <c r="R223" t="str">
        <f>IFERROR(
  IF(
    AND(
      INT($C223) &gt;= INT(INDEX('Campaign Metadata'!$B:$B, MATCH(TRIM($P223), 'Campaign Metadata'!$A:$A, 0))),
      INT($C223) &lt;= INT(INDEX('Campaign Metadata'!$C:$C, MATCH(TRIM($P223), 'Campaign Metadata'!$A:$A, 0)))
    ),
    "During Campaign",
    "Before Campaign"
  ),
  "No Campaign"
)</f>
        <v>Before Campaign</v>
      </c>
    </row>
    <row r="224" spans="1:18" x14ac:dyDescent="0.3">
      <c r="A224" t="s">
        <v>446</v>
      </c>
      <c r="B224" t="s">
        <v>14</v>
      </c>
      <c r="C224" s="5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  <c r="Q224" s="8"/>
      <c r="R224" t="str">
        <f>IFERROR(
  IF(
    AND(
      INT($C224) &gt;= INT(INDEX('Campaign Metadata'!$B:$B, MATCH(TRIM($P224), 'Campaign Metadata'!$A:$A, 0))),
      INT($C224) &lt;= INT(INDEX('Campaign Metadata'!$C:$C, MATCH(TRIM($P224), 'Campaign Metadata'!$A:$A, 0)))
    ),
    "During Campaign",
    "Before Campaign"
  ),
  "No Campaign"
)</f>
        <v>Before Campaign</v>
      </c>
    </row>
    <row r="225" spans="1:18" x14ac:dyDescent="0.3">
      <c r="A225" t="s">
        <v>447</v>
      </c>
      <c r="B225" t="s">
        <v>43</v>
      </c>
      <c r="C225" s="5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  <c r="Q225" s="8"/>
      <c r="R225" t="str">
        <f>IFERROR(
  IF(
    AND(
      INT($C225) &gt;= INT(INDEX('Campaign Metadata'!$B:$B, MATCH(TRIM($P225), 'Campaign Metadata'!$A:$A, 0))),
      INT($C225) &lt;= INT(INDEX('Campaign Metadata'!$C:$C, MATCH(TRIM($P225), 'Campaign Metadata'!$A:$A, 0)))
    ),
    "During Campaign",
    "Before Campaign"
  ),
  "No Campaign"
)</f>
        <v>Before Campaign</v>
      </c>
    </row>
    <row r="226" spans="1:18" x14ac:dyDescent="0.3">
      <c r="A226" t="s">
        <v>449</v>
      </c>
      <c r="B226" t="s">
        <v>14</v>
      </c>
      <c r="C226" s="5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  <c r="Q226" s="8"/>
      <c r="R226" t="str">
        <f>IFERROR(
  IF(
    AND(
      INT($C226) &gt;= INT(INDEX('Campaign Metadata'!$B:$B, MATCH(TRIM($P226), 'Campaign Metadata'!$A:$A, 0))),
      INT($C226) &lt;= INT(INDEX('Campaign Metadata'!$C:$C, MATCH(TRIM($P226), 'Campaign Metadata'!$A:$A, 0)))
    ),
    "During Campaign",
    "Before Campaign"
  ),
  "No Campaign"
)</f>
        <v>During Campaign</v>
      </c>
    </row>
    <row r="227" spans="1:18" x14ac:dyDescent="0.3">
      <c r="A227" t="s">
        <v>450</v>
      </c>
      <c r="B227" t="s">
        <v>33</v>
      </c>
      <c r="C227" s="5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  <c r="Q227" s="8"/>
      <c r="R227" t="str">
        <f>IFERROR(
  IF(
    AND(
      INT($C227) &gt;= INT(INDEX('Campaign Metadata'!$B:$B, MATCH(TRIM($P227), 'Campaign Metadata'!$A:$A, 0))),
      INT($C227) &lt;= INT(INDEX('Campaign Metadata'!$C:$C, MATCH(TRIM($P227), 'Campaign Metadata'!$A:$A, 0)))
    ),
    "During Campaign",
    "Before Campaign"
  ),
  "No Campaign"
)</f>
        <v>Before Campaign</v>
      </c>
    </row>
    <row r="228" spans="1:18" x14ac:dyDescent="0.3">
      <c r="A228" t="s">
        <v>452</v>
      </c>
      <c r="B228" t="s">
        <v>33</v>
      </c>
      <c r="C228" s="5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  <c r="Q228" s="8"/>
      <c r="R228" t="str">
        <f>IFERROR(
  IF(
    AND(
      INT($C228) &gt;= INT(INDEX('Campaign Metadata'!$B:$B, MATCH(TRIM($P228), 'Campaign Metadata'!$A:$A, 0))),
      INT($C228) &lt;= INT(INDEX('Campaign Metadata'!$C:$C, MATCH(TRIM($P228), 'Campaign Metadata'!$A:$A, 0)))
    ),
    "During Campaign",
    "Before Campaign"
  ),
  "No Campaign"
)</f>
        <v>Before Campaign</v>
      </c>
    </row>
    <row r="229" spans="1:18" x14ac:dyDescent="0.3">
      <c r="A229" t="s">
        <v>454</v>
      </c>
      <c r="B229" t="s">
        <v>33</v>
      </c>
      <c r="C229" s="5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  <c r="Q229" s="8"/>
      <c r="R229" t="str">
        <f>IFERROR(
  IF(
    AND(
      INT($C229) &gt;= INT(INDEX('Campaign Metadata'!$B:$B, MATCH(TRIM($P229), 'Campaign Metadata'!$A:$A, 0))),
      INT($C229) &lt;= INT(INDEX('Campaign Metadata'!$C:$C, MATCH(TRIM($P229), 'Campaign Metadata'!$A:$A, 0)))
    ),
    "During Campaign",
    "Before Campaign"
  ),
  "No Campaign"
)</f>
        <v>During Campaign</v>
      </c>
    </row>
    <row r="230" spans="1:18" x14ac:dyDescent="0.3">
      <c r="A230" t="s">
        <v>456</v>
      </c>
      <c r="B230" t="s">
        <v>33</v>
      </c>
      <c r="C230" s="5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  <c r="Q230" s="8"/>
      <c r="R230" t="str">
        <f>IFERROR(
  IF(
    AND(
      INT($C230) &gt;= INT(INDEX('Campaign Metadata'!$B:$B, MATCH(TRIM($P230), 'Campaign Metadata'!$A:$A, 0))),
      INT($C230) &lt;= INT(INDEX('Campaign Metadata'!$C:$C, MATCH(TRIM($P230), 'Campaign Metadata'!$A:$A, 0)))
    ),
    "During Campaign",
    "Before Campaign"
  ),
  "No Campaign"
)</f>
        <v>Before Campaign</v>
      </c>
    </row>
    <row r="231" spans="1:18" x14ac:dyDescent="0.3">
      <c r="A231" t="s">
        <v>457</v>
      </c>
      <c r="B231" t="s">
        <v>43</v>
      </c>
      <c r="C231" s="5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  <c r="Q231" s="8"/>
      <c r="R231" t="str">
        <f>IFERROR(
  IF(
    AND(
      INT($C231) &gt;= INT(INDEX('Campaign Metadata'!$B:$B, MATCH(TRIM($P231), 'Campaign Metadata'!$A:$A, 0))),
      INT($C231) &lt;= INT(INDEX('Campaign Metadata'!$C:$C, MATCH(TRIM($P231), 'Campaign Metadata'!$A:$A, 0)))
    ),
    "During Campaign",
    "Before Campaign"
  ),
  "No Campaign"
)</f>
        <v>Before Campaign</v>
      </c>
    </row>
    <row r="232" spans="1:18" x14ac:dyDescent="0.3">
      <c r="A232" t="s">
        <v>458</v>
      </c>
      <c r="B232" t="s">
        <v>33</v>
      </c>
      <c r="C232" s="5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  <c r="Q232" s="8"/>
      <c r="R232" t="str">
        <f>IFERROR(
  IF(
    AND(
      INT($C232) &gt;= INT(INDEX('Campaign Metadata'!$B:$B, MATCH(TRIM($P232), 'Campaign Metadata'!$A:$A, 0))),
      INT($C232) &lt;= INT(INDEX('Campaign Metadata'!$C:$C, MATCH(TRIM($P232), 'Campaign Metadata'!$A:$A, 0)))
    ),
    "During Campaign",
    "Before Campaign"
  ),
  "No Campaign"
)</f>
        <v>Before Campaign</v>
      </c>
    </row>
    <row r="233" spans="1:18" x14ac:dyDescent="0.3">
      <c r="A233" t="s">
        <v>459</v>
      </c>
      <c r="B233" t="s">
        <v>14</v>
      </c>
      <c r="C233" s="5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  <c r="Q233" s="8"/>
      <c r="R233" t="str">
        <f>IFERROR(
  IF(
    AND(
      INT($C233) &gt;= INT(INDEX('Campaign Metadata'!$B:$B, MATCH(TRIM($P233), 'Campaign Metadata'!$A:$A, 0))),
      INT($C233) &lt;= INT(INDEX('Campaign Metadata'!$C:$C, MATCH(TRIM($P233), 'Campaign Metadata'!$A:$A, 0)))
    ),
    "During Campaign",
    "Before Campaign"
  ),
  "No Campaign"
)</f>
        <v>Before Campaign</v>
      </c>
    </row>
    <row r="234" spans="1:18" x14ac:dyDescent="0.3">
      <c r="A234" t="s">
        <v>461</v>
      </c>
      <c r="B234" t="s">
        <v>43</v>
      </c>
      <c r="C234" s="5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  <c r="Q234" s="8"/>
      <c r="R234" t="str">
        <f>IFERROR(
  IF(
    AND(
      INT($C234) &gt;= INT(INDEX('Campaign Metadata'!$B:$B, MATCH(TRIM($P234), 'Campaign Metadata'!$A:$A, 0))),
      INT($C234) &lt;= INT(INDEX('Campaign Metadata'!$C:$C, MATCH(TRIM($P234), 'Campaign Metadata'!$A:$A, 0)))
    ),
    "During Campaign",
    "Before Campaign"
  ),
  "No Campaign"
)</f>
        <v>During Campaign</v>
      </c>
    </row>
    <row r="235" spans="1:18" x14ac:dyDescent="0.3">
      <c r="A235" t="s">
        <v>462</v>
      </c>
      <c r="B235" t="s">
        <v>43</v>
      </c>
      <c r="C235" s="5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  <c r="Q235" s="8"/>
      <c r="R235" t="str">
        <f>IFERROR(
  IF(
    AND(
      INT($C235) &gt;= INT(INDEX('Campaign Metadata'!$B:$B, MATCH(TRIM($P235), 'Campaign Metadata'!$A:$A, 0))),
      INT($C235) &lt;= INT(INDEX('Campaign Metadata'!$C:$C, MATCH(TRIM($P235), 'Campaign Metadata'!$A:$A, 0)))
    ),
    "During Campaign",
    "Before Campaign"
  ),
  "No Campaign"
)</f>
        <v>Before Campaign</v>
      </c>
    </row>
    <row r="236" spans="1:18" x14ac:dyDescent="0.3">
      <c r="A236" t="s">
        <v>464</v>
      </c>
      <c r="B236" t="s">
        <v>43</v>
      </c>
      <c r="C236" s="5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  <c r="Q236" s="8"/>
      <c r="R236" t="str">
        <f>IFERROR(
  IF(
    AND(
      INT($C236) &gt;= INT(INDEX('Campaign Metadata'!$B:$B, MATCH(TRIM($P236), 'Campaign Metadata'!$A:$A, 0))),
      INT($C236) &lt;= INT(INDEX('Campaign Metadata'!$C:$C, MATCH(TRIM($P236), 'Campaign Metadata'!$A:$A, 0)))
    ),
    "During Campaign",
    "Before Campaign"
  ),
  "No Campaign"
)</f>
        <v>Before Campaign</v>
      </c>
    </row>
    <row r="237" spans="1:18" x14ac:dyDescent="0.3">
      <c r="A237" t="s">
        <v>465</v>
      </c>
      <c r="B237" t="s">
        <v>43</v>
      </c>
      <c r="C237" s="5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s="8"/>
      <c r="R237" t="str">
        <f>IFERROR(
  IF(
    AND(
      INT($C237) &gt;= INT(INDEX('Campaign Metadata'!$B:$B, MATCH(TRIM($P237), 'Campaign Metadata'!$A:$A, 0))),
      INT($C237) &lt;= INT(INDEX('Campaign Metadata'!$C:$C, MATCH(TRIM($P237), 'Campaign Metadata'!$A:$A, 0)))
    ),
    "During Campaign",
    "Before Campaign"
  ),
  "No Campaign"
)</f>
        <v>Before Campaign</v>
      </c>
    </row>
    <row r="238" spans="1:18" x14ac:dyDescent="0.3">
      <c r="A238" t="s">
        <v>467</v>
      </c>
      <c r="B238" t="s">
        <v>33</v>
      </c>
      <c r="C238" s="5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  <c r="Q238" s="8"/>
      <c r="R238" t="str">
        <f>IFERROR(
  IF(
    AND(
      INT($C238) &gt;= INT(INDEX('Campaign Metadata'!$B:$B, MATCH(TRIM($P238), 'Campaign Metadata'!$A:$A, 0))),
      INT($C238) &lt;= INT(INDEX('Campaign Metadata'!$C:$C, MATCH(TRIM($P238), 'Campaign Metadata'!$A:$A, 0)))
    ),
    "During Campaign",
    "Before Campaign"
  ),
  "No Campaign"
)</f>
        <v>Before Campaign</v>
      </c>
    </row>
    <row r="239" spans="1:18" x14ac:dyDescent="0.3">
      <c r="A239" t="s">
        <v>468</v>
      </c>
      <c r="B239" t="s">
        <v>14</v>
      </c>
      <c r="C239" s="5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  <c r="Q239" s="8"/>
      <c r="R239" t="str">
        <f>IFERROR(
  IF(
    AND(
      INT($C239) &gt;= INT(INDEX('Campaign Metadata'!$B:$B, MATCH(TRIM($P239), 'Campaign Metadata'!$A:$A, 0))),
      INT($C239) &lt;= INT(INDEX('Campaign Metadata'!$C:$C, MATCH(TRIM($P239), 'Campaign Metadata'!$A:$A, 0)))
    ),
    "During Campaign",
    "Before Campaign"
  ),
  "No Campaign"
)</f>
        <v>Before Campaign</v>
      </c>
    </row>
    <row r="240" spans="1:18" x14ac:dyDescent="0.3">
      <c r="A240" t="s">
        <v>470</v>
      </c>
      <c r="B240" t="s">
        <v>27</v>
      </c>
      <c r="C240" s="5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  <c r="Q240" s="8"/>
      <c r="R240" t="str">
        <f>IFERROR(
  IF(
    AND(
      INT($C240) &gt;= INT(INDEX('Campaign Metadata'!$B:$B, MATCH(TRIM($P240), 'Campaign Metadata'!$A:$A, 0))),
      INT($C240) &lt;= INT(INDEX('Campaign Metadata'!$C:$C, MATCH(TRIM($P240), 'Campaign Metadata'!$A:$A, 0)))
    ),
    "During Campaign",
    "Before Campaign"
  ),
  "No Campaign"
)</f>
        <v>Before Campaign</v>
      </c>
    </row>
    <row r="241" spans="1:18" x14ac:dyDescent="0.3">
      <c r="A241" t="s">
        <v>471</v>
      </c>
      <c r="B241" t="s">
        <v>14</v>
      </c>
      <c r="C241" s="5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s="8"/>
      <c r="R241" t="str">
        <f>IFERROR(
  IF(
    AND(
      INT($C241) &gt;= INT(INDEX('Campaign Metadata'!$B:$B, MATCH(TRIM($P241), 'Campaign Metadata'!$A:$A, 0))),
      INT($C241) &lt;= INT(INDEX('Campaign Metadata'!$C:$C, MATCH(TRIM($P241), 'Campaign Metadata'!$A:$A, 0)))
    ),
    "During Campaign",
    "Before Campaign"
  ),
  "No Campaign"
)</f>
        <v>Before Campaign</v>
      </c>
    </row>
    <row r="242" spans="1:18" x14ac:dyDescent="0.3">
      <c r="A242" t="s">
        <v>472</v>
      </c>
      <c r="B242" t="s">
        <v>43</v>
      </c>
      <c r="C242" s="5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  <c r="Q242" s="8"/>
      <c r="R242" t="str">
        <f>IFERROR(
  IF(
    AND(
      INT($C242) &gt;= INT(INDEX('Campaign Metadata'!$B:$B, MATCH(TRIM($P242), 'Campaign Metadata'!$A:$A, 0))),
      INT($C242) &lt;= INT(INDEX('Campaign Metadata'!$C:$C, MATCH(TRIM($P242), 'Campaign Metadata'!$A:$A, 0)))
    ),
    "During Campaign",
    "Before Campaign"
  ),
  "No Campaign"
)</f>
        <v>Before Campaign</v>
      </c>
    </row>
    <row r="243" spans="1:18" x14ac:dyDescent="0.3">
      <c r="A243" t="s">
        <v>474</v>
      </c>
      <c r="B243" t="s">
        <v>43</v>
      </c>
      <c r="C243" s="5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  <c r="Q243" s="8"/>
      <c r="R243" t="str">
        <f>IFERROR(
  IF(
    AND(
      INT($C243) &gt;= INT(INDEX('Campaign Metadata'!$B:$B, MATCH(TRIM($P243), 'Campaign Metadata'!$A:$A, 0))),
      INT($C243) &lt;= INT(INDEX('Campaign Metadata'!$C:$C, MATCH(TRIM($P243), 'Campaign Metadata'!$A:$A, 0)))
    ),
    "During Campaign",
    "Before Campaign"
  ),
  "No Campaign"
)</f>
        <v>Before Campaign</v>
      </c>
    </row>
    <row r="244" spans="1:18" x14ac:dyDescent="0.3">
      <c r="A244" t="s">
        <v>475</v>
      </c>
      <c r="B244" t="s">
        <v>14</v>
      </c>
      <c r="C244" s="5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  <c r="Q244" s="8"/>
      <c r="R244" t="str">
        <f>IFERROR(
  IF(
    AND(
      INT($C244) &gt;= INT(INDEX('Campaign Metadata'!$B:$B, MATCH(TRIM($P244), 'Campaign Metadata'!$A:$A, 0))),
      INT($C244) &lt;= INT(INDEX('Campaign Metadata'!$C:$C, MATCH(TRIM($P244), 'Campaign Metadata'!$A:$A, 0)))
    ),
    "During Campaign",
    "Before Campaign"
  ),
  "No Campaign"
)</f>
        <v>During Campaign</v>
      </c>
    </row>
    <row r="245" spans="1:18" x14ac:dyDescent="0.3">
      <c r="A245" t="s">
        <v>477</v>
      </c>
      <c r="B245" t="s">
        <v>27</v>
      </c>
      <c r="C245" s="5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  <c r="Q245" s="8"/>
      <c r="R245" t="str">
        <f>IFERROR(
  IF(
    AND(
      INT($C245) &gt;= INT(INDEX('Campaign Metadata'!$B:$B, MATCH(TRIM($P245), 'Campaign Metadata'!$A:$A, 0))),
      INT($C245) &lt;= INT(INDEX('Campaign Metadata'!$C:$C, MATCH(TRIM($P245), 'Campaign Metadata'!$A:$A, 0)))
    ),
    "During Campaign",
    "Before Campaign"
  ),
  "No Campaign"
)</f>
        <v>Before Campaign</v>
      </c>
    </row>
    <row r="246" spans="1:18" x14ac:dyDescent="0.3">
      <c r="A246" t="s">
        <v>479</v>
      </c>
      <c r="B246" t="s">
        <v>43</v>
      </c>
      <c r="C246" s="5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  <c r="Q246" s="8"/>
      <c r="R246" t="str">
        <f>IFERROR(
  IF(
    AND(
      INT($C246) &gt;= INT(INDEX('Campaign Metadata'!$B:$B, MATCH(TRIM($P246), 'Campaign Metadata'!$A:$A, 0))),
      INT($C246) &lt;= INT(INDEX('Campaign Metadata'!$C:$C, MATCH(TRIM($P246), 'Campaign Metadata'!$A:$A, 0)))
    ),
    "During Campaign",
    "Before Campaign"
  ),
  "No Campaign"
)</f>
        <v>Before Campaign</v>
      </c>
    </row>
    <row r="247" spans="1:18" x14ac:dyDescent="0.3">
      <c r="A247" t="s">
        <v>481</v>
      </c>
      <c r="B247" t="s">
        <v>43</v>
      </c>
      <c r="C247" s="5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  <c r="Q247" s="8"/>
      <c r="R247" t="str">
        <f>IFERROR(
  IF(
    AND(
      INT($C247) &gt;= INT(INDEX('Campaign Metadata'!$B:$B, MATCH(TRIM($P247), 'Campaign Metadata'!$A:$A, 0))),
      INT($C247) &lt;= INT(INDEX('Campaign Metadata'!$C:$C, MATCH(TRIM($P247), 'Campaign Metadata'!$A:$A, 0)))
    ),
    "During Campaign",
    "Before Campaign"
  ),
  "No Campaign"
)</f>
        <v>During Campaign</v>
      </c>
    </row>
    <row r="248" spans="1:18" x14ac:dyDescent="0.3">
      <c r="A248" t="s">
        <v>483</v>
      </c>
      <c r="B248" t="s">
        <v>43</v>
      </c>
      <c r="C248" s="5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s="8"/>
      <c r="R248" t="str">
        <f>IFERROR(
  IF(
    AND(
      INT($C248) &gt;= INT(INDEX('Campaign Metadata'!$B:$B, MATCH(TRIM($P248), 'Campaign Metadata'!$A:$A, 0))),
      INT($C248) &lt;= INT(INDEX('Campaign Metadata'!$C:$C, MATCH(TRIM($P248), 'Campaign Metadata'!$A:$A, 0)))
    ),
    "During Campaign",
    "Before Campaign"
  ),
  "No Campaign"
)</f>
        <v>Before Campaign</v>
      </c>
    </row>
    <row r="249" spans="1:18" x14ac:dyDescent="0.3">
      <c r="A249" t="s">
        <v>486</v>
      </c>
      <c r="B249" t="s">
        <v>43</v>
      </c>
      <c r="C249" s="5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  <c r="Q249" s="8"/>
      <c r="R249" t="str">
        <f>IFERROR(
  IF(
    AND(
      INT($C249) &gt;= INT(INDEX('Campaign Metadata'!$B:$B, MATCH(TRIM($P249), 'Campaign Metadata'!$A:$A, 0))),
      INT($C249) &lt;= INT(INDEX('Campaign Metadata'!$C:$C, MATCH(TRIM($P249), 'Campaign Metadata'!$A:$A, 0)))
    ),
    "During Campaign",
    "Before Campaign"
  ),
  "No Campaign"
)</f>
        <v>Before Campaign</v>
      </c>
    </row>
    <row r="250" spans="1:18" x14ac:dyDescent="0.3">
      <c r="A250" t="s">
        <v>487</v>
      </c>
      <c r="B250" t="s">
        <v>14</v>
      </c>
      <c r="C250" s="5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  <c r="Q250" s="8"/>
      <c r="R250" t="str">
        <f>IFERROR(
  IF(
    AND(
      INT($C250) &gt;= INT(INDEX('Campaign Metadata'!$B:$B, MATCH(TRIM($P250), 'Campaign Metadata'!$A:$A, 0))),
      INT($C250) &lt;= INT(INDEX('Campaign Metadata'!$C:$C, MATCH(TRIM($P250), 'Campaign Metadata'!$A:$A, 0)))
    ),
    "During Campaign",
    "Before Campaign"
  ),
  "No Campaign"
)</f>
        <v>Before Campaign</v>
      </c>
    </row>
    <row r="251" spans="1:18" x14ac:dyDescent="0.3">
      <c r="A251" t="s">
        <v>488</v>
      </c>
      <c r="B251" t="s">
        <v>43</v>
      </c>
      <c r="C251" s="5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  <c r="Q251" s="8"/>
      <c r="R251" t="str">
        <f>IFERROR(
  IF(
    AND(
      INT($C251) &gt;= INT(INDEX('Campaign Metadata'!$B:$B, MATCH(TRIM($P251), 'Campaign Metadata'!$A:$A, 0))),
      INT($C251) &lt;= INT(INDEX('Campaign Metadata'!$C:$C, MATCH(TRIM($P251), 'Campaign Metadata'!$A:$A, 0)))
    ),
    "During Campaign",
    "Before Campaign"
  ),
  "No Campaign"
)</f>
        <v>Before Campaign</v>
      </c>
    </row>
    <row r="252" spans="1:18" x14ac:dyDescent="0.3">
      <c r="A252" t="s">
        <v>489</v>
      </c>
      <c r="B252" t="s">
        <v>33</v>
      </c>
      <c r="C252" s="5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  <c r="Q252" s="8"/>
      <c r="R252" t="str">
        <f>IFERROR(
  IF(
    AND(
      INT($C252) &gt;= INT(INDEX('Campaign Metadata'!$B:$B, MATCH(TRIM($P252), 'Campaign Metadata'!$A:$A, 0))),
      INT($C252) &lt;= INT(INDEX('Campaign Metadata'!$C:$C, MATCH(TRIM($P252), 'Campaign Metadata'!$A:$A, 0)))
    ),
    "During Campaign",
    "Before Campaign"
  ),
  "No Campaign"
)</f>
        <v>During Campaign</v>
      </c>
    </row>
    <row r="253" spans="1:18" x14ac:dyDescent="0.3">
      <c r="A253" t="s">
        <v>491</v>
      </c>
      <c r="B253" t="s">
        <v>43</v>
      </c>
      <c r="C253" s="5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  <c r="Q253" s="8"/>
      <c r="R253" t="str">
        <f>IFERROR(
  IF(
    AND(
      INT($C253) &gt;= INT(INDEX('Campaign Metadata'!$B:$B, MATCH(TRIM($P253), 'Campaign Metadata'!$A:$A, 0))),
      INT($C253) &lt;= INT(INDEX('Campaign Metadata'!$C:$C, MATCH(TRIM($P253), 'Campaign Metadata'!$A:$A, 0)))
    ),
    "During Campaign",
    "Before Campaign"
  ),
  "No Campaign"
)</f>
        <v>Before Campaign</v>
      </c>
    </row>
    <row r="254" spans="1:18" x14ac:dyDescent="0.3">
      <c r="A254" t="s">
        <v>492</v>
      </c>
      <c r="B254" t="s">
        <v>14</v>
      </c>
      <c r="C254" s="5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  <c r="Q254" s="8"/>
      <c r="R254" t="str">
        <f>IFERROR(
  IF(
    AND(
      INT($C254) &gt;= INT(INDEX('Campaign Metadata'!$B:$B, MATCH(TRIM($P254), 'Campaign Metadata'!$A:$A, 0))),
      INT($C254) &lt;= INT(INDEX('Campaign Metadata'!$C:$C, MATCH(TRIM($P254), 'Campaign Metadata'!$A:$A, 0)))
    ),
    "During Campaign",
    "Before Campaign"
  ),
  "No Campaign"
)</f>
        <v>Before Campaign</v>
      </c>
    </row>
    <row r="255" spans="1:18" x14ac:dyDescent="0.3">
      <c r="A255" t="s">
        <v>494</v>
      </c>
      <c r="B255" t="s">
        <v>14</v>
      </c>
      <c r="C255" s="5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  <c r="Q255" s="8"/>
      <c r="R255" t="str">
        <f>IFERROR(
  IF(
    AND(
      INT($C255) &gt;= INT(INDEX('Campaign Metadata'!$B:$B, MATCH(TRIM($P255), 'Campaign Metadata'!$A:$A, 0))),
      INT($C255) &lt;= INT(INDEX('Campaign Metadata'!$C:$C, MATCH(TRIM($P255), 'Campaign Metadata'!$A:$A, 0)))
    ),
    "During Campaign",
    "Before Campaign"
  ),
  "No Campaign"
)</f>
        <v>Before Campaign</v>
      </c>
    </row>
    <row r="256" spans="1:18" x14ac:dyDescent="0.3">
      <c r="A256" t="s">
        <v>496</v>
      </c>
      <c r="B256" t="s">
        <v>43</v>
      </c>
      <c r="C256" s="5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  <c r="Q256" s="8"/>
      <c r="R256" t="str">
        <f>IFERROR(
  IF(
    AND(
      INT($C256) &gt;= INT(INDEX('Campaign Metadata'!$B:$B, MATCH(TRIM($P256), 'Campaign Metadata'!$A:$A, 0))),
      INT($C256) &lt;= INT(INDEX('Campaign Metadata'!$C:$C, MATCH(TRIM($P256), 'Campaign Metadata'!$A:$A, 0)))
    ),
    "During Campaign",
    "Before Campaign"
  ),
  "No Campaign"
)</f>
        <v>Before Campaign</v>
      </c>
    </row>
    <row r="257" spans="1:18" x14ac:dyDescent="0.3">
      <c r="A257" t="s">
        <v>497</v>
      </c>
      <c r="B257" t="s">
        <v>27</v>
      </c>
      <c r="C257" s="5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  <c r="Q257" s="8"/>
      <c r="R257" t="str">
        <f>IFERROR(
  IF(
    AND(
      INT($C257) &gt;= INT(INDEX('Campaign Metadata'!$B:$B, MATCH(TRIM($P257), 'Campaign Metadata'!$A:$A, 0))),
      INT($C257) &lt;= INT(INDEX('Campaign Metadata'!$C:$C, MATCH(TRIM($P257), 'Campaign Metadata'!$A:$A, 0)))
    ),
    "During Campaign",
    "Before Campaign"
  ),
  "No Campaign"
)</f>
        <v>Before Campaign</v>
      </c>
    </row>
    <row r="258" spans="1:18" x14ac:dyDescent="0.3">
      <c r="A258" t="s">
        <v>498</v>
      </c>
      <c r="B258" t="s">
        <v>43</v>
      </c>
      <c r="C258" s="5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s="8"/>
      <c r="R258" t="str">
        <f>IFERROR(
  IF(
    AND(
      INT($C258) &gt;= INT(INDEX('Campaign Metadata'!$B:$B, MATCH(TRIM($P258), 'Campaign Metadata'!$A:$A, 0))),
      INT($C258) &lt;= INT(INDEX('Campaign Metadata'!$C:$C, MATCH(TRIM($P258), 'Campaign Metadata'!$A:$A, 0)))
    ),
    "During Campaign",
    "Before Campaign"
  ),
  "No Campaign"
)</f>
        <v>Before Campaign</v>
      </c>
    </row>
    <row r="259" spans="1:18" x14ac:dyDescent="0.3">
      <c r="A259" t="s">
        <v>500</v>
      </c>
      <c r="B259" t="s">
        <v>33</v>
      </c>
      <c r="C259" s="5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  <c r="Q259" s="8"/>
      <c r="R259" t="str">
        <f>IFERROR(
  IF(
    AND(
      INT($C259) &gt;= INT(INDEX('Campaign Metadata'!$B:$B, MATCH(TRIM($P259), 'Campaign Metadata'!$A:$A, 0))),
      INT($C259) &lt;= INT(INDEX('Campaign Metadata'!$C:$C, MATCH(TRIM($P259), 'Campaign Metadata'!$A:$A, 0)))
    ),
    "During Campaign",
    "Before Campaign"
  ),
  "No Campaign"
)</f>
        <v>Before Campaign</v>
      </c>
    </row>
    <row r="260" spans="1:18" x14ac:dyDescent="0.3">
      <c r="A260" t="s">
        <v>502</v>
      </c>
      <c r="B260" t="s">
        <v>43</v>
      </c>
      <c r="C260" s="5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  <c r="Q260" s="8"/>
      <c r="R260" t="str">
        <f>IFERROR(
  IF(
    AND(
      INT($C260) &gt;= INT(INDEX('Campaign Metadata'!$B:$B, MATCH(TRIM($P260), 'Campaign Metadata'!$A:$A, 0))),
      INT($C260) &lt;= INT(INDEX('Campaign Metadata'!$C:$C, MATCH(TRIM($P260), 'Campaign Metadata'!$A:$A, 0)))
    ),
    "During Campaign",
    "Before Campaign"
  ),
  "No Campaign"
)</f>
        <v>Before Campaign</v>
      </c>
    </row>
    <row r="261" spans="1:18" x14ac:dyDescent="0.3">
      <c r="A261" t="s">
        <v>503</v>
      </c>
      <c r="B261" t="s">
        <v>33</v>
      </c>
      <c r="C261" s="5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s="8"/>
      <c r="R261" t="str">
        <f>IFERROR(
  IF(
    AND(
      INT($C261) &gt;= INT(INDEX('Campaign Metadata'!$B:$B, MATCH(TRIM($P261), 'Campaign Metadata'!$A:$A, 0))),
      INT($C261) &lt;= INT(INDEX('Campaign Metadata'!$C:$C, MATCH(TRIM($P261), 'Campaign Metadata'!$A:$A, 0)))
    ),
    "During Campaign",
    "Before Campaign"
  ),
  "No Campaign"
)</f>
        <v>Before Campaign</v>
      </c>
    </row>
    <row r="262" spans="1:18" x14ac:dyDescent="0.3">
      <c r="A262" t="s">
        <v>506</v>
      </c>
      <c r="B262" t="s">
        <v>33</v>
      </c>
      <c r="C262" s="5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  <c r="Q262" s="8"/>
      <c r="R262" t="str">
        <f>IFERROR(
  IF(
    AND(
      INT($C262) &gt;= INT(INDEX('Campaign Metadata'!$B:$B, MATCH(TRIM($P262), 'Campaign Metadata'!$A:$A, 0))),
      INT($C262) &lt;= INT(INDEX('Campaign Metadata'!$C:$C, MATCH(TRIM($P262), 'Campaign Metadata'!$A:$A, 0)))
    ),
    "During Campaign",
    "Before Campaign"
  ),
  "No Campaign"
)</f>
        <v>Before Campaign</v>
      </c>
    </row>
    <row r="263" spans="1:18" x14ac:dyDescent="0.3">
      <c r="A263" t="s">
        <v>508</v>
      </c>
      <c r="B263" t="s">
        <v>27</v>
      </c>
      <c r="C263" s="5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  <c r="Q263" s="8"/>
      <c r="R263" t="str">
        <f>IFERROR(
  IF(
    AND(
      INT($C263) &gt;= INT(INDEX('Campaign Metadata'!$B:$B, MATCH(TRIM($P263), 'Campaign Metadata'!$A:$A, 0))),
      INT($C263) &lt;= INT(INDEX('Campaign Metadata'!$C:$C, MATCH(TRIM($P263), 'Campaign Metadata'!$A:$A, 0)))
    ),
    "During Campaign",
    "Before Campaign"
  ),
  "No Campaign"
)</f>
        <v>Before Campaign</v>
      </c>
    </row>
    <row r="264" spans="1:18" x14ac:dyDescent="0.3">
      <c r="A264" t="s">
        <v>509</v>
      </c>
      <c r="B264" t="s">
        <v>33</v>
      </c>
      <c r="C264" s="5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  <c r="Q264" s="8"/>
      <c r="R264" t="str">
        <f>IFERROR(
  IF(
    AND(
      INT($C264) &gt;= INT(INDEX('Campaign Metadata'!$B:$B, MATCH(TRIM($P264), 'Campaign Metadata'!$A:$A, 0))),
      INT($C264) &lt;= INT(INDEX('Campaign Metadata'!$C:$C, MATCH(TRIM($P264), 'Campaign Metadata'!$A:$A, 0)))
    ),
    "During Campaign",
    "Before Campaign"
  ),
  "No Campaign"
)</f>
        <v>Before Campaign</v>
      </c>
    </row>
    <row r="265" spans="1:18" x14ac:dyDescent="0.3">
      <c r="A265" t="s">
        <v>511</v>
      </c>
      <c r="B265" t="s">
        <v>14</v>
      </c>
      <c r="C265" s="5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  <c r="Q265" s="8"/>
      <c r="R265" t="str">
        <f>IFERROR(
  IF(
    AND(
      INT($C265) &gt;= INT(INDEX('Campaign Metadata'!$B:$B, MATCH(TRIM($P265), 'Campaign Metadata'!$A:$A, 0))),
      INT($C265) &lt;= INT(INDEX('Campaign Metadata'!$C:$C, MATCH(TRIM($P265), 'Campaign Metadata'!$A:$A, 0)))
    ),
    "During Campaign",
    "Before Campaign"
  ),
  "No Campaign"
)</f>
        <v>Before Campaign</v>
      </c>
    </row>
    <row r="266" spans="1:18" x14ac:dyDescent="0.3">
      <c r="A266" t="s">
        <v>513</v>
      </c>
      <c r="B266" t="s">
        <v>14</v>
      </c>
      <c r="C266" s="5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  <c r="Q266" s="8"/>
      <c r="R266" t="str">
        <f>IFERROR(
  IF(
    AND(
      INT($C266) &gt;= INT(INDEX('Campaign Metadata'!$B:$B, MATCH(TRIM($P266), 'Campaign Metadata'!$A:$A, 0))),
      INT($C266) &lt;= INT(INDEX('Campaign Metadata'!$C:$C, MATCH(TRIM($P266), 'Campaign Metadata'!$A:$A, 0)))
    ),
    "During Campaign",
    "Before Campaign"
  ),
  "No Campaign"
)</f>
        <v>Before Campaign</v>
      </c>
    </row>
    <row r="267" spans="1:18" x14ac:dyDescent="0.3">
      <c r="A267" t="s">
        <v>515</v>
      </c>
      <c r="B267" t="s">
        <v>43</v>
      </c>
      <c r="C267" s="5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  <c r="Q267" s="8"/>
      <c r="R267" t="str">
        <f>IFERROR(
  IF(
    AND(
      INT($C267) &gt;= INT(INDEX('Campaign Metadata'!$B:$B, MATCH(TRIM($P267), 'Campaign Metadata'!$A:$A, 0))),
      INT($C267) &lt;= INT(INDEX('Campaign Metadata'!$C:$C, MATCH(TRIM($P267), 'Campaign Metadata'!$A:$A, 0)))
    ),
    "During Campaign",
    "Before Campaign"
  ),
  "No Campaign"
)</f>
        <v>Before Campaign</v>
      </c>
    </row>
    <row r="268" spans="1:18" x14ac:dyDescent="0.3">
      <c r="A268" t="s">
        <v>516</v>
      </c>
      <c r="B268" t="s">
        <v>14</v>
      </c>
      <c r="C268" s="5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  <c r="Q268" s="8"/>
      <c r="R268" t="str">
        <f>IFERROR(
  IF(
    AND(
      INT($C268) &gt;= INT(INDEX('Campaign Metadata'!$B:$B, MATCH(TRIM($P268), 'Campaign Metadata'!$A:$A, 0))),
      INT($C268) &lt;= INT(INDEX('Campaign Metadata'!$C:$C, MATCH(TRIM($P268), 'Campaign Metadata'!$A:$A, 0)))
    ),
    "During Campaign",
    "Before Campaign"
  ),
  "No Campaign"
)</f>
        <v>Before Campaign</v>
      </c>
    </row>
    <row r="269" spans="1:18" x14ac:dyDescent="0.3">
      <c r="A269" t="s">
        <v>517</v>
      </c>
      <c r="B269" t="s">
        <v>33</v>
      </c>
      <c r="C269" s="5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  <c r="Q269" s="8"/>
      <c r="R269" t="str">
        <f>IFERROR(
  IF(
    AND(
      INT($C269) &gt;= INT(INDEX('Campaign Metadata'!$B:$B, MATCH(TRIM($P269), 'Campaign Metadata'!$A:$A, 0))),
      INT($C269) &lt;= INT(INDEX('Campaign Metadata'!$C:$C, MATCH(TRIM($P269), 'Campaign Metadata'!$A:$A, 0)))
    ),
    "During Campaign",
    "Before Campaign"
  ),
  "No Campaign"
)</f>
        <v>Before Campaign</v>
      </c>
    </row>
    <row r="270" spans="1:18" x14ac:dyDescent="0.3">
      <c r="A270" t="s">
        <v>519</v>
      </c>
      <c r="B270" t="s">
        <v>33</v>
      </c>
      <c r="C270" s="5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  <c r="Q270" s="8"/>
      <c r="R270" t="str">
        <f>IFERROR(
  IF(
    AND(
      INT($C270) &gt;= INT(INDEX('Campaign Metadata'!$B:$B, MATCH(TRIM($P270), 'Campaign Metadata'!$A:$A, 0))),
      INT($C270) &lt;= INT(INDEX('Campaign Metadata'!$C:$C, MATCH(TRIM($P270), 'Campaign Metadata'!$A:$A, 0)))
    ),
    "During Campaign",
    "Before Campaign"
  ),
  "No Campaign"
)</f>
        <v>Before Campaign</v>
      </c>
    </row>
    <row r="271" spans="1:18" x14ac:dyDescent="0.3">
      <c r="A271" t="s">
        <v>521</v>
      </c>
      <c r="B271" t="s">
        <v>27</v>
      </c>
      <c r="C271" s="5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  <c r="Q271" s="8"/>
      <c r="R271" t="str">
        <f>IFERROR(
  IF(
    AND(
      INT($C271) &gt;= INT(INDEX('Campaign Metadata'!$B:$B, MATCH(TRIM($P271), 'Campaign Metadata'!$A:$A, 0))),
      INT($C271) &lt;= INT(INDEX('Campaign Metadata'!$C:$C, MATCH(TRIM($P271), 'Campaign Metadata'!$A:$A, 0)))
    ),
    "During Campaign",
    "Before Campaign"
  ),
  "No Campaign"
)</f>
        <v>Before Campaign</v>
      </c>
    </row>
    <row r="272" spans="1:18" x14ac:dyDescent="0.3">
      <c r="A272" t="s">
        <v>522</v>
      </c>
      <c r="B272" t="s">
        <v>33</v>
      </c>
      <c r="C272" s="5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  <c r="Q272" s="8"/>
      <c r="R272" t="str">
        <f>IFERROR(
  IF(
    AND(
      INT($C272) &gt;= INT(INDEX('Campaign Metadata'!$B:$B, MATCH(TRIM($P272), 'Campaign Metadata'!$A:$A, 0))),
      INT($C272) &lt;= INT(INDEX('Campaign Metadata'!$C:$C, MATCH(TRIM($P272), 'Campaign Metadata'!$A:$A, 0)))
    ),
    "During Campaign",
    "Before Campaign"
  ),
  "No Campaign"
)</f>
        <v>During Campaign</v>
      </c>
    </row>
    <row r="273" spans="1:18" x14ac:dyDescent="0.3">
      <c r="A273" t="s">
        <v>524</v>
      </c>
      <c r="B273" t="s">
        <v>33</v>
      </c>
      <c r="C273" s="5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  <c r="Q273" s="8"/>
      <c r="R273" t="str">
        <f>IFERROR(
  IF(
    AND(
      INT($C273) &gt;= INT(INDEX('Campaign Metadata'!$B:$B, MATCH(TRIM($P273), 'Campaign Metadata'!$A:$A, 0))),
      INT($C273) &lt;= INT(INDEX('Campaign Metadata'!$C:$C, MATCH(TRIM($P273), 'Campaign Metadata'!$A:$A, 0)))
    ),
    "During Campaign",
    "Before Campaign"
  ),
  "No Campaign"
)</f>
        <v>Before Campaign</v>
      </c>
    </row>
    <row r="274" spans="1:18" x14ac:dyDescent="0.3">
      <c r="A274" t="s">
        <v>525</v>
      </c>
      <c r="B274" t="s">
        <v>27</v>
      </c>
      <c r="C274" s="5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  <c r="Q274" s="8"/>
      <c r="R274" t="str">
        <f>IFERROR(
  IF(
    AND(
      INT($C274) &gt;= INT(INDEX('Campaign Metadata'!$B:$B, MATCH(TRIM($P274), 'Campaign Metadata'!$A:$A, 0))),
      INT($C274) &lt;= INT(INDEX('Campaign Metadata'!$C:$C, MATCH(TRIM($P274), 'Campaign Metadata'!$A:$A, 0)))
    ),
    "During Campaign",
    "Before Campaign"
  ),
  "No Campaign"
)</f>
        <v>Before Campaign</v>
      </c>
    </row>
    <row r="275" spans="1:18" x14ac:dyDescent="0.3">
      <c r="A275" t="s">
        <v>527</v>
      </c>
      <c r="B275" t="s">
        <v>14</v>
      </c>
      <c r="C275" s="5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  <c r="Q275" s="8"/>
      <c r="R275" t="str">
        <f>IFERROR(
  IF(
    AND(
      INT($C275) &gt;= INT(INDEX('Campaign Metadata'!$B:$B, MATCH(TRIM($P275), 'Campaign Metadata'!$A:$A, 0))),
      INT($C275) &lt;= INT(INDEX('Campaign Metadata'!$C:$C, MATCH(TRIM($P275), 'Campaign Metadata'!$A:$A, 0)))
    ),
    "During Campaign",
    "Before Campaign"
  ),
  "No Campaign"
)</f>
        <v>Before Campaign</v>
      </c>
    </row>
    <row r="276" spans="1:18" x14ac:dyDescent="0.3">
      <c r="A276" t="s">
        <v>528</v>
      </c>
      <c r="B276" t="s">
        <v>43</v>
      </c>
      <c r="C276" s="5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  <c r="Q276" s="8"/>
      <c r="R276" t="str">
        <f>IFERROR(
  IF(
    AND(
      INT($C276) &gt;= INT(INDEX('Campaign Metadata'!$B:$B, MATCH(TRIM($P276), 'Campaign Metadata'!$A:$A, 0))),
      INT($C276) &lt;= INT(INDEX('Campaign Metadata'!$C:$C, MATCH(TRIM($P276), 'Campaign Metadata'!$A:$A, 0)))
    ),
    "During Campaign",
    "Before Campaign"
  ),
  "No Campaign"
)</f>
        <v>Before Campaign</v>
      </c>
    </row>
    <row r="277" spans="1:18" x14ac:dyDescent="0.3">
      <c r="A277" t="s">
        <v>529</v>
      </c>
      <c r="B277" t="s">
        <v>14</v>
      </c>
      <c r="C277" s="5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  <c r="Q277" s="8"/>
      <c r="R277" t="str">
        <f>IFERROR(
  IF(
    AND(
      INT($C277) &gt;= INT(INDEX('Campaign Metadata'!$B:$B, MATCH(TRIM($P277), 'Campaign Metadata'!$A:$A, 0))),
      INT($C277) &lt;= INT(INDEX('Campaign Metadata'!$C:$C, MATCH(TRIM($P277), 'Campaign Metadata'!$A:$A, 0)))
    ),
    "During Campaign",
    "Before Campaign"
  ),
  "No Campaign"
)</f>
        <v>Before Campaign</v>
      </c>
    </row>
    <row r="278" spans="1:18" x14ac:dyDescent="0.3">
      <c r="A278" t="s">
        <v>531</v>
      </c>
      <c r="B278" t="s">
        <v>43</v>
      </c>
      <c r="C278" s="5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  <c r="Q278" s="8"/>
      <c r="R278" t="str">
        <f>IFERROR(
  IF(
    AND(
      INT($C278) &gt;= INT(INDEX('Campaign Metadata'!$B:$B, MATCH(TRIM($P278), 'Campaign Metadata'!$A:$A, 0))),
      INT($C278) &lt;= INT(INDEX('Campaign Metadata'!$C:$C, MATCH(TRIM($P278), 'Campaign Metadata'!$A:$A, 0)))
    ),
    "During Campaign",
    "Before Campaign"
  ),
  "No Campaign"
)</f>
        <v>Before Campaign</v>
      </c>
    </row>
    <row r="279" spans="1:18" x14ac:dyDescent="0.3">
      <c r="A279" t="s">
        <v>532</v>
      </c>
      <c r="B279" t="s">
        <v>14</v>
      </c>
      <c r="C279" s="5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  <c r="Q279" s="8"/>
      <c r="R279" t="str">
        <f>IFERROR(
  IF(
    AND(
      INT($C279) &gt;= INT(INDEX('Campaign Metadata'!$B:$B, MATCH(TRIM($P279), 'Campaign Metadata'!$A:$A, 0))),
      INT($C279) &lt;= INT(INDEX('Campaign Metadata'!$C:$C, MATCH(TRIM($P279), 'Campaign Metadata'!$A:$A, 0)))
    ),
    "During Campaign",
    "Before Campaign"
  ),
  "No Campaign"
)</f>
        <v>Before Campaign</v>
      </c>
    </row>
    <row r="280" spans="1:18" x14ac:dyDescent="0.3">
      <c r="A280" t="s">
        <v>534</v>
      </c>
      <c r="B280" t="s">
        <v>27</v>
      </c>
      <c r="C280" s="5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  <c r="Q280" s="8"/>
      <c r="R280" t="str">
        <f>IFERROR(
  IF(
    AND(
      INT($C280) &gt;= INT(INDEX('Campaign Metadata'!$B:$B, MATCH(TRIM($P280), 'Campaign Metadata'!$A:$A, 0))),
      INT($C280) &lt;= INT(INDEX('Campaign Metadata'!$C:$C, MATCH(TRIM($P280), 'Campaign Metadata'!$A:$A, 0)))
    ),
    "During Campaign",
    "Before Campaign"
  ),
  "No Campaign"
)</f>
        <v>Before Campaign</v>
      </c>
    </row>
    <row r="281" spans="1:18" x14ac:dyDescent="0.3">
      <c r="A281" t="s">
        <v>535</v>
      </c>
      <c r="B281" t="s">
        <v>27</v>
      </c>
      <c r="C281" s="5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s="8"/>
      <c r="R281" t="str">
        <f>IFERROR(
  IF(
    AND(
      INT($C281) &gt;= INT(INDEX('Campaign Metadata'!$B:$B, MATCH(TRIM($P281), 'Campaign Metadata'!$A:$A, 0))),
      INT($C281) &lt;= INT(INDEX('Campaign Metadata'!$C:$C, MATCH(TRIM($P281), 'Campaign Metadata'!$A:$A, 0)))
    ),
    "During Campaign",
    "Before Campaign"
  ),
  "No Campaign"
)</f>
        <v>Before Campaign</v>
      </c>
    </row>
    <row r="282" spans="1:18" x14ac:dyDescent="0.3">
      <c r="A282" t="s">
        <v>536</v>
      </c>
      <c r="B282" t="s">
        <v>27</v>
      </c>
      <c r="C282" s="5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  <c r="Q282" s="8"/>
      <c r="R282" t="str">
        <f>IFERROR(
  IF(
    AND(
      INT($C282) &gt;= INT(INDEX('Campaign Metadata'!$B:$B, MATCH(TRIM($P282), 'Campaign Metadata'!$A:$A, 0))),
      INT($C282) &lt;= INT(INDEX('Campaign Metadata'!$C:$C, MATCH(TRIM($P282), 'Campaign Metadata'!$A:$A, 0)))
    ),
    "During Campaign",
    "Before Campaign"
  ),
  "No Campaign"
)</f>
        <v>Before Campaign</v>
      </c>
    </row>
    <row r="283" spans="1:18" x14ac:dyDescent="0.3">
      <c r="A283" t="s">
        <v>538</v>
      </c>
      <c r="B283" t="s">
        <v>33</v>
      </c>
      <c r="C283" s="5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  <c r="Q283" s="8"/>
      <c r="R283" t="str">
        <f>IFERROR(
  IF(
    AND(
      INT($C283) &gt;= INT(INDEX('Campaign Metadata'!$B:$B, MATCH(TRIM($P283), 'Campaign Metadata'!$A:$A, 0))),
      INT($C283) &lt;= INT(INDEX('Campaign Metadata'!$C:$C, MATCH(TRIM($P283), 'Campaign Metadata'!$A:$A, 0)))
    ),
    "During Campaign",
    "Before Campaign"
  ),
  "No Campaign"
)</f>
        <v>Before Campaign</v>
      </c>
    </row>
    <row r="284" spans="1:18" x14ac:dyDescent="0.3">
      <c r="A284" t="s">
        <v>540</v>
      </c>
      <c r="B284" t="s">
        <v>14</v>
      </c>
      <c r="C284" s="5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  <c r="Q284" s="8"/>
      <c r="R284" t="str">
        <f>IFERROR(
  IF(
    AND(
      INT($C284) &gt;= INT(INDEX('Campaign Metadata'!$B:$B, MATCH(TRIM($P284), 'Campaign Metadata'!$A:$A, 0))),
      INT($C284) &lt;= INT(INDEX('Campaign Metadata'!$C:$C, MATCH(TRIM($P284), 'Campaign Metadata'!$A:$A, 0)))
    ),
    "During Campaign",
    "Before Campaign"
  ),
  "No Campaign"
)</f>
        <v>Before Campaign</v>
      </c>
    </row>
    <row r="285" spans="1:18" x14ac:dyDescent="0.3">
      <c r="A285" t="s">
        <v>542</v>
      </c>
      <c r="B285" t="s">
        <v>14</v>
      </c>
      <c r="C285" s="5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  <c r="Q285" s="8"/>
      <c r="R285" t="str">
        <f>IFERROR(
  IF(
    AND(
      INT($C285) &gt;= INT(INDEX('Campaign Metadata'!$B:$B, MATCH(TRIM($P285), 'Campaign Metadata'!$A:$A, 0))),
      INT($C285) &lt;= INT(INDEX('Campaign Metadata'!$C:$C, MATCH(TRIM($P285), 'Campaign Metadata'!$A:$A, 0)))
    ),
    "During Campaign",
    "Before Campaign"
  ),
  "No Campaign"
)</f>
        <v>Before Campaign</v>
      </c>
    </row>
    <row r="286" spans="1:18" x14ac:dyDescent="0.3">
      <c r="A286" t="s">
        <v>543</v>
      </c>
      <c r="B286" t="s">
        <v>27</v>
      </c>
      <c r="C286" s="5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  <c r="Q286" s="8"/>
      <c r="R286" t="str">
        <f>IFERROR(
  IF(
    AND(
      INT($C286) &gt;= INT(INDEX('Campaign Metadata'!$B:$B, MATCH(TRIM($P286), 'Campaign Metadata'!$A:$A, 0))),
      INT($C286) &lt;= INT(INDEX('Campaign Metadata'!$C:$C, MATCH(TRIM($P286), 'Campaign Metadata'!$A:$A, 0)))
    ),
    "During Campaign",
    "Before Campaign"
  ),
  "No Campaign"
)</f>
        <v>Before Campaign</v>
      </c>
    </row>
    <row r="287" spans="1:18" x14ac:dyDescent="0.3">
      <c r="A287" t="s">
        <v>544</v>
      </c>
      <c r="B287" t="s">
        <v>27</v>
      </c>
      <c r="C287" s="5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  <c r="Q287" s="8"/>
      <c r="R287" t="str">
        <f>IFERROR(
  IF(
    AND(
      INT($C287) &gt;= INT(INDEX('Campaign Metadata'!$B:$B, MATCH(TRIM($P287), 'Campaign Metadata'!$A:$A, 0))),
      INT($C287) &lt;= INT(INDEX('Campaign Metadata'!$C:$C, MATCH(TRIM($P287), 'Campaign Metadata'!$A:$A, 0)))
    ),
    "During Campaign",
    "Before Campaign"
  ),
  "No Campaign"
)</f>
        <v>Before Campaign</v>
      </c>
    </row>
    <row r="288" spans="1:18" x14ac:dyDescent="0.3">
      <c r="A288" t="s">
        <v>546</v>
      </c>
      <c r="B288" t="s">
        <v>33</v>
      </c>
      <c r="C288" s="5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  <c r="Q288" s="8"/>
      <c r="R288" t="str">
        <f>IFERROR(
  IF(
    AND(
      INT($C288) &gt;= INT(INDEX('Campaign Metadata'!$B:$B, MATCH(TRIM($P288), 'Campaign Metadata'!$A:$A, 0))),
      INT($C288) &lt;= INT(INDEX('Campaign Metadata'!$C:$C, MATCH(TRIM($P288), 'Campaign Metadata'!$A:$A, 0)))
    ),
    "During Campaign",
    "Before Campaign"
  ),
  "No Campaign"
)</f>
        <v>Before Campaign</v>
      </c>
    </row>
    <row r="289" spans="1:18" x14ac:dyDescent="0.3">
      <c r="A289" t="s">
        <v>547</v>
      </c>
      <c r="B289" t="s">
        <v>27</v>
      </c>
      <c r="C289" s="5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  <c r="Q289" s="8"/>
      <c r="R289" t="str">
        <f>IFERROR(
  IF(
    AND(
      INT($C289) &gt;= INT(INDEX('Campaign Metadata'!$B:$B, MATCH(TRIM($P289), 'Campaign Metadata'!$A:$A, 0))),
      INT($C289) &lt;= INT(INDEX('Campaign Metadata'!$C:$C, MATCH(TRIM($P289), 'Campaign Metadata'!$A:$A, 0)))
    ),
    "During Campaign",
    "Before Campaign"
  ),
  "No Campaign"
)</f>
        <v>Before Campaign</v>
      </c>
    </row>
    <row r="290" spans="1:18" x14ac:dyDescent="0.3">
      <c r="A290" t="s">
        <v>549</v>
      </c>
      <c r="B290" t="s">
        <v>43</v>
      </c>
      <c r="C290" s="5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  <c r="Q290" s="8"/>
      <c r="R290" t="str">
        <f>IFERROR(
  IF(
    AND(
      INT($C290) &gt;= INT(INDEX('Campaign Metadata'!$B:$B, MATCH(TRIM($P290), 'Campaign Metadata'!$A:$A, 0))),
      INT($C290) &lt;= INT(INDEX('Campaign Metadata'!$C:$C, MATCH(TRIM($P290), 'Campaign Metadata'!$A:$A, 0)))
    ),
    "During Campaign",
    "Before Campaign"
  ),
  "No Campaign"
)</f>
        <v>Before Campaign</v>
      </c>
    </row>
    <row r="291" spans="1:18" x14ac:dyDescent="0.3">
      <c r="A291" t="s">
        <v>550</v>
      </c>
      <c r="B291" t="s">
        <v>33</v>
      </c>
      <c r="C291" s="5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  <c r="Q291" s="8"/>
      <c r="R291" t="str">
        <f>IFERROR(
  IF(
    AND(
      INT($C291) &gt;= INT(INDEX('Campaign Metadata'!$B:$B, MATCH(TRIM($P291), 'Campaign Metadata'!$A:$A, 0))),
      INT($C291) &lt;= INT(INDEX('Campaign Metadata'!$C:$C, MATCH(TRIM($P291), 'Campaign Metadata'!$A:$A, 0)))
    ),
    "During Campaign",
    "Before Campaign"
  ),
  "No Campaign"
)</f>
        <v>Before Campaign</v>
      </c>
    </row>
    <row r="292" spans="1:18" x14ac:dyDescent="0.3">
      <c r="A292" t="s">
        <v>552</v>
      </c>
      <c r="B292" t="s">
        <v>43</v>
      </c>
      <c r="C292" s="5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  <c r="Q292" s="8"/>
      <c r="R292" t="str">
        <f>IFERROR(
  IF(
    AND(
      INT($C292) &gt;= INT(INDEX('Campaign Metadata'!$B:$B, MATCH(TRIM($P292), 'Campaign Metadata'!$A:$A, 0))),
      INT($C292) &lt;= INT(INDEX('Campaign Metadata'!$C:$C, MATCH(TRIM($P292), 'Campaign Metadata'!$A:$A, 0)))
    ),
    "During Campaign",
    "Before Campaign"
  ),
  "No Campaign"
)</f>
        <v>Before Campaign</v>
      </c>
    </row>
    <row r="293" spans="1:18" x14ac:dyDescent="0.3">
      <c r="A293" t="s">
        <v>553</v>
      </c>
      <c r="B293" t="s">
        <v>43</v>
      </c>
      <c r="C293" s="5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  <c r="Q293" s="8"/>
      <c r="R293" t="str">
        <f>IFERROR(
  IF(
    AND(
      INT($C293) &gt;= INT(INDEX('Campaign Metadata'!$B:$B, MATCH(TRIM($P293), 'Campaign Metadata'!$A:$A, 0))),
      INT($C293) &lt;= INT(INDEX('Campaign Metadata'!$C:$C, MATCH(TRIM($P293), 'Campaign Metadata'!$A:$A, 0)))
    ),
    "During Campaign",
    "Before Campaign"
  ),
  "No Campaign"
)</f>
        <v>Before Campaign</v>
      </c>
    </row>
    <row r="294" spans="1:18" x14ac:dyDescent="0.3">
      <c r="A294" t="s">
        <v>555</v>
      </c>
      <c r="B294" t="s">
        <v>43</v>
      </c>
      <c r="C294" s="5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  <c r="Q294" s="8"/>
      <c r="R294" t="str">
        <f>IFERROR(
  IF(
    AND(
      INT($C294) &gt;= INT(INDEX('Campaign Metadata'!$B:$B, MATCH(TRIM($P294), 'Campaign Metadata'!$A:$A, 0))),
      INT($C294) &lt;= INT(INDEX('Campaign Metadata'!$C:$C, MATCH(TRIM($P294), 'Campaign Metadata'!$A:$A, 0)))
    ),
    "During Campaign",
    "Before Campaign"
  ),
  "No Campaign"
)</f>
        <v>Before Campaign</v>
      </c>
    </row>
    <row r="295" spans="1:18" x14ac:dyDescent="0.3">
      <c r="A295" t="s">
        <v>557</v>
      </c>
      <c r="B295" t="s">
        <v>43</v>
      </c>
      <c r="C295" s="5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  <c r="Q295" s="8"/>
      <c r="R295" t="str">
        <f>IFERROR(
  IF(
    AND(
      INT($C295) &gt;= INT(INDEX('Campaign Metadata'!$B:$B, MATCH(TRIM($P295), 'Campaign Metadata'!$A:$A, 0))),
      INT($C295) &lt;= INT(INDEX('Campaign Metadata'!$C:$C, MATCH(TRIM($P295), 'Campaign Metadata'!$A:$A, 0)))
    ),
    "During Campaign",
    "Before Campaign"
  ),
  "No Campaign"
)</f>
        <v>Before Campaign</v>
      </c>
    </row>
    <row r="296" spans="1:18" x14ac:dyDescent="0.3">
      <c r="A296" t="s">
        <v>559</v>
      </c>
      <c r="B296" t="s">
        <v>14</v>
      </c>
      <c r="C296" s="5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s="8"/>
      <c r="R296" t="str">
        <f>IFERROR(
  IF(
    AND(
      INT($C296) &gt;= INT(INDEX('Campaign Metadata'!$B:$B, MATCH(TRIM($P296), 'Campaign Metadata'!$A:$A, 0))),
      INT($C296) &lt;= INT(INDEX('Campaign Metadata'!$C:$C, MATCH(TRIM($P296), 'Campaign Metadata'!$A:$A, 0)))
    ),
    "During Campaign",
    "Before Campaign"
  ),
  "No Campaign"
)</f>
        <v>Before Campaign</v>
      </c>
    </row>
    <row r="297" spans="1:18" x14ac:dyDescent="0.3">
      <c r="A297" t="s">
        <v>560</v>
      </c>
      <c r="B297" t="s">
        <v>14</v>
      </c>
      <c r="C297" s="5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  <c r="Q297" s="8"/>
      <c r="R297" t="str">
        <f>IFERROR(
  IF(
    AND(
      INT($C297) &gt;= INT(INDEX('Campaign Metadata'!$B:$B, MATCH(TRIM($P297), 'Campaign Metadata'!$A:$A, 0))),
      INT($C297) &lt;= INT(INDEX('Campaign Metadata'!$C:$C, MATCH(TRIM($P297), 'Campaign Metadata'!$A:$A, 0)))
    ),
    "During Campaign",
    "Before Campaign"
  ),
  "No Campaign"
)</f>
        <v>Before Campaign</v>
      </c>
    </row>
    <row r="298" spans="1:18" x14ac:dyDescent="0.3">
      <c r="A298" t="s">
        <v>562</v>
      </c>
      <c r="B298" t="s">
        <v>14</v>
      </c>
      <c r="C298" s="5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  <c r="Q298" s="8"/>
      <c r="R298" t="str">
        <f>IFERROR(
  IF(
    AND(
      INT($C298) &gt;= INT(INDEX('Campaign Metadata'!$B:$B, MATCH(TRIM($P298), 'Campaign Metadata'!$A:$A, 0))),
      INT($C298) &lt;= INT(INDEX('Campaign Metadata'!$C:$C, MATCH(TRIM($P298), 'Campaign Metadata'!$A:$A, 0)))
    ),
    "During Campaign",
    "Before Campaign"
  ),
  "No Campaign"
)</f>
        <v>Before Campaign</v>
      </c>
    </row>
    <row r="299" spans="1:18" x14ac:dyDescent="0.3">
      <c r="A299" t="s">
        <v>564</v>
      </c>
      <c r="B299" t="s">
        <v>43</v>
      </c>
      <c r="C299" s="5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  <c r="Q299" s="8"/>
      <c r="R299" t="str">
        <f>IFERROR(
  IF(
    AND(
      INT($C299) &gt;= INT(INDEX('Campaign Metadata'!$B:$B, MATCH(TRIM($P299), 'Campaign Metadata'!$A:$A, 0))),
      INT($C299) &lt;= INT(INDEX('Campaign Metadata'!$C:$C, MATCH(TRIM($P299), 'Campaign Metadata'!$A:$A, 0)))
    ),
    "During Campaign",
    "Before Campaign"
  ),
  "No Campaign"
)</f>
        <v>Before Campaign</v>
      </c>
    </row>
    <row r="300" spans="1:18" x14ac:dyDescent="0.3">
      <c r="A300" t="s">
        <v>565</v>
      </c>
      <c r="B300" t="s">
        <v>43</v>
      </c>
      <c r="C300" s="5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  <c r="Q300" s="8"/>
      <c r="R300" t="str">
        <f>IFERROR(
  IF(
    AND(
      INT($C300) &gt;= INT(INDEX('Campaign Metadata'!$B:$B, MATCH(TRIM($P300), 'Campaign Metadata'!$A:$A, 0))),
      INT($C300) &lt;= INT(INDEX('Campaign Metadata'!$C:$C, MATCH(TRIM($P300), 'Campaign Metadata'!$A:$A, 0)))
    ),
    "During Campaign",
    "Before Campaign"
  ),
  "No Campaign"
)</f>
        <v>Before Campaign</v>
      </c>
    </row>
    <row r="301" spans="1:18" x14ac:dyDescent="0.3">
      <c r="A301" t="s">
        <v>566</v>
      </c>
      <c r="B301" t="s">
        <v>14</v>
      </c>
      <c r="C301" s="5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s="8"/>
      <c r="R301" t="str">
        <f>IFERROR(
  IF(
    AND(
      INT($C301) &gt;= INT(INDEX('Campaign Metadata'!$B:$B, MATCH(TRIM($P301), 'Campaign Metadata'!$A:$A, 0))),
      INT($C301) &lt;= INT(INDEX('Campaign Metadata'!$C:$C, MATCH(TRIM($P301), 'Campaign Metadata'!$A:$A, 0)))
    ),
    "During Campaign",
    "Before Campaign"
  ),
  "No Campaign"
)</f>
        <v>Before Campaign</v>
      </c>
    </row>
  </sheetData>
  <phoneticPr fontId="8" type="noConversion"/>
  <pageMargins left="0.7" right="0.7" top="0.75" bottom="0.75" header="0.3" footer="0.3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workbookViewId="0">
      <selection activeCell="E19" sqref="E19"/>
    </sheetView>
  </sheetViews>
  <sheetFormatPr defaultColWidth="14.44140625" defaultRowHeight="15" customHeight="1" x14ac:dyDescent="0.3"/>
  <cols>
    <col min="1" max="1" width="8.77734375" style="3" customWidth="1"/>
    <col min="2" max="2" width="11" style="3" customWidth="1"/>
    <col min="3" max="3" width="15.5546875" style="3" customWidth="1"/>
    <col min="4" max="4" width="14.21875" style="3" customWidth="1"/>
    <col min="5" max="5" width="37" style="3" bestFit="1" customWidth="1"/>
    <col min="6" max="7" width="8.6640625" style="3" customWidth="1"/>
    <col min="8" max="8" width="12" style="3" customWidth="1"/>
    <col min="9" max="9" width="12.88671875" style="3" customWidth="1"/>
    <col min="10" max="10" width="9.21875" style="3" customWidth="1"/>
    <col min="11" max="11" width="8.6640625" style="3" customWidth="1"/>
    <col min="12" max="12" width="37.21875" style="3" customWidth="1"/>
    <col min="13" max="13" width="23.44140625" style="3" customWidth="1"/>
    <col min="14" max="26" width="8.6640625" customWidth="1"/>
  </cols>
  <sheetData>
    <row r="1" spans="1:13" ht="14.4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3" ht="14.4" x14ac:dyDescent="0.3">
      <c r="A2" s="2" t="s">
        <v>13</v>
      </c>
      <c r="B2" s="2" t="s">
        <v>14</v>
      </c>
      <c r="C2" s="2" t="s">
        <v>15</v>
      </c>
      <c r="D2" s="2" t="s">
        <v>16</v>
      </c>
      <c r="E2" s="2" t="s">
        <v>17</v>
      </c>
      <c r="F2" s="2">
        <v>1461</v>
      </c>
      <c r="G2" s="2">
        <v>184</v>
      </c>
      <c r="H2" s="2">
        <v>344</v>
      </c>
      <c r="I2" s="2">
        <v>21915</v>
      </c>
      <c r="J2" s="2">
        <v>21675</v>
      </c>
      <c r="K2" s="2">
        <v>15</v>
      </c>
      <c r="L2" s="2" t="s">
        <v>18</v>
      </c>
      <c r="M2" s="2" t="s">
        <v>19</v>
      </c>
    </row>
    <row r="3" spans="1:13" ht="14.4" x14ac:dyDescent="0.3">
      <c r="A3" s="2" t="s">
        <v>20</v>
      </c>
      <c r="B3" s="2" t="s">
        <v>14</v>
      </c>
      <c r="C3" s="2" t="s">
        <v>21</v>
      </c>
      <c r="D3" s="2" t="s">
        <v>22</v>
      </c>
      <c r="E3" s="2" t="s">
        <v>23</v>
      </c>
      <c r="F3" s="2">
        <v>4054</v>
      </c>
      <c r="G3" s="2">
        <v>389</v>
      </c>
      <c r="H3" s="2">
        <v>493</v>
      </c>
      <c r="I3" s="2">
        <v>64864</v>
      </c>
      <c r="J3" s="2">
        <v>64383</v>
      </c>
      <c r="K3" s="2">
        <v>117</v>
      </c>
      <c r="L3" s="2" t="s">
        <v>24</v>
      </c>
      <c r="M3" s="2" t="s">
        <v>25</v>
      </c>
    </row>
    <row r="4" spans="1:13" ht="14.4" x14ac:dyDescent="0.3">
      <c r="A4" s="2" t="s">
        <v>26</v>
      </c>
      <c r="B4" s="2" t="s">
        <v>27</v>
      </c>
      <c r="C4" s="2" t="s">
        <v>28</v>
      </c>
      <c r="D4" s="2" t="s">
        <v>16</v>
      </c>
      <c r="E4" s="2" t="s">
        <v>29</v>
      </c>
      <c r="F4" s="2">
        <v>2795</v>
      </c>
      <c r="G4" s="2">
        <v>105</v>
      </c>
      <c r="H4" s="2">
        <v>49</v>
      </c>
      <c r="I4" s="2">
        <v>53105</v>
      </c>
      <c r="J4" s="2">
        <v>52307</v>
      </c>
      <c r="K4" s="2">
        <v>204</v>
      </c>
      <c r="L4" s="2" t="s">
        <v>30</v>
      </c>
      <c r="M4" s="2" t="s">
        <v>31</v>
      </c>
    </row>
    <row r="5" spans="1:13" ht="14.4" x14ac:dyDescent="0.3">
      <c r="A5" s="2" t="s">
        <v>32</v>
      </c>
      <c r="B5" s="2" t="s">
        <v>33</v>
      </c>
      <c r="C5" s="2" t="s">
        <v>34</v>
      </c>
      <c r="D5" s="2" t="s">
        <v>35</v>
      </c>
      <c r="E5" s="2" t="s">
        <v>36</v>
      </c>
      <c r="F5" s="2">
        <v>2404</v>
      </c>
      <c r="G5" s="2">
        <v>363</v>
      </c>
      <c r="H5" s="2">
        <v>138</v>
      </c>
      <c r="I5" s="2">
        <v>19232</v>
      </c>
      <c r="J5" s="2">
        <v>18636</v>
      </c>
      <c r="K5" s="2">
        <v>128</v>
      </c>
      <c r="L5" s="2" t="s">
        <v>37</v>
      </c>
      <c r="M5" s="2" t="s">
        <v>38</v>
      </c>
    </row>
    <row r="6" spans="1:13" ht="14.4" x14ac:dyDescent="0.3">
      <c r="A6" s="2" t="s">
        <v>39</v>
      </c>
      <c r="B6" s="2" t="s">
        <v>27</v>
      </c>
      <c r="C6" s="2" t="s">
        <v>40</v>
      </c>
      <c r="D6" s="2" t="s">
        <v>16</v>
      </c>
      <c r="E6" s="2" t="s">
        <v>29</v>
      </c>
      <c r="F6" s="2">
        <v>3557</v>
      </c>
      <c r="G6" s="2">
        <v>687</v>
      </c>
      <c r="H6" s="2">
        <v>424</v>
      </c>
      <c r="I6" s="2">
        <v>71140</v>
      </c>
      <c r="J6" s="2">
        <v>70701</v>
      </c>
      <c r="K6" s="2">
        <v>224</v>
      </c>
      <c r="L6" s="2" t="s">
        <v>41</v>
      </c>
      <c r="M6" s="2" t="s">
        <v>19</v>
      </c>
    </row>
    <row r="7" spans="1:13" ht="14.4" x14ac:dyDescent="0.3">
      <c r="A7" s="2" t="s">
        <v>42</v>
      </c>
      <c r="B7" s="2" t="s">
        <v>43</v>
      </c>
      <c r="C7" s="2" t="s">
        <v>44</v>
      </c>
      <c r="D7" s="2" t="s">
        <v>45</v>
      </c>
      <c r="E7" s="2" t="s">
        <v>46</v>
      </c>
      <c r="F7" s="2">
        <v>2945</v>
      </c>
      <c r="G7" s="2">
        <v>930</v>
      </c>
      <c r="H7" s="2">
        <v>355</v>
      </c>
      <c r="I7" s="2">
        <v>23560</v>
      </c>
      <c r="J7" s="2">
        <v>23275</v>
      </c>
      <c r="K7" s="2">
        <v>256</v>
      </c>
      <c r="L7" s="2" t="s">
        <v>30</v>
      </c>
      <c r="M7" s="2" t="s">
        <v>25</v>
      </c>
    </row>
    <row r="8" spans="1:13" ht="14.4" x14ac:dyDescent="0.3">
      <c r="A8" s="2" t="s">
        <v>47</v>
      </c>
      <c r="B8" s="2" t="s">
        <v>14</v>
      </c>
      <c r="C8" s="2" t="s">
        <v>48</v>
      </c>
      <c r="D8" s="2" t="s">
        <v>45</v>
      </c>
      <c r="E8" s="2" t="s">
        <v>49</v>
      </c>
      <c r="F8" s="2">
        <v>3860</v>
      </c>
      <c r="G8" s="2">
        <v>201</v>
      </c>
      <c r="H8" s="2">
        <v>279</v>
      </c>
      <c r="I8" s="2">
        <v>61760</v>
      </c>
      <c r="J8" s="2">
        <v>61660</v>
      </c>
      <c r="K8" s="2">
        <v>235</v>
      </c>
      <c r="L8" s="2" t="s">
        <v>30</v>
      </c>
      <c r="M8" s="2" t="s">
        <v>25</v>
      </c>
    </row>
    <row r="9" spans="1:13" ht="14.4" x14ac:dyDescent="0.3">
      <c r="A9" s="2" t="s">
        <v>50</v>
      </c>
      <c r="B9" s="2" t="s">
        <v>27</v>
      </c>
      <c r="C9" s="2" t="s">
        <v>51</v>
      </c>
      <c r="D9" s="2" t="s">
        <v>52</v>
      </c>
      <c r="E9" s="2" t="s">
        <v>53</v>
      </c>
      <c r="F9" s="2">
        <v>3929</v>
      </c>
      <c r="G9" s="2">
        <v>262</v>
      </c>
      <c r="H9" s="2">
        <v>278</v>
      </c>
      <c r="I9" s="2">
        <v>43219</v>
      </c>
      <c r="J9" s="2">
        <v>42841</v>
      </c>
      <c r="K9" s="2">
        <v>39</v>
      </c>
      <c r="L9" s="2" t="s">
        <v>37</v>
      </c>
      <c r="M9" s="2" t="s">
        <v>38</v>
      </c>
    </row>
    <row r="10" spans="1:13" ht="14.4" x14ac:dyDescent="0.3">
      <c r="A10" s="2" t="s">
        <v>54</v>
      </c>
      <c r="B10" s="2" t="s">
        <v>43</v>
      </c>
      <c r="C10" s="2" t="s">
        <v>55</v>
      </c>
      <c r="D10" s="2" t="s">
        <v>22</v>
      </c>
      <c r="E10" s="2" t="s">
        <v>56</v>
      </c>
      <c r="F10" s="2">
        <v>3784</v>
      </c>
      <c r="G10" s="2">
        <v>808</v>
      </c>
      <c r="H10" s="2">
        <v>404</v>
      </c>
      <c r="I10" s="2">
        <v>56760</v>
      </c>
      <c r="J10" s="2">
        <v>56343</v>
      </c>
      <c r="K10" s="2">
        <v>131</v>
      </c>
      <c r="L10" s="2" t="s">
        <v>30</v>
      </c>
      <c r="M10" s="2" t="s">
        <v>25</v>
      </c>
    </row>
    <row r="11" spans="1:13" ht="14.4" x14ac:dyDescent="0.3">
      <c r="A11" s="2" t="s">
        <v>57</v>
      </c>
      <c r="B11" s="2" t="s">
        <v>43</v>
      </c>
      <c r="C11" s="2" t="s">
        <v>58</v>
      </c>
      <c r="D11" s="2" t="s">
        <v>52</v>
      </c>
      <c r="E11" s="2" t="s">
        <v>59</v>
      </c>
      <c r="F11" s="2">
        <v>4241</v>
      </c>
      <c r="G11" s="2">
        <v>902</v>
      </c>
      <c r="H11" s="2">
        <v>47</v>
      </c>
      <c r="I11" s="2">
        <v>72097</v>
      </c>
      <c r="J11" s="2">
        <v>71598</v>
      </c>
      <c r="K11" s="2">
        <v>167</v>
      </c>
      <c r="L11" s="2" t="s">
        <v>30</v>
      </c>
      <c r="M11" s="2" t="s">
        <v>25</v>
      </c>
    </row>
    <row r="12" spans="1:13" ht="14.4" x14ac:dyDescent="0.3">
      <c r="A12" s="2" t="s">
        <v>60</v>
      </c>
      <c r="B12" s="2" t="s">
        <v>33</v>
      </c>
      <c r="C12" s="2" t="s">
        <v>61</v>
      </c>
      <c r="D12" s="2" t="s">
        <v>35</v>
      </c>
      <c r="E12" s="2" t="s">
        <v>36</v>
      </c>
      <c r="F12" s="2">
        <v>1792</v>
      </c>
      <c r="G12" s="2">
        <v>614</v>
      </c>
      <c r="H12" s="2">
        <v>497</v>
      </c>
      <c r="I12" s="2">
        <v>25088</v>
      </c>
      <c r="J12" s="2">
        <v>24675</v>
      </c>
      <c r="K12" s="2">
        <v>65</v>
      </c>
      <c r="L12" s="2" t="s">
        <v>62</v>
      </c>
      <c r="M12" s="2" t="s">
        <v>38</v>
      </c>
    </row>
    <row r="13" spans="1:13" ht="14.4" x14ac:dyDescent="0.3">
      <c r="A13" s="2" t="s">
        <v>63</v>
      </c>
      <c r="B13" s="2" t="s">
        <v>43</v>
      </c>
      <c r="C13" s="2" t="s">
        <v>64</v>
      </c>
      <c r="D13" s="2" t="s">
        <v>16</v>
      </c>
      <c r="E13" s="2" t="s">
        <v>65</v>
      </c>
      <c r="F13" s="2">
        <v>1946</v>
      </c>
      <c r="G13" s="2">
        <v>686</v>
      </c>
      <c r="H13" s="2">
        <v>377</v>
      </c>
      <c r="I13" s="2">
        <v>23352</v>
      </c>
      <c r="J13" s="2">
        <v>22982</v>
      </c>
      <c r="K13" s="2">
        <v>213</v>
      </c>
      <c r="L13" s="2" t="s">
        <v>62</v>
      </c>
      <c r="M13" s="2" t="s">
        <v>31</v>
      </c>
    </row>
    <row r="14" spans="1:13" ht="14.4" x14ac:dyDescent="0.3">
      <c r="A14" s="2" t="s">
        <v>66</v>
      </c>
      <c r="B14" s="2" t="s">
        <v>27</v>
      </c>
      <c r="C14" s="2" t="s">
        <v>67</v>
      </c>
      <c r="D14" s="2" t="s">
        <v>45</v>
      </c>
      <c r="E14" s="2" t="s">
        <v>68</v>
      </c>
      <c r="F14" s="2">
        <v>1171</v>
      </c>
      <c r="G14" s="2">
        <v>286</v>
      </c>
      <c r="H14" s="2">
        <v>231</v>
      </c>
      <c r="I14" s="2">
        <v>22249</v>
      </c>
      <c r="J14" s="2">
        <v>21282</v>
      </c>
      <c r="K14" s="2">
        <v>114</v>
      </c>
      <c r="L14" s="2" t="s">
        <v>37</v>
      </c>
      <c r="M14" s="2" t="s">
        <v>19</v>
      </c>
    </row>
    <row r="15" spans="1:13" ht="14.4" x14ac:dyDescent="0.3">
      <c r="A15" s="2" t="s">
        <v>69</v>
      </c>
      <c r="B15" s="2" t="s">
        <v>43</v>
      </c>
      <c r="C15" s="2" t="s">
        <v>70</v>
      </c>
      <c r="D15" s="2" t="s">
        <v>35</v>
      </c>
      <c r="E15" s="2" t="s">
        <v>71</v>
      </c>
      <c r="F15" s="2">
        <v>4242</v>
      </c>
      <c r="G15" s="2">
        <v>555</v>
      </c>
      <c r="H15" s="2">
        <v>131</v>
      </c>
      <c r="I15" s="2">
        <v>33936</v>
      </c>
      <c r="J15" s="2">
        <v>33802</v>
      </c>
      <c r="K15" s="2">
        <v>265</v>
      </c>
      <c r="L15" s="2" t="s">
        <v>62</v>
      </c>
    </row>
    <row r="16" spans="1:13" ht="14.4" x14ac:dyDescent="0.3">
      <c r="A16" s="2" t="s">
        <v>72</v>
      </c>
      <c r="B16" s="2" t="s">
        <v>43</v>
      </c>
      <c r="C16" s="2" t="s">
        <v>73</v>
      </c>
      <c r="D16" s="2" t="s">
        <v>74</v>
      </c>
      <c r="E16" s="2" t="s">
        <v>75</v>
      </c>
      <c r="F16" s="2">
        <v>3888</v>
      </c>
      <c r="G16" s="2">
        <v>604</v>
      </c>
      <c r="H16" s="2">
        <v>128</v>
      </c>
      <c r="I16" s="2">
        <v>77760</v>
      </c>
      <c r="J16" s="2">
        <v>77167</v>
      </c>
      <c r="K16" s="2">
        <v>20</v>
      </c>
      <c r="L16" s="2" t="s">
        <v>62</v>
      </c>
      <c r="M16" s="2" t="s">
        <v>19</v>
      </c>
    </row>
    <row r="17" spans="1:13" ht="14.4" x14ac:dyDescent="0.3">
      <c r="A17" s="2" t="s">
        <v>76</v>
      </c>
      <c r="B17" s="2" t="s">
        <v>43</v>
      </c>
      <c r="C17" s="2" t="s">
        <v>77</v>
      </c>
      <c r="D17" s="2" t="s">
        <v>22</v>
      </c>
      <c r="E17" s="2" t="s">
        <v>56</v>
      </c>
      <c r="F17" s="2">
        <v>3452</v>
      </c>
      <c r="G17" s="2">
        <v>377</v>
      </c>
      <c r="H17" s="2">
        <v>360</v>
      </c>
      <c r="I17" s="2">
        <v>55232</v>
      </c>
      <c r="J17" s="2">
        <v>55075</v>
      </c>
      <c r="K17" s="2">
        <v>87</v>
      </c>
      <c r="L17" s="2" t="s">
        <v>62</v>
      </c>
      <c r="M17" s="2" t="s">
        <v>31</v>
      </c>
    </row>
    <row r="18" spans="1:13" ht="14.4" x14ac:dyDescent="0.3">
      <c r="A18" s="2" t="s">
        <v>78</v>
      </c>
      <c r="B18" s="2" t="s">
        <v>43</v>
      </c>
      <c r="C18" s="2" t="s">
        <v>79</v>
      </c>
      <c r="D18" s="2" t="s">
        <v>22</v>
      </c>
      <c r="E18" s="2" t="s">
        <v>56</v>
      </c>
      <c r="F18" s="2">
        <v>4441</v>
      </c>
      <c r="G18" s="2">
        <v>511</v>
      </c>
      <c r="H18" s="2">
        <v>70</v>
      </c>
      <c r="I18" s="2">
        <v>53292</v>
      </c>
      <c r="J18" s="2">
        <v>53082</v>
      </c>
      <c r="K18" s="2">
        <v>159</v>
      </c>
      <c r="L18" s="2" t="s">
        <v>37</v>
      </c>
      <c r="M18" s="2" t="s">
        <v>38</v>
      </c>
    </row>
    <row r="19" spans="1:13" ht="14.4" x14ac:dyDescent="0.3">
      <c r="A19" s="2" t="s">
        <v>80</v>
      </c>
      <c r="B19" s="2" t="s">
        <v>33</v>
      </c>
      <c r="C19" s="2" t="s">
        <v>81</v>
      </c>
      <c r="D19" s="2" t="s">
        <v>16</v>
      </c>
      <c r="E19" s="2" t="s">
        <v>82</v>
      </c>
      <c r="F19" s="2">
        <v>3000</v>
      </c>
      <c r="G19" s="2">
        <v>382</v>
      </c>
      <c r="H19" s="2">
        <v>325</v>
      </c>
      <c r="I19" s="2">
        <v>36000</v>
      </c>
      <c r="J19" s="2">
        <v>35819</v>
      </c>
      <c r="K19" s="2">
        <v>19</v>
      </c>
      <c r="L19" s="2" t="s">
        <v>62</v>
      </c>
      <c r="M19" s="2" t="s">
        <v>19</v>
      </c>
    </row>
    <row r="20" spans="1:13" ht="14.4" x14ac:dyDescent="0.3">
      <c r="A20" s="2" t="s">
        <v>83</v>
      </c>
      <c r="B20" s="2" t="s">
        <v>33</v>
      </c>
      <c r="C20" s="2" t="s">
        <v>84</v>
      </c>
      <c r="D20" s="2" t="s">
        <v>74</v>
      </c>
      <c r="E20" s="2" t="s">
        <v>85</v>
      </c>
      <c r="F20" s="2">
        <v>1071</v>
      </c>
      <c r="G20" s="2">
        <v>519</v>
      </c>
      <c r="H20" s="2">
        <v>22</v>
      </c>
      <c r="I20" s="2">
        <v>16065</v>
      </c>
      <c r="J20" s="2">
        <v>15865</v>
      </c>
      <c r="K20" s="2">
        <v>103</v>
      </c>
      <c r="L20" s="2" t="s">
        <v>30</v>
      </c>
      <c r="M20" s="2" t="s">
        <v>38</v>
      </c>
    </row>
    <row r="21" spans="1:13" ht="15.75" customHeight="1" x14ac:dyDescent="0.3">
      <c r="A21" s="2" t="s">
        <v>86</v>
      </c>
      <c r="B21" s="2" t="s">
        <v>33</v>
      </c>
      <c r="C21" s="2" t="s">
        <v>87</v>
      </c>
      <c r="D21" s="2" t="s">
        <v>45</v>
      </c>
      <c r="E21" s="2" t="s">
        <v>88</v>
      </c>
      <c r="F21" s="2">
        <v>4054</v>
      </c>
      <c r="G21" s="2">
        <v>488</v>
      </c>
      <c r="H21" s="2">
        <v>373</v>
      </c>
      <c r="I21" s="2">
        <v>77026</v>
      </c>
      <c r="J21" s="2">
        <v>76881</v>
      </c>
      <c r="K21" s="2">
        <v>25</v>
      </c>
      <c r="L21" s="2" t="s">
        <v>30</v>
      </c>
      <c r="M21" s="2" t="s">
        <v>19</v>
      </c>
    </row>
    <row r="22" spans="1:13" ht="15.75" customHeight="1" x14ac:dyDescent="0.3">
      <c r="A22" s="2" t="s">
        <v>89</v>
      </c>
      <c r="B22" s="2" t="s">
        <v>33</v>
      </c>
      <c r="C22" s="2" t="s">
        <v>90</v>
      </c>
      <c r="D22" s="2" t="s">
        <v>16</v>
      </c>
      <c r="E22" s="2" t="s">
        <v>82</v>
      </c>
      <c r="F22" s="2">
        <v>4838</v>
      </c>
      <c r="G22" s="2">
        <v>640</v>
      </c>
      <c r="H22" s="2">
        <v>128</v>
      </c>
      <c r="I22" s="2">
        <v>72570</v>
      </c>
      <c r="J22" s="2">
        <v>72396</v>
      </c>
      <c r="K22" s="2">
        <v>83</v>
      </c>
      <c r="L22" s="2" t="s">
        <v>62</v>
      </c>
      <c r="M22" s="2" t="s">
        <v>38</v>
      </c>
    </row>
    <row r="23" spans="1:13" ht="15.75" customHeight="1" x14ac:dyDescent="0.3">
      <c r="A23" s="2" t="s">
        <v>91</v>
      </c>
      <c r="B23" s="2" t="s">
        <v>43</v>
      </c>
      <c r="C23" s="2" t="s">
        <v>92</v>
      </c>
      <c r="D23" s="2" t="s">
        <v>22</v>
      </c>
      <c r="E23" s="2" t="s">
        <v>56</v>
      </c>
      <c r="F23" s="2">
        <v>1570</v>
      </c>
      <c r="G23" s="2">
        <v>187</v>
      </c>
      <c r="H23" s="2">
        <v>260</v>
      </c>
      <c r="I23" s="2">
        <v>25120</v>
      </c>
      <c r="J23" s="2">
        <v>24613</v>
      </c>
      <c r="K23" s="2">
        <v>133</v>
      </c>
      <c r="L23" s="2" t="s">
        <v>30</v>
      </c>
      <c r="M23" s="2" t="s">
        <v>38</v>
      </c>
    </row>
    <row r="24" spans="1:13" ht="15.75" customHeight="1" x14ac:dyDescent="0.3">
      <c r="A24" s="2" t="s">
        <v>93</v>
      </c>
      <c r="B24" s="2" t="s">
        <v>43</v>
      </c>
      <c r="C24" s="2" t="s">
        <v>94</v>
      </c>
      <c r="D24" s="2" t="s">
        <v>74</v>
      </c>
      <c r="E24" s="2" t="s">
        <v>75</v>
      </c>
      <c r="F24" s="2">
        <v>1606</v>
      </c>
      <c r="G24" s="2">
        <v>547</v>
      </c>
      <c r="H24" s="2">
        <v>316</v>
      </c>
      <c r="I24" s="2">
        <v>32120</v>
      </c>
      <c r="J24" s="2">
        <v>31736</v>
      </c>
      <c r="K24" s="2">
        <v>225</v>
      </c>
      <c r="L24" s="2" t="s">
        <v>95</v>
      </c>
      <c r="M24" s="2" t="s">
        <v>25</v>
      </c>
    </row>
    <row r="25" spans="1:13" ht="15.75" customHeight="1" x14ac:dyDescent="0.3">
      <c r="A25" s="2" t="s">
        <v>96</v>
      </c>
      <c r="B25" s="2" t="s">
        <v>43</v>
      </c>
      <c r="C25" s="2" t="s">
        <v>97</v>
      </c>
      <c r="D25" s="2" t="s">
        <v>74</v>
      </c>
      <c r="E25" s="2" t="s">
        <v>75</v>
      </c>
      <c r="F25" s="2">
        <v>3961</v>
      </c>
      <c r="G25" s="2">
        <v>761</v>
      </c>
      <c r="H25" s="2">
        <v>131</v>
      </c>
      <c r="I25" s="2">
        <v>67337</v>
      </c>
      <c r="J25" s="2">
        <v>66615</v>
      </c>
      <c r="K25" s="2">
        <v>161</v>
      </c>
      <c r="L25" s="2" t="s">
        <v>62</v>
      </c>
      <c r="M25" s="2" t="s">
        <v>31</v>
      </c>
    </row>
    <row r="26" spans="1:13" ht="15.75" customHeight="1" x14ac:dyDescent="0.3">
      <c r="A26" s="2" t="s">
        <v>98</v>
      </c>
      <c r="B26" s="2" t="s">
        <v>14</v>
      </c>
      <c r="C26" s="2" t="s">
        <v>99</v>
      </c>
      <c r="D26" s="2" t="s">
        <v>45</v>
      </c>
      <c r="E26" s="2" t="s">
        <v>49</v>
      </c>
      <c r="F26" s="2">
        <v>3128</v>
      </c>
      <c r="G26" s="2">
        <v>211</v>
      </c>
      <c r="H26" s="2">
        <v>197</v>
      </c>
      <c r="I26" s="2">
        <v>59432</v>
      </c>
      <c r="J26" s="2">
        <v>59182</v>
      </c>
      <c r="K26" s="2">
        <v>238</v>
      </c>
      <c r="L26" s="2" t="s">
        <v>37</v>
      </c>
    </row>
    <row r="27" spans="1:13" ht="15.75" customHeight="1" x14ac:dyDescent="0.3">
      <c r="A27" s="2" t="s">
        <v>100</v>
      </c>
      <c r="B27" s="2" t="s">
        <v>27</v>
      </c>
      <c r="C27" s="2" t="s">
        <v>101</v>
      </c>
      <c r="D27" s="2" t="s">
        <v>16</v>
      </c>
      <c r="E27" s="2" t="s">
        <v>29</v>
      </c>
      <c r="F27" s="2">
        <v>3009</v>
      </c>
      <c r="G27" s="2">
        <v>413</v>
      </c>
      <c r="H27" s="2">
        <v>358</v>
      </c>
      <c r="I27" s="2">
        <v>42126</v>
      </c>
      <c r="J27" s="2">
        <v>41309</v>
      </c>
      <c r="K27" s="2">
        <v>211</v>
      </c>
      <c r="L27" s="2" t="s">
        <v>62</v>
      </c>
      <c r="M27" s="2" t="s">
        <v>25</v>
      </c>
    </row>
    <row r="28" spans="1:13" ht="15.75" customHeight="1" x14ac:dyDescent="0.3">
      <c r="A28" s="2" t="s">
        <v>102</v>
      </c>
      <c r="B28" s="2" t="s">
        <v>27</v>
      </c>
      <c r="C28" s="2" t="s">
        <v>103</v>
      </c>
      <c r="D28" s="2" t="s">
        <v>22</v>
      </c>
      <c r="E28" s="2" t="s">
        <v>104</v>
      </c>
      <c r="F28" s="2">
        <v>2076</v>
      </c>
      <c r="G28" s="2">
        <v>195</v>
      </c>
      <c r="H28" s="2">
        <v>104</v>
      </c>
      <c r="I28" s="2">
        <v>33216</v>
      </c>
      <c r="J28" s="2">
        <v>32244</v>
      </c>
      <c r="K28" s="2">
        <v>51</v>
      </c>
      <c r="L28" s="2" t="s">
        <v>62</v>
      </c>
      <c r="M28" s="2" t="s">
        <v>38</v>
      </c>
    </row>
    <row r="29" spans="1:13" ht="15.75" customHeight="1" x14ac:dyDescent="0.3">
      <c r="A29" s="2" t="s">
        <v>105</v>
      </c>
      <c r="B29" s="2" t="s">
        <v>33</v>
      </c>
      <c r="C29" s="2" t="s">
        <v>106</v>
      </c>
      <c r="D29" s="2" t="s">
        <v>74</v>
      </c>
      <c r="E29" s="2" t="s">
        <v>85</v>
      </c>
      <c r="F29" s="2">
        <v>432</v>
      </c>
      <c r="G29" s="2">
        <v>624</v>
      </c>
      <c r="H29" s="2">
        <v>123</v>
      </c>
      <c r="I29" s="2">
        <v>6912</v>
      </c>
      <c r="J29" s="2">
        <v>6259</v>
      </c>
      <c r="K29" s="2">
        <v>79</v>
      </c>
      <c r="L29" s="2" t="s">
        <v>62</v>
      </c>
      <c r="M29" s="2" t="s">
        <v>38</v>
      </c>
    </row>
    <row r="30" spans="1:13" ht="15.75" customHeight="1" x14ac:dyDescent="0.3">
      <c r="A30" s="2" t="s">
        <v>107</v>
      </c>
      <c r="B30" s="2" t="s">
        <v>33</v>
      </c>
      <c r="C30" s="2" t="s">
        <v>108</v>
      </c>
      <c r="D30" s="2" t="s">
        <v>45</v>
      </c>
      <c r="E30" s="2" t="s">
        <v>88</v>
      </c>
      <c r="F30" s="2">
        <v>2566</v>
      </c>
      <c r="G30" s="2">
        <v>118</v>
      </c>
      <c r="H30" s="2">
        <v>37</v>
      </c>
      <c r="I30" s="2">
        <v>12830</v>
      </c>
      <c r="J30" s="2">
        <v>12264</v>
      </c>
      <c r="K30" s="2">
        <v>221</v>
      </c>
      <c r="L30" s="2" t="s">
        <v>62</v>
      </c>
      <c r="M30" s="2" t="s">
        <v>31</v>
      </c>
    </row>
    <row r="31" spans="1:13" ht="15.75" customHeight="1" x14ac:dyDescent="0.3">
      <c r="A31" s="2" t="s">
        <v>109</v>
      </c>
      <c r="B31" s="2" t="s">
        <v>33</v>
      </c>
      <c r="C31" s="2" t="s">
        <v>110</v>
      </c>
      <c r="D31" s="2" t="s">
        <v>74</v>
      </c>
      <c r="E31" s="2" t="s">
        <v>85</v>
      </c>
      <c r="F31" s="2">
        <v>3095</v>
      </c>
      <c r="G31" s="2">
        <v>39</v>
      </c>
      <c r="H31" s="2">
        <v>78</v>
      </c>
      <c r="I31" s="2">
        <v>55710</v>
      </c>
      <c r="J31" s="2">
        <v>54808</v>
      </c>
      <c r="K31" s="2">
        <v>93</v>
      </c>
      <c r="L31" s="2" t="s">
        <v>37</v>
      </c>
    </row>
    <row r="32" spans="1:13" ht="15.75" customHeight="1" x14ac:dyDescent="0.3">
      <c r="A32" s="2" t="s">
        <v>111</v>
      </c>
      <c r="B32" s="2" t="s">
        <v>33</v>
      </c>
      <c r="C32" s="2" t="s">
        <v>112</v>
      </c>
      <c r="D32" s="2" t="s">
        <v>22</v>
      </c>
      <c r="E32" s="2" t="s">
        <v>113</v>
      </c>
      <c r="F32" s="2">
        <v>438</v>
      </c>
      <c r="G32" s="2">
        <v>153</v>
      </c>
      <c r="H32" s="2">
        <v>275</v>
      </c>
      <c r="I32" s="2">
        <v>3066</v>
      </c>
      <c r="J32" s="2">
        <v>2701</v>
      </c>
      <c r="K32" s="2">
        <v>282</v>
      </c>
      <c r="L32" s="2" t="s">
        <v>30</v>
      </c>
      <c r="M32" s="2" t="s">
        <v>25</v>
      </c>
    </row>
    <row r="33" spans="1:13" ht="15.75" customHeight="1" x14ac:dyDescent="0.3">
      <c r="A33" s="2" t="s">
        <v>114</v>
      </c>
      <c r="B33" s="2" t="s">
        <v>14</v>
      </c>
      <c r="C33" s="2" t="s">
        <v>115</v>
      </c>
      <c r="D33" s="2" t="s">
        <v>45</v>
      </c>
      <c r="E33" s="2" t="s">
        <v>49</v>
      </c>
      <c r="F33" s="2">
        <v>2278</v>
      </c>
      <c r="G33" s="2">
        <v>10</v>
      </c>
      <c r="H33" s="2">
        <v>321</v>
      </c>
      <c r="I33" s="2">
        <v>13668</v>
      </c>
      <c r="J33" s="2">
        <v>12676</v>
      </c>
      <c r="K33" s="2">
        <v>275</v>
      </c>
      <c r="L33" s="2" t="s">
        <v>37</v>
      </c>
      <c r="M33" s="2" t="s">
        <v>19</v>
      </c>
    </row>
    <row r="34" spans="1:13" ht="15.75" customHeight="1" x14ac:dyDescent="0.3">
      <c r="A34" s="2" t="s">
        <v>116</v>
      </c>
      <c r="B34" s="2" t="s">
        <v>43</v>
      </c>
      <c r="C34" s="2" t="s">
        <v>117</v>
      </c>
      <c r="D34" s="2" t="s">
        <v>52</v>
      </c>
      <c r="E34" s="2" t="s">
        <v>59</v>
      </c>
      <c r="F34" s="2">
        <v>1407</v>
      </c>
      <c r="G34" s="2">
        <v>400</v>
      </c>
      <c r="H34" s="2">
        <v>351</v>
      </c>
      <c r="I34" s="2">
        <v>16884</v>
      </c>
      <c r="J34" s="2">
        <v>15954</v>
      </c>
      <c r="K34" s="2">
        <v>113</v>
      </c>
      <c r="L34" s="2" t="s">
        <v>30</v>
      </c>
      <c r="M34" s="2" t="s">
        <v>19</v>
      </c>
    </row>
    <row r="35" spans="1:13" ht="15.75" customHeight="1" x14ac:dyDescent="0.3">
      <c r="A35" s="2" t="s">
        <v>118</v>
      </c>
      <c r="B35" s="2" t="s">
        <v>43</v>
      </c>
      <c r="C35" s="2" t="s">
        <v>119</v>
      </c>
      <c r="D35" s="2" t="s">
        <v>22</v>
      </c>
      <c r="E35" s="2" t="s">
        <v>56</v>
      </c>
      <c r="F35" s="2">
        <v>1652</v>
      </c>
      <c r="G35" s="2">
        <v>89</v>
      </c>
      <c r="H35" s="2">
        <v>357</v>
      </c>
      <c r="I35" s="2">
        <v>29736</v>
      </c>
      <c r="J35" s="2">
        <v>28771</v>
      </c>
      <c r="K35" s="2">
        <v>215</v>
      </c>
      <c r="L35" s="2" t="s">
        <v>30</v>
      </c>
      <c r="M35" s="2" t="s">
        <v>31</v>
      </c>
    </row>
    <row r="36" spans="1:13" ht="15.75" customHeight="1" x14ac:dyDescent="0.3">
      <c r="A36" s="2" t="s">
        <v>120</v>
      </c>
      <c r="B36" s="2" t="s">
        <v>33</v>
      </c>
      <c r="C36" s="2" t="s">
        <v>121</v>
      </c>
      <c r="D36" s="2" t="s">
        <v>74</v>
      </c>
      <c r="E36" s="2" t="s">
        <v>85</v>
      </c>
      <c r="F36" s="2">
        <v>3775</v>
      </c>
      <c r="G36" s="2">
        <v>16</v>
      </c>
      <c r="H36" s="2">
        <v>239</v>
      </c>
      <c r="I36" s="2">
        <v>33975</v>
      </c>
      <c r="J36" s="2">
        <v>33310</v>
      </c>
      <c r="K36" s="2">
        <v>271</v>
      </c>
      <c r="L36" s="2" t="s">
        <v>62</v>
      </c>
      <c r="M36" s="2" t="s">
        <v>25</v>
      </c>
    </row>
    <row r="37" spans="1:13" ht="15.75" customHeight="1" x14ac:dyDescent="0.3">
      <c r="A37" s="2" t="s">
        <v>122</v>
      </c>
      <c r="B37" s="2" t="s">
        <v>33</v>
      </c>
      <c r="C37" s="2" t="s">
        <v>123</v>
      </c>
      <c r="D37" s="2" t="s">
        <v>35</v>
      </c>
      <c r="E37" s="2" t="s">
        <v>36</v>
      </c>
      <c r="F37" s="2">
        <v>4518</v>
      </c>
      <c r="G37" s="2">
        <v>285</v>
      </c>
      <c r="H37" s="2">
        <v>383</v>
      </c>
      <c r="I37" s="2">
        <v>67770</v>
      </c>
      <c r="J37" s="2">
        <v>67621</v>
      </c>
      <c r="K37" s="2">
        <v>31</v>
      </c>
      <c r="L37" s="2" t="s">
        <v>37</v>
      </c>
      <c r="M37" s="2" t="s">
        <v>25</v>
      </c>
    </row>
    <row r="38" spans="1:13" ht="15.75" customHeight="1" x14ac:dyDescent="0.3">
      <c r="A38" s="2" t="s">
        <v>124</v>
      </c>
      <c r="B38" s="2" t="s">
        <v>43</v>
      </c>
      <c r="C38" s="2" t="s">
        <v>125</v>
      </c>
      <c r="D38" s="2" t="s">
        <v>45</v>
      </c>
      <c r="E38" s="2" t="s">
        <v>46</v>
      </c>
      <c r="F38" s="2">
        <v>3024</v>
      </c>
      <c r="G38" s="2">
        <v>925</v>
      </c>
      <c r="H38" s="2">
        <v>350</v>
      </c>
      <c r="I38" s="2">
        <v>24192</v>
      </c>
      <c r="J38" s="2">
        <v>23518</v>
      </c>
      <c r="K38" s="2">
        <v>36</v>
      </c>
      <c r="L38" s="2" t="s">
        <v>37</v>
      </c>
      <c r="M38" s="2" t="s">
        <v>25</v>
      </c>
    </row>
    <row r="39" spans="1:13" ht="15.75" customHeight="1" x14ac:dyDescent="0.3">
      <c r="A39" s="2" t="s">
        <v>126</v>
      </c>
      <c r="B39" s="2" t="s">
        <v>27</v>
      </c>
      <c r="C39" s="2" t="s">
        <v>127</v>
      </c>
      <c r="D39" s="2" t="s">
        <v>16</v>
      </c>
      <c r="E39" s="2" t="s">
        <v>29</v>
      </c>
      <c r="F39" s="2">
        <v>3138</v>
      </c>
      <c r="G39" s="2">
        <v>123</v>
      </c>
      <c r="H39" s="2">
        <v>291</v>
      </c>
      <c r="I39" s="2">
        <v>28242</v>
      </c>
      <c r="J39" s="2">
        <v>27550</v>
      </c>
      <c r="K39" s="2">
        <v>87</v>
      </c>
      <c r="L39" s="2" t="s">
        <v>30</v>
      </c>
      <c r="M39" s="2" t="s">
        <v>38</v>
      </c>
    </row>
    <row r="40" spans="1:13" ht="15.75" customHeight="1" x14ac:dyDescent="0.3">
      <c r="A40" s="2" t="s">
        <v>128</v>
      </c>
      <c r="B40" s="2" t="s">
        <v>43</v>
      </c>
      <c r="C40" s="2" t="s">
        <v>129</v>
      </c>
      <c r="D40" s="2" t="s">
        <v>52</v>
      </c>
      <c r="E40" s="2" t="s">
        <v>59</v>
      </c>
      <c r="F40" s="2">
        <v>3564</v>
      </c>
      <c r="G40" s="2">
        <v>629</v>
      </c>
      <c r="H40" s="2">
        <v>177</v>
      </c>
      <c r="I40" s="2">
        <v>60588</v>
      </c>
      <c r="J40" s="2">
        <v>59627</v>
      </c>
      <c r="K40" s="2">
        <v>92</v>
      </c>
      <c r="L40" s="2" t="s">
        <v>30</v>
      </c>
    </row>
    <row r="41" spans="1:13" ht="15.75" customHeight="1" x14ac:dyDescent="0.3">
      <c r="A41" s="2" t="s">
        <v>130</v>
      </c>
      <c r="B41" s="2" t="s">
        <v>14</v>
      </c>
      <c r="C41" s="2" t="s">
        <v>131</v>
      </c>
      <c r="D41" s="2" t="s">
        <v>52</v>
      </c>
      <c r="E41" s="2" t="s">
        <v>132</v>
      </c>
      <c r="F41" s="2">
        <v>4750</v>
      </c>
      <c r="G41" s="2">
        <v>151</v>
      </c>
      <c r="H41" s="2">
        <v>415</v>
      </c>
      <c r="I41" s="2">
        <v>38000</v>
      </c>
      <c r="J41" s="2">
        <v>37792</v>
      </c>
      <c r="K41" s="2">
        <v>299</v>
      </c>
      <c r="L41" s="2" t="s">
        <v>37</v>
      </c>
      <c r="M41" s="2" t="s">
        <v>38</v>
      </c>
    </row>
    <row r="42" spans="1:13" ht="15.75" customHeight="1" x14ac:dyDescent="0.3">
      <c r="A42" s="2" t="s">
        <v>133</v>
      </c>
      <c r="B42" s="2" t="s">
        <v>33</v>
      </c>
      <c r="C42" s="2" t="s">
        <v>134</v>
      </c>
      <c r="D42" s="2" t="s">
        <v>16</v>
      </c>
      <c r="E42" s="2" t="s">
        <v>82</v>
      </c>
      <c r="F42" s="2">
        <v>456</v>
      </c>
      <c r="G42" s="2">
        <v>629</v>
      </c>
      <c r="H42" s="2">
        <v>428</v>
      </c>
      <c r="I42" s="2">
        <v>8208</v>
      </c>
      <c r="J42" s="2">
        <v>7377</v>
      </c>
      <c r="K42" s="2">
        <v>205</v>
      </c>
      <c r="L42" s="2" t="s">
        <v>62</v>
      </c>
      <c r="M42" s="2" t="s">
        <v>38</v>
      </c>
    </row>
    <row r="43" spans="1:13" ht="15.75" customHeight="1" x14ac:dyDescent="0.3">
      <c r="A43" s="2" t="s">
        <v>135</v>
      </c>
      <c r="B43" s="2" t="s">
        <v>27</v>
      </c>
      <c r="C43" s="2" t="s">
        <v>136</v>
      </c>
      <c r="D43" s="2" t="s">
        <v>16</v>
      </c>
      <c r="E43" s="2" t="s">
        <v>29</v>
      </c>
      <c r="F43" s="2">
        <v>1543</v>
      </c>
      <c r="G43" s="2">
        <v>820</v>
      </c>
      <c r="H43" s="2">
        <v>333</v>
      </c>
      <c r="I43" s="2">
        <v>12344</v>
      </c>
      <c r="J43" s="2">
        <v>11496</v>
      </c>
      <c r="K43" s="2">
        <v>241</v>
      </c>
      <c r="L43" s="2" t="s">
        <v>37</v>
      </c>
    </row>
    <row r="44" spans="1:13" ht="15.75" customHeight="1" x14ac:dyDescent="0.3">
      <c r="A44" s="2" t="s">
        <v>137</v>
      </c>
      <c r="B44" s="2" t="s">
        <v>33</v>
      </c>
      <c r="C44" s="2" t="s">
        <v>138</v>
      </c>
      <c r="D44" s="2" t="s">
        <v>45</v>
      </c>
      <c r="E44" s="2" t="s">
        <v>88</v>
      </c>
      <c r="F44" s="2">
        <v>2174</v>
      </c>
      <c r="G44" s="2">
        <v>658</v>
      </c>
      <c r="H44" s="2">
        <v>15</v>
      </c>
      <c r="I44" s="2">
        <v>13044</v>
      </c>
      <c r="J44" s="2">
        <v>12206</v>
      </c>
      <c r="K44" s="2">
        <v>137</v>
      </c>
      <c r="L44" s="2" t="s">
        <v>30</v>
      </c>
      <c r="M44" s="2" t="s">
        <v>31</v>
      </c>
    </row>
    <row r="45" spans="1:13" ht="15.75" customHeight="1" x14ac:dyDescent="0.3">
      <c r="A45" s="2" t="s">
        <v>139</v>
      </c>
      <c r="B45" s="2" t="s">
        <v>14</v>
      </c>
      <c r="C45" s="2" t="s">
        <v>140</v>
      </c>
      <c r="D45" s="2" t="s">
        <v>52</v>
      </c>
      <c r="E45" s="2" t="s">
        <v>132</v>
      </c>
      <c r="F45" s="2">
        <v>2358</v>
      </c>
      <c r="G45" s="2">
        <v>784</v>
      </c>
      <c r="H45" s="2">
        <v>344</v>
      </c>
      <c r="I45" s="2">
        <v>35370</v>
      </c>
      <c r="J45" s="2">
        <v>34475</v>
      </c>
      <c r="K45" s="2">
        <v>216</v>
      </c>
      <c r="L45" s="2" t="s">
        <v>30</v>
      </c>
    </row>
    <row r="46" spans="1:13" ht="15.75" customHeight="1" x14ac:dyDescent="0.3">
      <c r="A46" s="2" t="s">
        <v>141</v>
      </c>
      <c r="B46" s="2" t="s">
        <v>43</v>
      </c>
      <c r="C46" s="2" t="s">
        <v>142</v>
      </c>
      <c r="D46" s="2" t="s">
        <v>74</v>
      </c>
      <c r="E46" s="2" t="s">
        <v>75</v>
      </c>
      <c r="F46" s="2">
        <v>3371</v>
      </c>
      <c r="G46" s="2">
        <v>106</v>
      </c>
      <c r="H46" s="2">
        <v>327</v>
      </c>
      <c r="I46" s="2">
        <v>50565</v>
      </c>
      <c r="J46" s="2">
        <v>49816</v>
      </c>
      <c r="K46" s="2">
        <v>176</v>
      </c>
      <c r="L46" s="2" t="s">
        <v>62</v>
      </c>
      <c r="M46" s="2" t="s">
        <v>19</v>
      </c>
    </row>
    <row r="47" spans="1:13" ht="15.75" customHeight="1" x14ac:dyDescent="0.3">
      <c r="A47" s="2" t="s">
        <v>143</v>
      </c>
      <c r="B47" s="2" t="s">
        <v>14</v>
      </c>
      <c r="C47" s="2" t="s">
        <v>144</v>
      </c>
      <c r="D47" s="2" t="s">
        <v>74</v>
      </c>
      <c r="E47" s="2" t="s">
        <v>145</v>
      </c>
      <c r="F47" s="2">
        <v>1108</v>
      </c>
      <c r="G47" s="2">
        <v>177</v>
      </c>
      <c r="H47" s="2">
        <v>212</v>
      </c>
      <c r="I47" s="2">
        <v>8864</v>
      </c>
      <c r="J47" s="2">
        <v>8710</v>
      </c>
      <c r="K47" s="2">
        <v>97</v>
      </c>
      <c r="L47" s="2" t="s">
        <v>30</v>
      </c>
      <c r="M47" s="2" t="s">
        <v>38</v>
      </c>
    </row>
    <row r="48" spans="1:13" ht="15.75" customHeight="1" x14ac:dyDescent="0.3">
      <c r="A48" s="2" t="s">
        <v>146</v>
      </c>
      <c r="B48" s="2" t="s">
        <v>14</v>
      </c>
      <c r="C48" s="2" t="s">
        <v>147</v>
      </c>
      <c r="D48" s="2" t="s">
        <v>45</v>
      </c>
      <c r="E48" s="2" t="s">
        <v>49</v>
      </c>
      <c r="F48" s="2">
        <v>2704</v>
      </c>
      <c r="G48" s="2">
        <v>752</v>
      </c>
      <c r="H48" s="2">
        <v>153</v>
      </c>
      <c r="I48" s="2">
        <v>21632</v>
      </c>
      <c r="J48" s="2">
        <v>20792</v>
      </c>
      <c r="K48" s="2">
        <v>127</v>
      </c>
      <c r="L48" s="2" t="s">
        <v>62</v>
      </c>
    </row>
    <row r="49" spans="1:13" ht="15.75" customHeight="1" x14ac:dyDescent="0.3">
      <c r="A49" s="2" t="s">
        <v>148</v>
      </c>
      <c r="B49" s="2" t="s">
        <v>14</v>
      </c>
      <c r="C49" s="2" t="s">
        <v>58</v>
      </c>
      <c r="D49" s="2" t="s">
        <v>35</v>
      </c>
      <c r="E49" s="2" t="s">
        <v>149</v>
      </c>
      <c r="F49" s="2">
        <v>1950</v>
      </c>
      <c r="G49" s="2">
        <v>295</v>
      </c>
      <c r="H49" s="2">
        <v>478</v>
      </c>
      <c r="I49" s="2">
        <v>37050</v>
      </c>
      <c r="J49" s="2">
        <v>36272</v>
      </c>
      <c r="K49" s="2">
        <v>119</v>
      </c>
      <c r="L49" s="2" t="s">
        <v>30</v>
      </c>
    </row>
    <row r="50" spans="1:13" ht="15.75" customHeight="1" x14ac:dyDescent="0.3">
      <c r="A50" s="2" t="s">
        <v>150</v>
      </c>
      <c r="B50" s="2" t="s">
        <v>14</v>
      </c>
      <c r="C50" s="2" t="s">
        <v>151</v>
      </c>
      <c r="D50" s="2" t="s">
        <v>35</v>
      </c>
      <c r="E50" s="2" t="s">
        <v>149</v>
      </c>
      <c r="F50" s="2">
        <v>2164</v>
      </c>
      <c r="G50" s="2">
        <v>549</v>
      </c>
      <c r="H50" s="2">
        <v>274</v>
      </c>
      <c r="I50" s="2">
        <v>28132</v>
      </c>
      <c r="J50" s="2">
        <v>27361</v>
      </c>
      <c r="K50" s="2">
        <v>177</v>
      </c>
      <c r="L50" s="2" t="s">
        <v>30</v>
      </c>
      <c r="M50" s="2" t="s">
        <v>38</v>
      </c>
    </row>
    <row r="51" spans="1:13" ht="15.75" customHeight="1" x14ac:dyDescent="0.3">
      <c r="A51" s="2" t="s">
        <v>152</v>
      </c>
      <c r="B51" s="2" t="s">
        <v>27</v>
      </c>
      <c r="C51" s="2" t="s">
        <v>153</v>
      </c>
      <c r="D51" s="2" t="s">
        <v>35</v>
      </c>
      <c r="E51" s="2" t="s">
        <v>154</v>
      </c>
      <c r="F51" s="2">
        <v>2754</v>
      </c>
      <c r="G51" s="2">
        <v>130</v>
      </c>
      <c r="H51" s="2">
        <v>90</v>
      </c>
      <c r="I51" s="2">
        <v>22032</v>
      </c>
      <c r="J51" s="2">
        <v>21288</v>
      </c>
      <c r="K51" s="2">
        <v>112</v>
      </c>
      <c r="L51" s="2" t="s">
        <v>30</v>
      </c>
      <c r="M51" s="2" t="s">
        <v>31</v>
      </c>
    </row>
    <row r="52" spans="1:13" ht="15.75" customHeight="1" x14ac:dyDescent="0.3">
      <c r="A52" s="2" t="s">
        <v>155</v>
      </c>
      <c r="B52" s="2" t="s">
        <v>43</v>
      </c>
      <c r="C52" s="2" t="s">
        <v>156</v>
      </c>
      <c r="D52" s="2" t="s">
        <v>45</v>
      </c>
      <c r="E52" s="2" t="s">
        <v>46</v>
      </c>
      <c r="F52" s="2">
        <v>2200</v>
      </c>
      <c r="G52" s="2">
        <v>504</v>
      </c>
      <c r="H52" s="2">
        <v>239</v>
      </c>
      <c r="I52" s="2">
        <v>37400</v>
      </c>
      <c r="J52" s="2">
        <v>36938</v>
      </c>
      <c r="K52" s="2">
        <v>225</v>
      </c>
      <c r="L52" s="2" t="s">
        <v>62</v>
      </c>
      <c r="M52" s="2" t="s">
        <v>25</v>
      </c>
    </row>
    <row r="53" spans="1:13" ht="15.75" customHeight="1" x14ac:dyDescent="0.3">
      <c r="A53" s="2" t="s">
        <v>157</v>
      </c>
      <c r="B53" s="2" t="s">
        <v>43</v>
      </c>
      <c r="C53" s="2" t="s">
        <v>158</v>
      </c>
      <c r="D53" s="2" t="s">
        <v>52</v>
      </c>
      <c r="E53" s="2" t="s">
        <v>59</v>
      </c>
      <c r="F53" s="2">
        <v>947</v>
      </c>
      <c r="G53" s="2">
        <v>338</v>
      </c>
      <c r="H53" s="2">
        <v>350</v>
      </c>
      <c r="I53" s="2">
        <v>10417</v>
      </c>
      <c r="J53" s="2">
        <v>9730</v>
      </c>
      <c r="K53" s="2">
        <v>34</v>
      </c>
      <c r="L53" s="2" t="s">
        <v>30</v>
      </c>
      <c r="M53" s="2" t="s">
        <v>38</v>
      </c>
    </row>
    <row r="54" spans="1:13" ht="15.75" customHeight="1" x14ac:dyDescent="0.3">
      <c r="A54" s="2" t="s">
        <v>159</v>
      </c>
      <c r="B54" s="2" t="s">
        <v>27</v>
      </c>
      <c r="C54" s="2" t="s">
        <v>147</v>
      </c>
      <c r="D54" s="2" t="s">
        <v>45</v>
      </c>
      <c r="E54" s="2" t="s">
        <v>68</v>
      </c>
      <c r="F54" s="2">
        <v>804</v>
      </c>
      <c r="G54" s="2">
        <v>639</v>
      </c>
      <c r="H54" s="2">
        <v>43</v>
      </c>
      <c r="I54" s="2">
        <v>4020</v>
      </c>
      <c r="J54" s="2">
        <v>3144</v>
      </c>
      <c r="K54" s="2">
        <v>11</v>
      </c>
      <c r="L54" s="2" t="s">
        <v>160</v>
      </c>
    </row>
    <row r="55" spans="1:13" ht="15.75" customHeight="1" x14ac:dyDescent="0.3">
      <c r="A55" s="2" t="s">
        <v>161</v>
      </c>
      <c r="B55" s="2" t="s">
        <v>27</v>
      </c>
      <c r="C55" s="2" t="s">
        <v>162</v>
      </c>
      <c r="D55" s="2" t="s">
        <v>45</v>
      </c>
      <c r="E55" s="2" t="s">
        <v>68</v>
      </c>
      <c r="F55" s="2">
        <v>1686</v>
      </c>
      <c r="G55" s="2">
        <v>904</v>
      </c>
      <c r="H55" s="2">
        <v>472</v>
      </c>
      <c r="I55" s="2">
        <v>18546</v>
      </c>
      <c r="J55" s="2">
        <v>18171</v>
      </c>
      <c r="K55" s="2">
        <v>52</v>
      </c>
      <c r="L55" s="2" t="s">
        <v>62</v>
      </c>
      <c r="M55" s="2" t="s">
        <v>25</v>
      </c>
    </row>
    <row r="56" spans="1:13" ht="15.75" customHeight="1" x14ac:dyDescent="0.3">
      <c r="A56" s="2" t="s">
        <v>163</v>
      </c>
      <c r="B56" s="2" t="s">
        <v>43</v>
      </c>
      <c r="C56" s="2" t="s">
        <v>164</v>
      </c>
      <c r="D56" s="2" t="s">
        <v>52</v>
      </c>
      <c r="E56" s="2" t="s">
        <v>59</v>
      </c>
      <c r="F56" s="2">
        <v>1226</v>
      </c>
      <c r="G56" s="2">
        <v>119</v>
      </c>
      <c r="H56" s="2">
        <v>7</v>
      </c>
      <c r="I56" s="2">
        <v>14712</v>
      </c>
      <c r="J56" s="2">
        <v>14049</v>
      </c>
      <c r="K56" s="2">
        <v>123</v>
      </c>
      <c r="L56" s="2" t="s">
        <v>37</v>
      </c>
      <c r="M56" s="2" t="s">
        <v>38</v>
      </c>
    </row>
    <row r="57" spans="1:13" ht="15.75" customHeight="1" x14ac:dyDescent="0.3">
      <c r="A57" s="2" t="s">
        <v>165</v>
      </c>
      <c r="B57" s="2" t="s">
        <v>43</v>
      </c>
      <c r="C57" s="2" t="s">
        <v>166</v>
      </c>
      <c r="D57" s="2" t="s">
        <v>45</v>
      </c>
      <c r="E57" s="2" t="s">
        <v>46</v>
      </c>
      <c r="F57" s="2">
        <v>2946</v>
      </c>
      <c r="G57" s="2">
        <v>498</v>
      </c>
      <c r="H57" s="2">
        <v>367</v>
      </c>
      <c r="I57" s="2">
        <v>29460</v>
      </c>
      <c r="J57" s="2">
        <v>28527</v>
      </c>
      <c r="K57" s="2">
        <v>60</v>
      </c>
      <c r="L57" s="2" t="s">
        <v>62</v>
      </c>
      <c r="M57" s="2" t="s">
        <v>31</v>
      </c>
    </row>
    <row r="58" spans="1:13" ht="15.75" customHeight="1" x14ac:dyDescent="0.3">
      <c r="A58" s="2" t="s">
        <v>167</v>
      </c>
      <c r="B58" s="2" t="s">
        <v>14</v>
      </c>
      <c r="C58" s="2" t="s">
        <v>168</v>
      </c>
      <c r="D58" s="2" t="s">
        <v>74</v>
      </c>
      <c r="E58" s="2" t="s">
        <v>145</v>
      </c>
      <c r="F58" s="2">
        <v>2825</v>
      </c>
      <c r="G58" s="2">
        <v>535</v>
      </c>
      <c r="H58" s="2">
        <v>295</v>
      </c>
      <c r="I58" s="2">
        <v>45200</v>
      </c>
      <c r="J58" s="2">
        <v>44739</v>
      </c>
      <c r="K58" s="2">
        <v>169</v>
      </c>
      <c r="L58" s="2" t="s">
        <v>30</v>
      </c>
      <c r="M58" s="2" t="s">
        <v>19</v>
      </c>
    </row>
    <row r="59" spans="1:13" ht="15.75" customHeight="1" x14ac:dyDescent="0.3">
      <c r="A59" s="2" t="s">
        <v>169</v>
      </c>
      <c r="B59" s="2" t="s">
        <v>33</v>
      </c>
      <c r="C59" s="2" t="s">
        <v>170</v>
      </c>
      <c r="D59" s="2" t="s">
        <v>16</v>
      </c>
      <c r="E59" s="2" t="s">
        <v>82</v>
      </c>
      <c r="F59" s="2">
        <v>103</v>
      </c>
      <c r="G59" s="2">
        <v>770</v>
      </c>
      <c r="H59" s="2">
        <v>19</v>
      </c>
      <c r="I59" s="2">
        <v>1030</v>
      </c>
      <c r="J59" s="2">
        <v>410</v>
      </c>
      <c r="K59" s="2">
        <v>262</v>
      </c>
      <c r="L59" s="2" t="s">
        <v>30</v>
      </c>
      <c r="M59" s="2" t="s">
        <v>38</v>
      </c>
    </row>
    <row r="60" spans="1:13" ht="15.75" customHeight="1" x14ac:dyDescent="0.3">
      <c r="A60" s="2" t="s">
        <v>171</v>
      </c>
      <c r="B60" s="2" t="s">
        <v>33</v>
      </c>
      <c r="C60" s="2" t="s">
        <v>172</v>
      </c>
      <c r="D60" s="2" t="s">
        <v>22</v>
      </c>
      <c r="E60" s="2" t="s">
        <v>113</v>
      </c>
      <c r="F60" s="2">
        <v>2180</v>
      </c>
      <c r="G60" s="2">
        <v>263</v>
      </c>
      <c r="H60" s="2">
        <v>387</v>
      </c>
      <c r="I60" s="2">
        <v>30520</v>
      </c>
      <c r="J60" s="2">
        <v>30059</v>
      </c>
      <c r="K60" s="2">
        <v>174</v>
      </c>
      <c r="L60" s="2" t="s">
        <v>37</v>
      </c>
    </row>
    <row r="61" spans="1:13" ht="15.75" customHeight="1" x14ac:dyDescent="0.3">
      <c r="A61" s="2" t="s">
        <v>173</v>
      </c>
      <c r="B61" s="2" t="s">
        <v>33</v>
      </c>
      <c r="C61" s="2" t="s">
        <v>174</v>
      </c>
      <c r="D61" s="2" t="s">
        <v>74</v>
      </c>
      <c r="E61" s="2" t="s">
        <v>85</v>
      </c>
      <c r="F61" s="2">
        <v>904</v>
      </c>
      <c r="G61" s="2">
        <v>973</v>
      </c>
      <c r="H61" s="2">
        <v>63</v>
      </c>
      <c r="I61" s="2">
        <v>11752</v>
      </c>
      <c r="J61" s="2">
        <v>11580</v>
      </c>
      <c r="K61" s="2">
        <v>84</v>
      </c>
      <c r="L61" s="2" t="s">
        <v>175</v>
      </c>
      <c r="M61" s="2" t="s">
        <v>31</v>
      </c>
    </row>
    <row r="62" spans="1:13" ht="15.75" customHeight="1" x14ac:dyDescent="0.3">
      <c r="A62" s="2" t="s">
        <v>176</v>
      </c>
      <c r="B62" s="2" t="s">
        <v>14</v>
      </c>
      <c r="C62" s="2" t="s">
        <v>177</v>
      </c>
      <c r="D62" s="2" t="s">
        <v>74</v>
      </c>
      <c r="E62" s="2" t="s">
        <v>145</v>
      </c>
      <c r="F62" s="2">
        <v>4886</v>
      </c>
      <c r="G62" s="2">
        <v>983</v>
      </c>
      <c r="H62" s="2">
        <v>409</v>
      </c>
      <c r="I62" s="2">
        <v>43974</v>
      </c>
      <c r="J62" s="2">
        <v>43239</v>
      </c>
      <c r="K62" s="2">
        <v>65</v>
      </c>
      <c r="L62" s="2" t="s">
        <v>30</v>
      </c>
      <c r="M62" s="2" t="s">
        <v>19</v>
      </c>
    </row>
    <row r="63" spans="1:13" ht="15.75" customHeight="1" x14ac:dyDescent="0.3">
      <c r="A63" s="2" t="s">
        <v>178</v>
      </c>
      <c r="B63" s="2" t="s">
        <v>14</v>
      </c>
      <c r="C63" s="2" t="s">
        <v>179</v>
      </c>
      <c r="D63" s="2" t="s">
        <v>45</v>
      </c>
      <c r="E63" s="2" t="s">
        <v>49</v>
      </c>
      <c r="F63" s="2">
        <v>53</v>
      </c>
      <c r="G63" s="2">
        <v>81</v>
      </c>
      <c r="H63" s="2">
        <v>379</v>
      </c>
      <c r="I63" s="2">
        <v>954</v>
      </c>
      <c r="J63" s="2">
        <v>7</v>
      </c>
      <c r="K63" s="2">
        <v>148</v>
      </c>
      <c r="L63" s="2" t="s">
        <v>30</v>
      </c>
      <c r="M63" s="2" t="s">
        <v>31</v>
      </c>
    </row>
    <row r="64" spans="1:13" ht="15.75" customHeight="1" x14ac:dyDescent="0.3">
      <c r="A64" s="2" t="s">
        <v>180</v>
      </c>
      <c r="B64" s="2" t="s">
        <v>14</v>
      </c>
      <c r="C64" s="2" t="s">
        <v>115</v>
      </c>
      <c r="D64" s="2" t="s">
        <v>45</v>
      </c>
      <c r="E64" s="2" t="s">
        <v>49</v>
      </c>
      <c r="F64" s="2">
        <v>4507</v>
      </c>
      <c r="G64" s="2">
        <v>217</v>
      </c>
      <c r="H64" s="2">
        <v>13</v>
      </c>
      <c r="I64" s="2">
        <v>90140</v>
      </c>
      <c r="J64" s="2">
        <v>89591</v>
      </c>
      <c r="K64" s="2">
        <v>125</v>
      </c>
      <c r="L64" s="2" t="s">
        <v>62</v>
      </c>
      <c r="M64" s="2" t="s">
        <v>31</v>
      </c>
    </row>
    <row r="65" spans="1:13" ht="15.75" customHeight="1" x14ac:dyDescent="0.3">
      <c r="A65" s="2" t="s">
        <v>181</v>
      </c>
      <c r="B65" s="2" t="s">
        <v>43</v>
      </c>
      <c r="C65" s="2" t="s">
        <v>182</v>
      </c>
      <c r="D65" s="2" t="s">
        <v>52</v>
      </c>
      <c r="E65" s="2" t="s">
        <v>59</v>
      </c>
      <c r="F65" s="2">
        <v>2878</v>
      </c>
      <c r="G65" s="2">
        <v>248</v>
      </c>
      <c r="H65" s="2">
        <v>416</v>
      </c>
      <c r="I65" s="2">
        <v>43170</v>
      </c>
      <c r="J65" s="2">
        <v>42667</v>
      </c>
      <c r="K65" s="2">
        <v>75</v>
      </c>
      <c r="L65" s="2" t="s">
        <v>62</v>
      </c>
      <c r="M65" s="2" t="s">
        <v>31</v>
      </c>
    </row>
    <row r="66" spans="1:13" ht="15.75" customHeight="1" x14ac:dyDescent="0.3">
      <c r="A66" s="2" t="s">
        <v>183</v>
      </c>
      <c r="B66" s="2" t="s">
        <v>33</v>
      </c>
      <c r="C66" s="2" t="s">
        <v>184</v>
      </c>
      <c r="D66" s="2" t="s">
        <v>35</v>
      </c>
      <c r="E66" s="2" t="s">
        <v>36</v>
      </c>
      <c r="F66" s="2">
        <v>1881</v>
      </c>
      <c r="G66" s="2">
        <v>501</v>
      </c>
      <c r="H66" s="2">
        <v>99</v>
      </c>
      <c r="I66" s="2">
        <v>20691</v>
      </c>
      <c r="J66" s="2">
        <v>19987</v>
      </c>
      <c r="K66" s="2">
        <v>289</v>
      </c>
      <c r="L66" s="2" t="s">
        <v>37</v>
      </c>
    </row>
    <row r="67" spans="1:13" ht="15.75" customHeight="1" x14ac:dyDescent="0.3">
      <c r="A67" s="2" t="s">
        <v>185</v>
      </c>
      <c r="B67" s="2" t="s">
        <v>14</v>
      </c>
      <c r="C67" s="2" t="s">
        <v>186</v>
      </c>
      <c r="D67" s="2" t="s">
        <v>45</v>
      </c>
      <c r="E67" s="2" t="s">
        <v>49</v>
      </c>
      <c r="F67" s="2">
        <v>432</v>
      </c>
      <c r="G67" s="2">
        <v>171</v>
      </c>
      <c r="H67" s="2">
        <v>280</v>
      </c>
      <c r="I67" s="2">
        <v>3024</v>
      </c>
      <c r="J67" s="2">
        <v>2285</v>
      </c>
      <c r="K67" s="2">
        <v>184</v>
      </c>
      <c r="L67" s="2" t="s">
        <v>37</v>
      </c>
      <c r="M67" s="2" t="s">
        <v>19</v>
      </c>
    </row>
    <row r="68" spans="1:13" ht="15.75" customHeight="1" x14ac:dyDescent="0.3">
      <c r="A68" s="2" t="s">
        <v>187</v>
      </c>
      <c r="B68" s="2" t="s">
        <v>43</v>
      </c>
      <c r="C68" s="2" t="s">
        <v>188</v>
      </c>
      <c r="D68" s="2" t="s">
        <v>45</v>
      </c>
      <c r="E68" s="2" t="s">
        <v>46</v>
      </c>
      <c r="F68" s="2">
        <v>4712</v>
      </c>
      <c r="G68" s="2">
        <v>568</v>
      </c>
      <c r="H68" s="2">
        <v>127</v>
      </c>
      <c r="I68" s="2">
        <v>84816</v>
      </c>
      <c r="J68" s="2">
        <v>84691</v>
      </c>
      <c r="K68" s="2">
        <v>100</v>
      </c>
      <c r="L68" s="2" t="s">
        <v>37</v>
      </c>
      <c r="M68" s="2" t="s">
        <v>31</v>
      </c>
    </row>
    <row r="69" spans="1:13" ht="15.75" customHeight="1" x14ac:dyDescent="0.3">
      <c r="A69" s="2" t="s">
        <v>189</v>
      </c>
      <c r="B69" s="2" t="s">
        <v>33</v>
      </c>
      <c r="C69" s="2" t="s">
        <v>190</v>
      </c>
      <c r="D69" s="2" t="s">
        <v>35</v>
      </c>
      <c r="E69" s="2" t="s">
        <v>36</v>
      </c>
      <c r="F69" s="2">
        <v>2610</v>
      </c>
      <c r="G69" s="2">
        <v>126</v>
      </c>
      <c r="H69" s="2">
        <v>288</v>
      </c>
      <c r="I69" s="2">
        <v>15660</v>
      </c>
      <c r="J69" s="2">
        <v>15145</v>
      </c>
      <c r="K69" s="2">
        <v>73</v>
      </c>
      <c r="L69" s="2" t="s">
        <v>37</v>
      </c>
    </row>
    <row r="70" spans="1:13" ht="15.75" customHeight="1" x14ac:dyDescent="0.3">
      <c r="A70" s="2" t="s">
        <v>191</v>
      </c>
      <c r="B70" s="2" t="s">
        <v>14</v>
      </c>
      <c r="C70" s="2" t="s">
        <v>134</v>
      </c>
      <c r="D70" s="2" t="s">
        <v>22</v>
      </c>
      <c r="E70" s="2" t="s">
        <v>23</v>
      </c>
      <c r="F70" s="2">
        <v>1292</v>
      </c>
      <c r="G70" s="2">
        <v>626</v>
      </c>
      <c r="H70" s="2">
        <v>496</v>
      </c>
      <c r="I70" s="2">
        <v>25840</v>
      </c>
      <c r="J70" s="2">
        <v>24916</v>
      </c>
      <c r="K70" s="2">
        <v>149</v>
      </c>
      <c r="L70" s="2" t="s">
        <v>62</v>
      </c>
      <c r="M70" s="2" t="s">
        <v>31</v>
      </c>
    </row>
    <row r="71" spans="1:13" ht="15.75" customHeight="1" x14ac:dyDescent="0.3">
      <c r="A71" s="2" t="s">
        <v>192</v>
      </c>
      <c r="B71" s="2" t="s">
        <v>43</v>
      </c>
      <c r="C71" s="2" t="s">
        <v>193</v>
      </c>
      <c r="D71" s="2" t="s">
        <v>74</v>
      </c>
      <c r="E71" s="2" t="s">
        <v>75</v>
      </c>
      <c r="F71" s="2">
        <v>199</v>
      </c>
      <c r="G71" s="2">
        <v>772</v>
      </c>
      <c r="H71" s="2">
        <v>400</v>
      </c>
      <c r="I71" s="2">
        <v>3582</v>
      </c>
      <c r="J71" s="2">
        <v>2988</v>
      </c>
      <c r="K71" s="2">
        <v>43</v>
      </c>
      <c r="L71" s="2" t="s">
        <v>30</v>
      </c>
    </row>
    <row r="72" spans="1:13" ht="15.75" customHeight="1" x14ac:dyDescent="0.3">
      <c r="A72" s="2" t="s">
        <v>194</v>
      </c>
      <c r="B72" s="2" t="s">
        <v>27</v>
      </c>
      <c r="C72" s="2" t="s">
        <v>195</v>
      </c>
      <c r="D72" s="2" t="s">
        <v>45</v>
      </c>
      <c r="E72" s="2" t="s">
        <v>68</v>
      </c>
      <c r="F72" s="2">
        <v>2551</v>
      </c>
      <c r="G72" s="2">
        <v>915</v>
      </c>
      <c r="H72" s="2">
        <v>205</v>
      </c>
      <c r="I72" s="2">
        <v>30612</v>
      </c>
      <c r="J72" s="2">
        <v>30360</v>
      </c>
      <c r="K72" s="2">
        <v>227</v>
      </c>
      <c r="L72" s="2" t="s">
        <v>30</v>
      </c>
      <c r="M72" s="2" t="s">
        <v>25</v>
      </c>
    </row>
    <row r="73" spans="1:13" ht="15.75" customHeight="1" x14ac:dyDescent="0.3">
      <c r="A73" s="2" t="s">
        <v>196</v>
      </c>
      <c r="B73" s="2" t="s">
        <v>27</v>
      </c>
      <c r="C73" s="2" t="s">
        <v>197</v>
      </c>
      <c r="D73" s="2" t="s">
        <v>16</v>
      </c>
      <c r="E73" s="2" t="s">
        <v>29</v>
      </c>
      <c r="F73" s="2">
        <v>296</v>
      </c>
      <c r="G73" s="2">
        <v>60</v>
      </c>
      <c r="H73" s="2">
        <v>141</v>
      </c>
      <c r="I73" s="2">
        <v>5624</v>
      </c>
      <c r="J73" s="2">
        <v>5239</v>
      </c>
      <c r="K73" s="2">
        <v>88</v>
      </c>
      <c r="L73" s="2" t="s">
        <v>37</v>
      </c>
      <c r="M73" s="2" t="s">
        <v>25</v>
      </c>
    </row>
    <row r="74" spans="1:13" ht="15.75" customHeight="1" x14ac:dyDescent="0.3">
      <c r="A74" s="2" t="s">
        <v>198</v>
      </c>
      <c r="B74" s="2" t="s">
        <v>43</v>
      </c>
      <c r="C74" s="2" t="s">
        <v>199</v>
      </c>
      <c r="D74" s="2" t="s">
        <v>35</v>
      </c>
      <c r="E74" s="2" t="s">
        <v>71</v>
      </c>
      <c r="F74" s="2">
        <v>4126</v>
      </c>
      <c r="G74" s="2">
        <v>426</v>
      </c>
      <c r="H74" s="2">
        <v>486</v>
      </c>
      <c r="I74" s="2">
        <v>78394</v>
      </c>
      <c r="J74" s="2">
        <v>77798</v>
      </c>
      <c r="K74" s="2">
        <v>88</v>
      </c>
      <c r="L74" s="2" t="s">
        <v>62</v>
      </c>
      <c r="M74" s="2" t="s">
        <v>38</v>
      </c>
    </row>
    <row r="75" spans="1:13" ht="15.75" customHeight="1" x14ac:dyDescent="0.3">
      <c r="A75" s="2" t="s">
        <v>200</v>
      </c>
      <c r="B75" s="2" t="s">
        <v>27</v>
      </c>
      <c r="C75" s="2" t="s">
        <v>201</v>
      </c>
      <c r="D75" s="2" t="s">
        <v>16</v>
      </c>
      <c r="E75" s="2" t="s">
        <v>29</v>
      </c>
      <c r="F75" s="2">
        <v>1855</v>
      </c>
      <c r="G75" s="2">
        <v>200</v>
      </c>
      <c r="H75" s="2">
        <v>174</v>
      </c>
      <c r="I75" s="2">
        <v>16695</v>
      </c>
      <c r="J75" s="2">
        <v>16330</v>
      </c>
      <c r="K75" s="2">
        <v>123</v>
      </c>
      <c r="L75" s="2" t="s">
        <v>30</v>
      </c>
      <c r="M75" s="2" t="s">
        <v>31</v>
      </c>
    </row>
    <row r="76" spans="1:13" ht="15.75" customHeight="1" x14ac:dyDescent="0.3">
      <c r="A76" s="2" t="s">
        <v>202</v>
      </c>
      <c r="B76" s="2" t="s">
        <v>33</v>
      </c>
      <c r="C76" s="2" t="s">
        <v>203</v>
      </c>
      <c r="D76" s="2" t="s">
        <v>16</v>
      </c>
      <c r="E76" s="2" t="s">
        <v>82</v>
      </c>
      <c r="F76" s="2">
        <v>1674</v>
      </c>
      <c r="G76" s="2">
        <v>929</v>
      </c>
      <c r="H76" s="2">
        <v>37</v>
      </c>
      <c r="I76" s="2">
        <v>21762</v>
      </c>
      <c r="J76" s="2">
        <v>20998</v>
      </c>
      <c r="K76" s="2">
        <v>255</v>
      </c>
      <c r="L76" s="2" t="s">
        <v>30</v>
      </c>
      <c r="M76" s="2" t="s">
        <v>38</v>
      </c>
    </row>
    <row r="77" spans="1:13" ht="15.75" customHeight="1" x14ac:dyDescent="0.3">
      <c r="A77" s="2" t="s">
        <v>204</v>
      </c>
      <c r="B77" s="2" t="s">
        <v>14</v>
      </c>
      <c r="C77" s="2" t="s">
        <v>205</v>
      </c>
      <c r="D77" s="2" t="s">
        <v>35</v>
      </c>
      <c r="E77" s="2" t="s">
        <v>149</v>
      </c>
      <c r="F77" s="2">
        <v>1121</v>
      </c>
      <c r="G77" s="2">
        <v>135</v>
      </c>
      <c r="H77" s="2">
        <v>18</v>
      </c>
      <c r="I77" s="2">
        <v>15694</v>
      </c>
      <c r="J77" s="2">
        <v>14957</v>
      </c>
      <c r="K77" s="2">
        <v>99</v>
      </c>
      <c r="L77" s="2" t="s">
        <v>30</v>
      </c>
      <c r="M77" s="2" t="s">
        <v>38</v>
      </c>
    </row>
    <row r="78" spans="1:13" ht="15.75" customHeight="1" x14ac:dyDescent="0.3">
      <c r="A78" s="2" t="s">
        <v>206</v>
      </c>
      <c r="B78" s="2" t="s">
        <v>43</v>
      </c>
      <c r="C78" s="2" t="s">
        <v>106</v>
      </c>
      <c r="D78" s="2" t="s">
        <v>35</v>
      </c>
      <c r="E78" s="2" t="s">
        <v>71</v>
      </c>
      <c r="F78" s="2">
        <v>1249</v>
      </c>
      <c r="G78" s="2">
        <v>116</v>
      </c>
      <c r="H78" s="2">
        <v>420</v>
      </c>
      <c r="I78" s="2">
        <v>8743</v>
      </c>
      <c r="J78" s="2">
        <v>8538</v>
      </c>
      <c r="K78" s="2">
        <v>63</v>
      </c>
      <c r="L78" s="2" t="s">
        <v>30</v>
      </c>
    </row>
    <row r="79" spans="1:13" ht="15.75" customHeight="1" x14ac:dyDescent="0.3">
      <c r="A79" s="2" t="s">
        <v>207</v>
      </c>
      <c r="B79" s="2" t="s">
        <v>14</v>
      </c>
      <c r="C79" s="2" t="s">
        <v>164</v>
      </c>
      <c r="D79" s="2" t="s">
        <v>52</v>
      </c>
      <c r="E79" s="2" t="s">
        <v>132</v>
      </c>
      <c r="F79" s="2">
        <v>954</v>
      </c>
      <c r="G79" s="2">
        <v>324</v>
      </c>
      <c r="H79" s="2">
        <v>288</v>
      </c>
      <c r="I79" s="2">
        <v>19080</v>
      </c>
      <c r="J79" s="2">
        <v>18859</v>
      </c>
      <c r="K79" s="2">
        <v>21</v>
      </c>
      <c r="L79" s="2" t="s">
        <v>62</v>
      </c>
      <c r="M79" s="2" t="s">
        <v>38</v>
      </c>
    </row>
    <row r="80" spans="1:13" ht="15.75" customHeight="1" x14ac:dyDescent="0.3">
      <c r="A80" s="2" t="s">
        <v>208</v>
      </c>
      <c r="B80" s="2" t="s">
        <v>33</v>
      </c>
      <c r="C80" s="2" t="s">
        <v>209</v>
      </c>
      <c r="D80" s="2" t="s">
        <v>45</v>
      </c>
      <c r="E80" s="2" t="s">
        <v>88</v>
      </c>
      <c r="F80" s="2">
        <v>3068</v>
      </c>
      <c r="G80" s="2">
        <v>137</v>
      </c>
      <c r="H80" s="2">
        <v>329</v>
      </c>
      <c r="I80" s="2">
        <v>39884</v>
      </c>
      <c r="J80" s="2">
        <v>39404</v>
      </c>
      <c r="K80" s="2">
        <v>266</v>
      </c>
      <c r="L80" s="2" t="s">
        <v>37</v>
      </c>
      <c r="M80" s="2" t="s">
        <v>25</v>
      </c>
    </row>
    <row r="81" spans="1:13" ht="15.75" customHeight="1" x14ac:dyDescent="0.3">
      <c r="A81" s="2" t="s">
        <v>210</v>
      </c>
      <c r="B81" s="2" t="s">
        <v>33</v>
      </c>
      <c r="C81" s="2" t="s">
        <v>156</v>
      </c>
      <c r="D81" s="2" t="s">
        <v>35</v>
      </c>
      <c r="E81" s="2" t="s">
        <v>36</v>
      </c>
      <c r="F81" s="2">
        <v>2103</v>
      </c>
      <c r="G81" s="2">
        <v>892</v>
      </c>
      <c r="H81" s="2">
        <v>103</v>
      </c>
      <c r="I81" s="2">
        <v>39957</v>
      </c>
      <c r="J81" s="2">
        <v>39466</v>
      </c>
      <c r="K81" s="2">
        <v>28</v>
      </c>
      <c r="L81" s="2" t="s">
        <v>62</v>
      </c>
    </row>
    <row r="82" spans="1:13" ht="15.75" customHeight="1" x14ac:dyDescent="0.3">
      <c r="A82" s="2" t="s">
        <v>211</v>
      </c>
      <c r="B82" s="2" t="s">
        <v>33</v>
      </c>
      <c r="C82" s="2" t="s">
        <v>212</v>
      </c>
      <c r="D82" s="2" t="s">
        <v>35</v>
      </c>
      <c r="E82" s="2" t="s">
        <v>36</v>
      </c>
      <c r="F82" s="2">
        <v>1816</v>
      </c>
      <c r="G82" s="2">
        <v>29</v>
      </c>
      <c r="H82" s="2">
        <v>41</v>
      </c>
      <c r="I82" s="2">
        <v>19976</v>
      </c>
      <c r="J82" s="2">
        <v>19262</v>
      </c>
      <c r="K82" s="2">
        <v>283</v>
      </c>
      <c r="L82" s="2" t="s">
        <v>30</v>
      </c>
      <c r="M82" s="2" t="s">
        <v>31</v>
      </c>
    </row>
    <row r="83" spans="1:13" ht="15.75" customHeight="1" x14ac:dyDescent="0.3">
      <c r="A83" s="2" t="s">
        <v>213</v>
      </c>
      <c r="B83" s="2" t="s">
        <v>33</v>
      </c>
      <c r="C83" s="2" t="s">
        <v>214</v>
      </c>
      <c r="D83" s="2" t="s">
        <v>52</v>
      </c>
      <c r="E83" s="2" t="s">
        <v>215</v>
      </c>
      <c r="F83" s="2">
        <v>725</v>
      </c>
      <c r="G83" s="2">
        <v>88</v>
      </c>
      <c r="H83" s="2">
        <v>428</v>
      </c>
      <c r="I83" s="2">
        <v>14500</v>
      </c>
      <c r="J83" s="2">
        <v>13637</v>
      </c>
      <c r="K83" s="2">
        <v>200</v>
      </c>
      <c r="L83" s="2" t="s">
        <v>216</v>
      </c>
      <c r="M83" s="2" t="s">
        <v>31</v>
      </c>
    </row>
    <row r="84" spans="1:13" ht="15.75" customHeight="1" x14ac:dyDescent="0.3">
      <c r="A84" s="2" t="s">
        <v>217</v>
      </c>
      <c r="B84" s="2" t="s">
        <v>27</v>
      </c>
      <c r="C84" s="2" t="s">
        <v>218</v>
      </c>
      <c r="D84" s="2" t="s">
        <v>74</v>
      </c>
      <c r="E84" s="2" t="s">
        <v>219</v>
      </c>
      <c r="F84" s="2">
        <v>1094</v>
      </c>
      <c r="G84" s="2">
        <v>472</v>
      </c>
      <c r="H84" s="2">
        <v>21</v>
      </c>
      <c r="I84" s="2">
        <v>9846</v>
      </c>
      <c r="J84" s="2">
        <v>9609</v>
      </c>
      <c r="K84" s="2">
        <v>112</v>
      </c>
      <c r="L84" s="2" t="s">
        <v>37</v>
      </c>
    </row>
    <row r="85" spans="1:13" ht="15.75" customHeight="1" x14ac:dyDescent="0.3">
      <c r="A85" s="2" t="s">
        <v>220</v>
      </c>
      <c r="B85" s="2" t="s">
        <v>43</v>
      </c>
      <c r="C85" s="2" t="s">
        <v>221</v>
      </c>
      <c r="D85" s="2" t="s">
        <v>52</v>
      </c>
      <c r="E85" s="2" t="s">
        <v>59</v>
      </c>
      <c r="F85" s="2">
        <v>1841</v>
      </c>
      <c r="G85" s="2">
        <v>851</v>
      </c>
      <c r="H85" s="2">
        <v>342</v>
      </c>
      <c r="I85" s="2">
        <v>34979</v>
      </c>
      <c r="J85" s="2">
        <v>34154</v>
      </c>
      <c r="K85" s="2">
        <v>255</v>
      </c>
      <c r="L85" s="2" t="s">
        <v>62</v>
      </c>
      <c r="M85" s="2" t="s">
        <v>38</v>
      </c>
    </row>
    <row r="86" spans="1:13" ht="15.75" customHeight="1" x14ac:dyDescent="0.3">
      <c r="A86" s="2" t="s">
        <v>222</v>
      </c>
      <c r="B86" s="2" t="s">
        <v>33</v>
      </c>
      <c r="C86" s="2" t="s">
        <v>123</v>
      </c>
      <c r="D86" s="2" t="s">
        <v>52</v>
      </c>
      <c r="E86" s="2" t="s">
        <v>215</v>
      </c>
      <c r="F86" s="2">
        <v>4177</v>
      </c>
      <c r="G86" s="2">
        <v>569</v>
      </c>
      <c r="H86" s="2">
        <v>55</v>
      </c>
      <c r="I86" s="2">
        <v>25062</v>
      </c>
      <c r="J86" s="2">
        <v>24847</v>
      </c>
      <c r="K86" s="2">
        <v>230</v>
      </c>
      <c r="L86" s="2" t="s">
        <v>62</v>
      </c>
      <c r="M86" s="2" t="s">
        <v>19</v>
      </c>
    </row>
    <row r="87" spans="1:13" ht="15.75" customHeight="1" x14ac:dyDescent="0.3">
      <c r="A87" s="2" t="s">
        <v>223</v>
      </c>
      <c r="B87" s="2" t="s">
        <v>27</v>
      </c>
      <c r="C87" s="2" t="s">
        <v>224</v>
      </c>
      <c r="D87" s="2" t="s">
        <v>22</v>
      </c>
      <c r="E87" s="2" t="s">
        <v>104</v>
      </c>
      <c r="F87" s="2">
        <v>3428</v>
      </c>
      <c r="G87" s="2">
        <v>305</v>
      </c>
      <c r="H87" s="2">
        <v>85</v>
      </c>
      <c r="I87" s="2">
        <v>58276</v>
      </c>
      <c r="J87" s="2">
        <v>58052</v>
      </c>
      <c r="K87" s="2">
        <v>242</v>
      </c>
      <c r="L87" s="2" t="s">
        <v>160</v>
      </c>
      <c r="M87" s="2" t="s">
        <v>38</v>
      </c>
    </row>
    <row r="88" spans="1:13" ht="15.75" customHeight="1" x14ac:dyDescent="0.3">
      <c r="A88" s="2" t="s">
        <v>225</v>
      </c>
      <c r="B88" s="2" t="s">
        <v>14</v>
      </c>
      <c r="C88" s="2" t="s">
        <v>226</v>
      </c>
      <c r="D88" s="2" t="s">
        <v>74</v>
      </c>
      <c r="E88" s="2" t="s">
        <v>145</v>
      </c>
      <c r="F88" s="2">
        <v>1436</v>
      </c>
      <c r="G88" s="2">
        <v>765</v>
      </c>
      <c r="H88" s="2">
        <v>496</v>
      </c>
      <c r="I88" s="2">
        <v>12924</v>
      </c>
      <c r="J88" s="2">
        <v>12701</v>
      </c>
      <c r="K88" s="2">
        <v>197</v>
      </c>
      <c r="L88" s="2" t="s">
        <v>62</v>
      </c>
      <c r="M88" s="2" t="s">
        <v>31</v>
      </c>
    </row>
    <row r="89" spans="1:13" ht="15.75" customHeight="1" x14ac:dyDescent="0.3">
      <c r="A89" s="2" t="s">
        <v>227</v>
      </c>
      <c r="B89" s="2" t="s">
        <v>43</v>
      </c>
      <c r="C89" s="2" t="s">
        <v>228</v>
      </c>
      <c r="D89" s="2" t="s">
        <v>35</v>
      </c>
      <c r="E89" s="2" t="s">
        <v>71</v>
      </c>
      <c r="F89" s="2">
        <v>302</v>
      </c>
      <c r="G89" s="2">
        <v>47</v>
      </c>
      <c r="H89" s="2">
        <v>430</v>
      </c>
      <c r="I89" s="2">
        <v>5738</v>
      </c>
      <c r="J89" s="2">
        <v>4890</v>
      </c>
      <c r="K89" s="2">
        <v>25</v>
      </c>
      <c r="L89" s="2" t="s">
        <v>30</v>
      </c>
      <c r="M89" s="2" t="s">
        <v>38</v>
      </c>
    </row>
    <row r="90" spans="1:13" ht="15.75" customHeight="1" x14ac:dyDescent="0.3">
      <c r="A90" s="2" t="s">
        <v>229</v>
      </c>
      <c r="B90" s="2" t="s">
        <v>14</v>
      </c>
      <c r="C90" s="2" t="s">
        <v>230</v>
      </c>
      <c r="D90" s="2" t="s">
        <v>52</v>
      </c>
      <c r="E90" s="2" t="s">
        <v>132</v>
      </c>
      <c r="F90" s="2">
        <v>2214</v>
      </c>
      <c r="G90" s="2">
        <v>249</v>
      </c>
      <c r="H90" s="2">
        <v>152</v>
      </c>
      <c r="I90" s="2">
        <v>15498</v>
      </c>
      <c r="J90" s="2">
        <v>14800</v>
      </c>
      <c r="K90" s="2">
        <v>180</v>
      </c>
      <c r="L90" s="2" t="s">
        <v>37</v>
      </c>
    </row>
    <row r="91" spans="1:13" ht="15.75" customHeight="1" x14ac:dyDescent="0.3">
      <c r="A91" s="2" t="s">
        <v>231</v>
      </c>
      <c r="B91" s="2" t="s">
        <v>33</v>
      </c>
      <c r="C91" s="2" t="s">
        <v>232</v>
      </c>
      <c r="D91" s="2" t="s">
        <v>52</v>
      </c>
      <c r="E91" s="2" t="s">
        <v>215</v>
      </c>
      <c r="F91" s="2">
        <v>3861</v>
      </c>
      <c r="G91" s="2">
        <v>960</v>
      </c>
      <c r="H91" s="2">
        <v>101</v>
      </c>
      <c r="I91" s="2">
        <v>69498</v>
      </c>
      <c r="J91" s="2">
        <v>68817</v>
      </c>
      <c r="K91" s="2">
        <v>297</v>
      </c>
      <c r="L91" s="2" t="s">
        <v>30</v>
      </c>
      <c r="M91" s="2" t="s">
        <v>38</v>
      </c>
    </row>
    <row r="92" spans="1:13" ht="15.75" customHeight="1" x14ac:dyDescent="0.3">
      <c r="A92" s="2" t="s">
        <v>233</v>
      </c>
      <c r="B92" s="2" t="s">
        <v>43</v>
      </c>
      <c r="C92" s="2" t="s">
        <v>234</v>
      </c>
      <c r="D92" s="2" t="s">
        <v>52</v>
      </c>
      <c r="E92" s="2" t="s">
        <v>59</v>
      </c>
      <c r="F92" s="2">
        <v>1263</v>
      </c>
      <c r="G92" s="2">
        <v>397</v>
      </c>
      <c r="H92" s="2">
        <v>357</v>
      </c>
      <c r="I92" s="2">
        <v>25260</v>
      </c>
      <c r="J92" s="2">
        <v>24615</v>
      </c>
      <c r="K92" s="2">
        <v>137</v>
      </c>
      <c r="L92" s="2" t="s">
        <v>37</v>
      </c>
      <c r="M92" s="2" t="s">
        <v>38</v>
      </c>
    </row>
    <row r="93" spans="1:13" ht="15.75" customHeight="1" x14ac:dyDescent="0.3">
      <c r="A93" s="2" t="s">
        <v>235</v>
      </c>
      <c r="B93" s="2" t="s">
        <v>14</v>
      </c>
      <c r="C93" s="2" t="s">
        <v>168</v>
      </c>
      <c r="D93" s="2" t="s">
        <v>35</v>
      </c>
      <c r="E93" s="2" t="s">
        <v>149</v>
      </c>
      <c r="F93" s="2">
        <v>3801</v>
      </c>
      <c r="G93" s="2">
        <v>967</v>
      </c>
      <c r="H93" s="2">
        <v>401</v>
      </c>
      <c r="I93" s="2">
        <v>38010</v>
      </c>
      <c r="J93" s="2">
        <v>37625</v>
      </c>
      <c r="K93" s="2">
        <v>236</v>
      </c>
      <c r="L93" s="2" t="s">
        <v>62</v>
      </c>
      <c r="M93" s="2" t="s">
        <v>31</v>
      </c>
    </row>
    <row r="94" spans="1:13" ht="15.75" customHeight="1" x14ac:dyDescent="0.3">
      <c r="A94" s="2" t="s">
        <v>236</v>
      </c>
      <c r="B94" s="2" t="s">
        <v>33</v>
      </c>
      <c r="C94" s="2" t="s">
        <v>237</v>
      </c>
      <c r="D94" s="2" t="s">
        <v>74</v>
      </c>
      <c r="E94" s="2" t="s">
        <v>85</v>
      </c>
      <c r="F94" s="2">
        <v>1431</v>
      </c>
      <c r="G94" s="2">
        <v>951</v>
      </c>
      <c r="H94" s="2">
        <v>26</v>
      </c>
      <c r="I94" s="2">
        <v>8586</v>
      </c>
      <c r="J94" s="2">
        <v>8396</v>
      </c>
      <c r="K94" s="2">
        <v>150</v>
      </c>
      <c r="L94" s="2" t="s">
        <v>37</v>
      </c>
      <c r="M94" s="2" t="s">
        <v>31</v>
      </c>
    </row>
    <row r="95" spans="1:13" ht="15.75" customHeight="1" x14ac:dyDescent="0.3">
      <c r="A95" s="2" t="s">
        <v>238</v>
      </c>
      <c r="B95" s="2" t="s">
        <v>33</v>
      </c>
      <c r="C95" s="2" t="s">
        <v>205</v>
      </c>
      <c r="D95" s="2" t="s">
        <v>52</v>
      </c>
      <c r="E95" s="2" t="s">
        <v>215</v>
      </c>
      <c r="F95" s="2">
        <v>2647</v>
      </c>
      <c r="G95" s="2">
        <v>304</v>
      </c>
      <c r="H95" s="2">
        <v>170</v>
      </c>
      <c r="I95" s="2">
        <v>18529</v>
      </c>
      <c r="J95" s="2">
        <v>17841</v>
      </c>
      <c r="K95" s="2">
        <v>46</v>
      </c>
      <c r="L95" s="2" t="s">
        <v>62</v>
      </c>
      <c r="M95" s="2" t="s">
        <v>31</v>
      </c>
    </row>
    <row r="96" spans="1:13" ht="15.75" customHeight="1" x14ac:dyDescent="0.3">
      <c r="A96" s="2" t="s">
        <v>239</v>
      </c>
      <c r="B96" s="2" t="s">
        <v>33</v>
      </c>
      <c r="C96" s="2" t="s">
        <v>240</v>
      </c>
      <c r="D96" s="2" t="s">
        <v>22</v>
      </c>
      <c r="E96" s="2" t="s">
        <v>113</v>
      </c>
      <c r="F96" s="2">
        <v>3182</v>
      </c>
      <c r="G96" s="2">
        <v>559</v>
      </c>
      <c r="H96" s="2">
        <v>160</v>
      </c>
      <c r="I96" s="2">
        <v>57276</v>
      </c>
      <c r="J96" s="2">
        <v>56890</v>
      </c>
      <c r="K96" s="2">
        <v>163</v>
      </c>
      <c r="L96" s="2" t="s">
        <v>62</v>
      </c>
      <c r="M96" s="2" t="s">
        <v>38</v>
      </c>
    </row>
    <row r="97" spans="1:13" ht="15.75" customHeight="1" x14ac:dyDescent="0.3">
      <c r="A97" s="2" t="s">
        <v>241</v>
      </c>
      <c r="B97" s="2" t="s">
        <v>14</v>
      </c>
      <c r="C97" s="2" t="s">
        <v>242</v>
      </c>
      <c r="D97" s="2" t="s">
        <v>52</v>
      </c>
      <c r="E97" s="2" t="s">
        <v>132</v>
      </c>
      <c r="F97" s="2">
        <v>1238</v>
      </c>
      <c r="G97" s="2">
        <v>366</v>
      </c>
      <c r="H97" s="2">
        <v>444</v>
      </c>
      <c r="I97" s="2">
        <v>19808</v>
      </c>
      <c r="J97" s="2">
        <v>19334</v>
      </c>
      <c r="K97" s="2">
        <v>123</v>
      </c>
      <c r="L97" s="2" t="s">
        <v>62</v>
      </c>
    </row>
    <row r="98" spans="1:13" ht="15.75" customHeight="1" x14ac:dyDescent="0.3">
      <c r="A98" s="2" t="s">
        <v>243</v>
      </c>
      <c r="B98" s="2" t="s">
        <v>33</v>
      </c>
      <c r="C98" s="2" t="s">
        <v>244</v>
      </c>
      <c r="D98" s="2" t="s">
        <v>52</v>
      </c>
      <c r="E98" s="2" t="s">
        <v>215</v>
      </c>
      <c r="F98" s="2">
        <v>4739</v>
      </c>
      <c r="G98" s="2">
        <v>527</v>
      </c>
      <c r="H98" s="2">
        <v>135</v>
      </c>
      <c r="I98" s="2">
        <v>61607</v>
      </c>
      <c r="J98" s="2">
        <v>61333</v>
      </c>
      <c r="K98" s="2">
        <v>36</v>
      </c>
      <c r="L98" s="2" t="s">
        <v>95</v>
      </c>
      <c r="M98" s="2" t="s">
        <v>25</v>
      </c>
    </row>
    <row r="99" spans="1:13" ht="15.75" customHeight="1" x14ac:dyDescent="0.3">
      <c r="A99" s="2" t="s">
        <v>245</v>
      </c>
      <c r="B99" s="2" t="s">
        <v>14</v>
      </c>
      <c r="C99" s="2" t="s">
        <v>151</v>
      </c>
      <c r="D99" s="2" t="s">
        <v>35</v>
      </c>
      <c r="E99" s="2" t="s">
        <v>149</v>
      </c>
      <c r="F99" s="2">
        <v>1575</v>
      </c>
      <c r="G99" s="2">
        <v>771</v>
      </c>
      <c r="H99" s="2">
        <v>486</v>
      </c>
      <c r="I99" s="2">
        <v>25200</v>
      </c>
      <c r="J99" s="2">
        <v>24826</v>
      </c>
      <c r="K99" s="2">
        <v>17</v>
      </c>
      <c r="L99" s="2" t="s">
        <v>62</v>
      </c>
      <c r="M99" s="2" t="s">
        <v>38</v>
      </c>
    </row>
    <row r="100" spans="1:13" ht="15.75" customHeight="1" x14ac:dyDescent="0.3">
      <c r="A100" s="2" t="s">
        <v>246</v>
      </c>
      <c r="B100" s="2" t="s">
        <v>27</v>
      </c>
      <c r="C100" s="2" t="s">
        <v>247</v>
      </c>
      <c r="D100" s="2" t="s">
        <v>45</v>
      </c>
      <c r="E100" s="2" t="s">
        <v>68</v>
      </c>
      <c r="F100" s="2">
        <v>4171</v>
      </c>
      <c r="G100" s="2">
        <v>548</v>
      </c>
      <c r="H100" s="2">
        <v>86</v>
      </c>
      <c r="I100" s="2">
        <v>66736</v>
      </c>
      <c r="J100" s="2">
        <v>66634</v>
      </c>
      <c r="K100" s="2">
        <v>173</v>
      </c>
      <c r="L100" s="2" t="s">
        <v>62</v>
      </c>
      <c r="M100" s="2" t="s">
        <v>31</v>
      </c>
    </row>
    <row r="101" spans="1:13" ht="15.75" customHeight="1" x14ac:dyDescent="0.3">
      <c r="A101" s="2" t="s">
        <v>248</v>
      </c>
      <c r="B101" s="2" t="s">
        <v>27</v>
      </c>
      <c r="C101" s="2" t="s">
        <v>249</v>
      </c>
      <c r="D101" s="2" t="s">
        <v>74</v>
      </c>
      <c r="E101" s="2" t="s">
        <v>219</v>
      </c>
      <c r="F101" s="2">
        <v>1766</v>
      </c>
      <c r="G101" s="2">
        <v>92</v>
      </c>
      <c r="H101" s="2">
        <v>424</v>
      </c>
      <c r="I101" s="2">
        <v>24724</v>
      </c>
      <c r="J101" s="2">
        <v>24333</v>
      </c>
      <c r="K101" s="2">
        <v>52</v>
      </c>
      <c r="L101" s="2" t="s">
        <v>37</v>
      </c>
    </row>
    <row r="102" spans="1:13" ht="15.75" customHeight="1" x14ac:dyDescent="0.3">
      <c r="A102" s="2" t="s">
        <v>250</v>
      </c>
      <c r="B102" s="2" t="s">
        <v>27</v>
      </c>
      <c r="C102" s="2" t="s">
        <v>199</v>
      </c>
      <c r="D102" s="2" t="s">
        <v>74</v>
      </c>
      <c r="E102" s="2" t="s">
        <v>219</v>
      </c>
      <c r="F102" s="2">
        <v>4450</v>
      </c>
      <c r="G102" s="2">
        <v>983</v>
      </c>
      <c r="H102" s="2">
        <v>143</v>
      </c>
      <c r="I102" s="2">
        <v>75650</v>
      </c>
      <c r="J102" s="2">
        <v>75008</v>
      </c>
      <c r="K102" s="2">
        <v>12</v>
      </c>
      <c r="L102" s="2" t="s">
        <v>62</v>
      </c>
      <c r="M102" s="2" t="s">
        <v>31</v>
      </c>
    </row>
    <row r="103" spans="1:13" ht="15.75" customHeight="1" x14ac:dyDescent="0.3">
      <c r="A103" s="2" t="s">
        <v>251</v>
      </c>
      <c r="B103" s="2" t="s">
        <v>14</v>
      </c>
      <c r="C103" s="2" t="s">
        <v>252</v>
      </c>
      <c r="D103" s="2" t="s">
        <v>16</v>
      </c>
      <c r="E103" s="2" t="s">
        <v>17</v>
      </c>
      <c r="F103" s="2">
        <v>1000</v>
      </c>
      <c r="G103" s="2">
        <v>978</v>
      </c>
      <c r="H103" s="2">
        <v>162</v>
      </c>
      <c r="I103" s="2">
        <v>6000</v>
      </c>
      <c r="J103" s="2">
        <v>5221</v>
      </c>
      <c r="K103" s="2">
        <v>223</v>
      </c>
      <c r="L103" s="2" t="s">
        <v>37</v>
      </c>
      <c r="M103" s="2" t="s">
        <v>25</v>
      </c>
    </row>
    <row r="104" spans="1:13" ht="15.75" customHeight="1" x14ac:dyDescent="0.3">
      <c r="A104" s="2" t="s">
        <v>253</v>
      </c>
      <c r="B104" s="2" t="s">
        <v>43</v>
      </c>
      <c r="C104" s="2" t="s">
        <v>254</v>
      </c>
      <c r="D104" s="2" t="s">
        <v>52</v>
      </c>
      <c r="E104" s="2" t="s">
        <v>59</v>
      </c>
      <c r="F104" s="2">
        <v>3689</v>
      </c>
      <c r="G104" s="2">
        <v>48</v>
      </c>
      <c r="H104" s="2">
        <v>306</v>
      </c>
      <c r="I104" s="2">
        <v>40579</v>
      </c>
      <c r="J104" s="2">
        <v>39588</v>
      </c>
      <c r="K104" s="2">
        <v>212</v>
      </c>
      <c r="L104" s="2" t="s">
        <v>37</v>
      </c>
      <c r="M104" s="2" t="s">
        <v>25</v>
      </c>
    </row>
    <row r="105" spans="1:13" ht="15.75" customHeight="1" x14ac:dyDescent="0.3">
      <c r="A105" s="2" t="s">
        <v>255</v>
      </c>
      <c r="B105" s="2" t="s">
        <v>27</v>
      </c>
      <c r="C105" s="2" t="s">
        <v>256</v>
      </c>
      <c r="D105" s="2" t="s">
        <v>35</v>
      </c>
      <c r="E105" s="2" t="s">
        <v>154</v>
      </c>
      <c r="F105" s="2">
        <v>3655</v>
      </c>
      <c r="G105" s="2">
        <v>568</v>
      </c>
      <c r="H105" s="2">
        <v>286</v>
      </c>
      <c r="I105" s="2">
        <v>32895</v>
      </c>
      <c r="J105" s="2">
        <v>32015</v>
      </c>
      <c r="K105" s="2">
        <v>199</v>
      </c>
      <c r="L105" s="2" t="s">
        <v>30</v>
      </c>
      <c r="M105" s="2" t="s">
        <v>31</v>
      </c>
    </row>
    <row r="106" spans="1:13" ht="15.75" customHeight="1" x14ac:dyDescent="0.3">
      <c r="A106" s="2" t="s">
        <v>257</v>
      </c>
      <c r="B106" s="2" t="s">
        <v>33</v>
      </c>
      <c r="C106" s="2" t="s">
        <v>258</v>
      </c>
      <c r="D106" s="2" t="s">
        <v>45</v>
      </c>
      <c r="E106" s="2" t="s">
        <v>88</v>
      </c>
      <c r="F106" s="2">
        <v>498</v>
      </c>
      <c r="G106" s="2">
        <v>38</v>
      </c>
      <c r="H106" s="2">
        <v>42</v>
      </c>
      <c r="I106" s="2">
        <v>4482</v>
      </c>
      <c r="J106" s="2">
        <v>3647</v>
      </c>
      <c r="K106" s="2">
        <v>32</v>
      </c>
      <c r="L106" s="2" t="s">
        <v>62</v>
      </c>
      <c r="M106" s="2" t="s">
        <v>19</v>
      </c>
    </row>
    <row r="107" spans="1:13" ht="15.75" customHeight="1" x14ac:dyDescent="0.3">
      <c r="A107" s="2" t="s">
        <v>259</v>
      </c>
      <c r="B107" s="2" t="s">
        <v>33</v>
      </c>
      <c r="C107" s="2" t="s">
        <v>260</v>
      </c>
      <c r="D107" s="2" t="s">
        <v>52</v>
      </c>
      <c r="E107" s="2" t="s">
        <v>215</v>
      </c>
      <c r="F107" s="2">
        <v>4619</v>
      </c>
      <c r="G107" s="2">
        <v>821</v>
      </c>
      <c r="H107" s="2">
        <v>499</v>
      </c>
      <c r="I107" s="2">
        <v>69285</v>
      </c>
      <c r="J107" s="2">
        <v>69141</v>
      </c>
      <c r="K107" s="2">
        <v>298</v>
      </c>
      <c r="L107" s="2" t="s">
        <v>30</v>
      </c>
      <c r="M107" s="2" t="s">
        <v>38</v>
      </c>
    </row>
    <row r="108" spans="1:13" ht="15.75" customHeight="1" x14ac:dyDescent="0.3">
      <c r="A108" s="2" t="s">
        <v>261</v>
      </c>
      <c r="B108" s="2" t="s">
        <v>27</v>
      </c>
      <c r="C108" s="2" t="s">
        <v>262</v>
      </c>
      <c r="D108" s="2" t="s">
        <v>52</v>
      </c>
      <c r="E108" s="2" t="s">
        <v>53</v>
      </c>
      <c r="F108" s="2">
        <v>4832</v>
      </c>
      <c r="G108" s="2">
        <v>893</v>
      </c>
      <c r="H108" s="2">
        <v>10</v>
      </c>
      <c r="I108" s="2">
        <v>91808</v>
      </c>
      <c r="J108" s="2">
        <v>91296</v>
      </c>
      <c r="K108" s="2">
        <v>182</v>
      </c>
      <c r="L108" s="2" t="s">
        <v>30</v>
      </c>
    </row>
    <row r="109" spans="1:13" ht="15.75" customHeight="1" x14ac:dyDescent="0.3">
      <c r="A109" s="2" t="s">
        <v>263</v>
      </c>
      <c r="B109" s="2" t="s">
        <v>14</v>
      </c>
      <c r="C109" s="2" t="s">
        <v>264</v>
      </c>
      <c r="D109" s="2" t="s">
        <v>74</v>
      </c>
      <c r="E109" s="2" t="s">
        <v>145</v>
      </c>
      <c r="F109" s="2">
        <v>4050</v>
      </c>
      <c r="G109" s="2">
        <v>871</v>
      </c>
      <c r="H109" s="2">
        <v>347</v>
      </c>
      <c r="I109" s="2">
        <v>52650</v>
      </c>
      <c r="J109" s="2">
        <v>51755</v>
      </c>
      <c r="K109" s="2">
        <v>209</v>
      </c>
      <c r="L109" s="2" t="s">
        <v>30</v>
      </c>
      <c r="M109" s="2" t="s">
        <v>25</v>
      </c>
    </row>
    <row r="110" spans="1:13" ht="15.75" customHeight="1" x14ac:dyDescent="0.3">
      <c r="A110" s="2" t="s">
        <v>265</v>
      </c>
      <c r="B110" s="2" t="s">
        <v>14</v>
      </c>
      <c r="C110" s="2" t="s">
        <v>266</v>
      </c>
      <c r="D110" s="2" t="s">
        <v>35</v>
      </c>
      <c r="E110" s="2" t="s">
        <v>149</v>
      </c>
      <c r="F110" s="2">
        <v>3649</v>
      </c>
      <c r="G110" s="2">
        <v>215</v>
      </c>
      <c r="H110" s="2">
        <v>413</v>
      </c>
      <c r="I110" s="2">
        <v>25543</v>
      </c>
      <c r="J110" s="2">
        <v>24963</v>
      </c>
      <c r="K110" s="2">
        <v>167</v>
      </c>
      <c r="L110" s="2" t="s">
        <v>62</v>
      </c>
      <c r="M110" s="2" t="s">
        <v>31</v>
      </c>
    </row>
    <row r="111" spans="1:13" ht="15.75" customHeight="1" x14ac:dyDescent="0.3">
      <c r="A111" s="2" t="s">
        <v>267</v>
      </c>
      <c r="B111" s="2" t="s">
        <v>33</v>
      </c>
      <c r="C111" s="2" t="s">
        <v>268</v>
      </c>
      <c r="D111" s="2" t="s">
        <v>16</v>
      </c>
      <c r="E111" s="2" t="s">
        <v>82</v>
      </c>
      <c r="F111" s="2">
        <v>3523</v>
      </c>
      <c r="G111" s="2">
        <v>753</v>
      </c>
      <c r="H111" s="2">
        <v>482</v>
      </c>
      <c r="I111" s="2">
        <v>38753</v>
      </c>
      <c r="J111" s="2">
        <v>38579</v>
      </c>
      <c r="K111" s="2">
        <v>270</v>
      </c>
      <c r="L111" s="2" t="s">
        <v>37</v>
      </c>
      <c r="M111" s="2" t="s">
        <v>25</v>
      </c>
    </row>
    <row r="112" spans="1:13" ht="15.75" customHeight="1" x14ac:dyDescent="0.3">
      <c r="A112" s="2" t="s">
        <v>269</v>
      </c>
      <c r="B112" s="2" t="s">
        <v>27</v>
      </c>
      <c r="C112" s="2" t="s">
        <v>270</v>
      </c>
      <c r="D112" s="2" t="s">
        <v>52</v>
      </c>
      <c r="E112" s="2" t="s">
        <v>53</v>
      </c>
      <c r="F112" s="2">
        <v>2719</v>
      </c>
      <c r="G112" s="2">
        <v>17</v>
      </c>
      <c r="H112" s="2">
        <v>285</v>
      </c>
      <c r="I112" s="2">
        <v>40785</v>
      </c>
      <c r="J112" s="2">
        <v>40281</v>
      </c>
      <c r="K112" s="2">
        <v>40</v>
      </c>
      <c r="L112" s="2" t="s">
        <v>30</v>
      </c>
      <c r="M112" s="2" t="s">
        <v>25</v>
      </c>
    </row>
    <row r="113" spans="1:13" ht="15.75" customHeight="1" x14ac:dyDescent="0.3">
      <c r="A113" s="2" t="s">
        <v>271</v>
      </c>
      <c r="B113" s="2" t="s">
        <v>14</v>
      </c>
      <c r="C113" s="2" t="s">
        <v>272</v>
      </c>
      <c r="D113" s="2" t="s">
        <v>35</v>
      </c>
      <c r="E113" s="2" t="s">
        <v>149</v>
      </c>
      <c r="F113" s="2">
        <v>1957</v>
      </c>
      <c r="G113" s="2">
        <v>877</v>
      </c>
      <c r="H113" s="2">
        <v>238</v>
      </c>
      <c r="I113" s="2">
        <v>17613</v>
      </c>
      <c r="J113" s="2">
        <v>16865</v>
      </c>
      <c r="K113" s="2">
        <v>297</v>
      </c>
      <c r="L113" s="2" t="s">
        <v>62</v>
      </c>
      <c r="M113" s="2" t="s">
        <v>31</v>
      </c>
    </row>
    <row r="114" spans="1:13" ht="15.75" customHeight="1" x14ac:dyDescent="0.3">
      <c r="A114" s="2" t="s">
        <v>273</v>
      </c>
      <c r="B114" s="2" t="s">
        <v>14</v>
      </c>
      <c r="C114" s="2" t="s">
        <v>274</v>
      </c>
      <c r="D114" s="2" t="s">
        <v>45</v>
      </c>
      <c r="E114" s="2" t="s">
        <v>49</v>
      </c>
      <c r="F114" s="2">
        <v>4419</v>
      </c>
      <c r="G114" s="2">
        <v>236</v>
      </c>
      <c r="H114" s="2">
        <v>369</v>
      </c>
      <c r="I114" s="2">
        <v>44190</v>
      </c>
      <c r="J114" s="2">
        <v>43582</v>
      </c>
      <c r="K114" s="2">
        <v>10</v>
      </c>
      <c r="L114" s="2" t="s">
        <v>37</v>
      </c>
      <c r="M114" s="2" t="s">
        <v>19</v>
      </c>
    </row>
    <row r="115" spans="1:13" ht="15.75" customHeight="1" x14ac:dyDescent="0.3">
      <c r="A115" s="2" t="s">
        <v>275</v>
      </c>
      <c r="B115" s="2" t="s">
        <v>14</v>
      </c>
      <c r="C115" s="2" t="s">
        <v>276</v>
      </c>
      <c r="D115" s="2" t="s">
        <v>35</v>
      </c>
      <c r="E115" s="2" t="s">
        <v>149</v>
      </c>
      <c r="F115" s="2">
        <v>4000</v>
      </c>
      <c r="G115" s="2">
        <v>689</v>
      </c>
      <c r="H115" s="2">
        <v>488</v>
      </c>
      <c r="I115" s="2">
        <v>40000</v>
      </c>
      <c r="J115" s="2">
        <v>39569</v>
      </c>
      <c r="K115" s="2">
        <v>44</v>
      </c>
      <c r="L115" s="2" t="s">
        <v>62</v>
      </c>
      <c r="M115" s="2" t="s">
        <v>19</v>
      </c>
    </row>
    <row r="116" spans="1:13" ht="15.75" customHeight="1" x14ac:dyDescent="0.3">
      <c r="A116" s="2" t="s">
        <v>277</v>
      </c>
      <c r="B116" s="2" t="s">
        <v>14</v>
      </c>
      <c r="C116" s="2" t="s">
        <v>278</v>
      </c>
      <c r="D116" s="2" t="s">
        <v>52</v>
      </c>
      <c r="E116" s="2" t="s">
        <v>132</v>
      </c>
      <c r="F116" s="2">
        <v>2493</v>
      </c>
      <c r="G116" s="2">
        <v>97</v>
      </c>
      <c r="H116" s="2">
        <v>44</v>
      </c>
      <c r="I116" s="2">
        <v>42381</v>
      </c>
      <c r="J116" s="2">
        <v>41991</v>
      </c>
      <c r="K116" s="2">
        <v>242</v>
      </c>
      <c r="L116" s="2" t="s">
        <v>95</v>
      </c>
      <c r="M116" s="2" t="s">
        <v>38</v>
      </c>
    </row>
    <row r="117" spans="1:13" ht="15.75" customHeight="1" x14ac:dyDescent="0.3">
      <c r="A117" s="2" t="s">
        <v>279</v>
      </c>
      <c r="B117" s="2" t="s">
        <v>27</v>
      </c>
      <c r="C117" s="2" t="s">
        <v>280</v>
      </c>
      <c r="D117" s="2" t="s">
        <v>16</v>
      </c>
      <c r="E117" s="2" t="s">
        <v>29</v>
      </c>
      <c r="F117" s="2">
        <v>3704</v>
      </c>
      <c r="G117" s="2">
        <v>186</v>
      </c>
      <c r="H117" s="2">
        <v>458</v>
      </c>
      <c r="I117" s="2">
        <v>25928</v>
      </c>
      <c r="J117" s="2">
        <v>25081</v>
      </c>
      <c r="K117" s="2">
        <v>131</v>
      </c>
      <c r="L117" s="2" t="s">
        <v>30</v>
      </c>
    </row>
    <row r="118" spans="1:13" ht="15.75" customHeight="1" x14ac:dyDescent="0.3">
      <c r="A118" s="2" t="s">
        <v>281</v>
      </c>
      <c r="B118" s="2" t="s">
        <v>14</v>
      </c>
      <c r="C118" s="2" t="s">
        <v>282</v>
      </c>
      <c r="D118" s="2" t="s">
        <v>52</v>
      </c>
      <c r="E118" s="2" t="s">
        <v>132</v>
      </c>
      <c r="F118" s="2">
        <v>1606</v>
      </c>
      <c r="G118" s="2">
        <v>451</v>
      </c>
      <c r="H118" s="2">
        <v>405</v>
      </c>
      <c r="I118" s="2">
        <v>20878</v>
      </c>
      <c r="J118" s="2">
        <v>20190</v>
      </c>
      <c r="K118" s="2">
        <v>219</v>
      </c>
      <c r="L118" s="2" t="s">
        <v>37</v>
      </c>
      <c r="M118" s="2" t="s">
        <v>38</v>
      </c>
    </row>
    <row r="119" spans="1:13" ht="15.75" customHeight="1" x14ac:dyDescent="0.3">
      <c r="A119" s="2" t="s">
        <v>283</v>
      </c>
      <c r="B119" s="2" t="s">
        <v>43</v>
      </c>
      <c r="C119" s="2" t="s">
        <v>282</v>
      </c>
      <c r="D119" s="2" t="s">
        <v>52</v>
      </c>
      <c r="E119" s="2" t="s">
        <v>59</v>
      </c>
      <c r="F119" s="2">
        <v>4551</v>
      </c>
      <c r="G119" s="2">
        <v>714</v>
      </c>
      <c r="H119" s="2">
        <v>207</v>
      </c>
      <c r="I119" s="2">
        <v>68265</v>
      </c>
      <c r="J119" s="2">
        <v>67754</v>
      </c>
      <c r="K119" s="2">
        <v>57</v>
      </c>
      <c r="L119" s="2" t="s">
        <v>62</v>
      </c>
      <c r="M119" s="2" t="s">
        <v>31</v>
      </c>
    </row>
    <row r="120" spans="1:13" ht="15.75" customHeight="1" x14ac:dyDescent="0.3">
      <c r="A120" s="2" t="s">
        <v>284</v>
      </c>
      <c r="B120" s="2" t="s">
        <v>33</v>
      </c>
      <c r="C120" s="2" t="s">
        <v>285</v>
      </c>
      <c r="D120" s="2" t="s">
        <v>16</v>
      </c>
      <c r="E120" s="2" t="s">
        <v>82</v>
      </c>
      <c r="F120" s="2">
        <v>1970</v>
      </c>
      <c r="G120" s="2">
        <v>675</v>
      </c>
      <c r="H120" s="2">
        <v>478</v>
      </c>
      <c r="I120" s="2">
        <v>9850</v>
      </c>
      <c r="J120" s="2">
        <v>8924</v>
      </c>
      <c r="K120" s="2">
        <v>117</v>
      </c>
      <c r="L120" s="2" t="s">
        <v>62</v>
      </c>
    </row>
    <row r="121" spans="1:13" ht="15.75" customHeight="1" x14ac:dyDescent="0.3">
      <c r="A121" s="2" t="s">
        <v>286</v>
      </c>
      <c r="B121" s="2" t="s">
        <v>43</v>
      </c>
      <c r="C121" s="2" t="s">
        <v>168</v>
      </c>
      <c r="D121" s="2" t="s">
        <v>35</v>
      </c>
      <c r="E121" s="2" t="s">
        <v>71</v>
      </c>
      <c r="F121" s="2">
        <v>780</v>
      </c>
      <c r="G121" s="2">
        <v>928</v>
      </c>
      <c r="H121" s="2">
        <v>301</v>
      </c>
      <c r="I121" s="2">
        <v>8580</v>
      </c>
      <c r="J121" s="2">
        <v>8081</v>
      </c>
      <c r="K121" s="2">
        <v>91</v>
      </c>
      <c r="L121" s="2" t="s">
        <v>37</v>
      </c>
      <c r="M121" s="2" t="s">
        <v>31</v>
      </c>
    </row>
    <row r="122" spans="1:13" ht="15.75" customHeight="1" x14ac:dyDescent="0.3">
      <c r="A122" s="2" t="s">
        <v>287</v>
      </c>
      <c r="B122" s="2" t="s">
        <v>33</v>
      </c>
      <c r="C122" s="2" t="s">
        <v>268</v>
      </c>
      <c r="D122" s="2" t="s">
        <v>35</v>
      </c>
      <c r="E122" s="2" t="s">
        <v>36</v>
      </c>
      <c r="F122" s="2">
        <v>498</v>
      </c>
      <c r="G122" s="2">
        <v>701</v>
      </c>
      <c r="H122" s="2">
        <v>412</v>
      </c>
      <c r="I122" s="2">
        <v>4980</v>
      </c>
      <c r="J122" s="2">
        <v>4185</v>
      </c>
      <c r="K122" s="2">
        <v>185</v>
      </c>
      <c r="L122" s="2" t="s">
        <v>62</v>
      </c>
    </row>
    <row r="123" spans="1:13" ht="15.75" customHeight="1" x14ac:dyDescent="0.3">
      <c r="A123" s="2" t="s">
        <v>288</v>
      </c>
      <c r="B123" s="2" t="s">
        <v>33</v>
      </c>
      <c r="C123" s="2" t="s">
        <v>274</v>
      </c>
      <c r="D123" s="2" t="s">
        <v>22</v>
      </c>
      <c r="E123" s="2" t="s">
        <v>113</v>
      </c>
      <c r="F123" s="2">
        <v>3432</v>
      </c>
      <c r="G123" s="2">
        <v>869</v>
      </c>
      <c r="H123" s="2">
        <v>123</v>
      </c>
      <c r="I123" s="2">
        <v>54912</v>
      </c>
      <c r="J123" s="2">
        <v>53916</v>
      </c>
      <c r="K123" s="2">
        <v>264</v>
      </c>
      <c r="L123" s="2" t="s">
        <v>37</v>
      </c>
      <c r="M123" s="2" t="s">
        <v>25</v>
      </c>
    </row>
    <row r="124" spans="1:13" ht="15.75" customHeight="1" x14ac:dyDescent="0.3">
      <c r="A124" s="2" t="s">
        <v>289</v>
      </c>
      <c r="B124" s="2" t="s">
        <v>33</v>
      </c>
      <c r="C124" s="2" t="s">
        <v>258</v>
      </c>
      <c r="D124" s="2" t="s">
        <v>35</v>
      </c>
      <c r="E124" s="2" t="s">
        <v>36</v>
      </c>
      <c r="F124" s="2">
        <v>4363</v>
      </c>
      <c r="G124" s="2">
        <v>649</v>
      </c>
      <c r="H124" s="2">
        <v>140</v>
      </c>
      <c r="I124" s="2">
        <v>21815</v>
      </c>
      <c r="J124" s="2">
        <v>21481</v>
      </c>
      <c r="K124" s="2">
        <v>157</v>
      </c>
      <c r="L124" s="2" t="s">
        <v>37</v>
      </c>
      <c r="M124" s="2" t="s">
        <v>19</v>
      </c>
    </row>
    <row r="125" spans="1:13" ht="15.75" customHeight="1" x14ac:dyDescent="0.3">
      <c r="A125" s="2" t="s">
        <v>290</v>
      </c>
      <c r="B125" s="2" t="s">
        <v>27</v>
      </c>
      <c r="C125" s="2" t="s">
        <v>291</v>
      </c>
      <c r="D125" s="2" t="s">
        <v>45</v>
      </c>
      <c r="E125" s="2" t="s">
        <v>68</v>
      </c>
      <c r="F125" s="2">
        <v>736</v>
      </c>
      <c r="G125" s="2">
        <v>771</v>
      </c>
      <c r="H125" s="2">
        <v>225</v>
      </c>
      <c r="I125" s="2">
        <v>5152</v>
      </c>
      <c r="J125" s="2">
        <v>4706</v>
      </c>
      <c r="K125" s="2">
        <v>19</v>
      </c>
      <c r="L125" s="2" t="s">
        <v>37</v>
      </c>
      <c r="M125" s="2" t="s">
        <v>19</v>
      </c>
    </row>
    <row r="126" spans="1:13" ht="15.75" customHeight="1" x14ac:dyDescent="0.3">
      <c r="A126" s="2" t="s">
        <v>292</v>
      </c>
      <c r="B126" s="2" t="s">
        <v>14</v>
      </c>
      <c r="C126" s="2" t="s">
        <v>293</v>
      </c>
      <c r="D126" s="2" t="s">
        <v>45</v>
      </c>
      <c r="E126" s="2" t="s">
        <v>49</v>
      </c>
      <c r="F126" s="2">
        <v>3811</v>
      </c>
      <c r="G126" s="2">
        <v>866</v>
      </c>
      <c r="H126" s="2">
        <v>216</v>
      </c>
      <c r="I126" s="2">
        <v>34299</v>
      </c>
      <c r="J126" s="2">
        <v>34088</v>
      </c>
      <c r="K126" s="2">
        <v>233</v>
      </c>
      <c r="L126" s="2" t="s">
        <v>30</v>
      </c>
      <c r="M126" s="2" t="s">
        <v>38</v>
      </c>
    </row>
    <row r="127" spans="1:13" ht="15.75" customHeight="1" x14ac:dyDescent="0.3">
      <c r="A127" s="2" t="s">
        <v>294</v>
      </c>
      <c r="B127" s="2" t="s">
        <v>33</v>
      </c>
      <c r="C127" s="2" t="s">
        <v>184</v>
      </c>
      <c r="D127" s="2" t="s">
        <v>45</v>
      </c>
      <c r="E127" s="2" t="s">
        <v>88</v>
      </c>
      <c r="F127" s="2">
        <v>4158</v>
      </c>
      <c r="G127" s="2">
        <v>167</v>
      </c>
      <c r="H127" s="2">
        <v>241</v>
      </c>
      <c r="I127" s="2">
        <v>45738</v>
      </c>
      <c r="J127" s="2">
        <v>45183</v>
      </c>
      <c r="K127" s="2">
        <v>142</v>
      </c>
      <c r="L127" s="2" t="s">
        <v>62</v>
      </c>
    </row>
    <row r="128" spans="1:13" ht="15.75" customHeight="1" x14ac:dyDescent="0.3">
      <c r="A128" s="2" t="s">
        <v>295</v>
      </c>
      <c r="B128" s="2" t="s">
        <v>43</v>
      </c>
      <c r="C128" s="2" t="s">
        <v>224</v>
      </c>
      <c r="D128" s="2" t="s">
        <v>16</v>
      </c>
      <c r="E128" s="2" t="s">
        <v>65</v>
      </c>
      <c r="F128" s="2">
        <v>3452</v>
      </c>
      <c r="G128" s="2">
        <v>652</v>
      </c>
      <c r="H128" s="2">
        <v>442</v>
      </c>
      <c r="I128" s="2">
        <v>65588</v>
      </c>
      <c r="J128" s="2">
        <v>65049</v>
      </c>
      <c r="K128" s="2">
        <v>158</v>
      </c>
      <c r="L128" s="2" t="s">
        <v>62</v>
      </c>
      <c r="M128" s="2" t="s">
        <v>31</v>
      </c>
    </row>
    <row r="129" spans="1:13" ht="15.75" customHeight="1" x14ac:dyDescent="0.3">
      <c r="A129" s="2" t="s">
        <v>296</v>
      </c>
      <c r="B129" s="2" t="s">
        <v>14</v>
      </c>
      <c r="C129" s="2" t="s">
        <v>230</v>
      </c>
      <c r="D129" s="2" t="s">
        <v>52</v>
      </c>
      <c r="E129" s="2" t="s">
        <v>132</v>
      </c>
      <c r="F129" s="2">
        <v>3092</v>
      </c>
      <c r="G129" s="2">
        <v>106</v>
      </c>
      <c r="H129" s="2">
        <v>291</v>
      </c>
      <c r="I129" s="2">
        <v>27828</v>
      </c>
      <c r="J129" s="2">
        <v>27217</v>
      </c>
      <c r="K129" s="2">
        <v>102</v>
      </c>
      <c r="L129" s="2" t="s">
        <v>62</v>
      </c>
    </row>
    <row r="130" spans="1:13" ht="15.75" customHeight="1" x14ac:dyDescent="0.3">
      <c r="A130" s="2" t="s">
        <v>297</v>
      </c>
      <c r="B130" s="2" t="s">
        <v>14</v>
      </c>
      <c r="C130" s="2" t="s">
        <v>64</v>
      </c>
      <c r="D130" s="2" t="s">
        <v>22</v>
      </c>
      <c r="E130" s="2" t="s">
        <v>23</v>
      </c>
      <c r="F130" s="2">
        <v>2147</v>
      </c>
      <c r="G130" s="2">
        <v>430</v>
      </c>
      <c r="H130" s="2">
        <v>393</v>
      </c>
      <c r="I130" s="2">
        <v>17176</v>
      </c>
      <c r="J130" s="2">
        <v>16483</v>
      </c>
      <c r="K130" s="2">
        <v>170</v>
      </c>
      <c r="L130" s="2" t="s">
        <v>30</v>
      </c>
    </row>
    <row r="131" spans="1:13" ht="15.75" customHeight="1" x14ac:dyDescent="0.3">
      <c r="A131" s="2" t="s">
        <v>298</v>
      </c>
      <c r="B131" s="2" t="s">
        <v>27</v>
      </c>
      <c r="C131" s="2" t="s">
        <v>299</v>
      </c>
      <c r="D131" s="2" t="s">
        <v>16</v>
      </c>
      <c r="E131" s="2" t="s">
        <v>29</v>
      </c>
      <c r="F131" s="2">
        <v>2936</v>
      </c>
      <c r="G131" s="2">
        <v>439</v>
      </c>
      <c r="H131" s="2">
        <v>44</v>
      </c>
      <c r="I131" s="2">
        <v>38168</v>
      </c>
      <c r="J131" s="2">
        <v>37571</v>
      </c>
      <c r="K131" s="2">
        <v>22</v>
      </c>
      <c r="L131" s="2" t="s">
        <v>37</v>
      </c>
      <c r="M131" s="2" t="s">
        <v>38</v>
      </c>
    </row>
    <row r="132" spans="1:13" ht="15.75" customHeight="1" x14ac:dyDescent="0.3">
      <c r="A132" s="2" t="s">
        <v>300</v>
      </c>
      <c r="B132" s="2" t="s">
        <v>33</v>
      </c>
      <c r="C132" s="2" t="s">
        <v>168</v>
      </c>
      <c r="D132" s="2" t="s">
        <v>16</v>
      </c>
      <c r="E132" s="2" t="s">
        <v>82</v>
      </c>
      <c r="F132" s="2">
        <v>4840</v>
      </c>
      <c r="G132" s="2">
        <v>658</v>
      </c>
      <c r="H132" s="2">
        <v>211</v>
      </c>
      <c r="I132" s="2">
        <v>43560</v>
      </c>
      <c r="J132" s="2">
        <v>43225</v>
      </c>
      <c r="K132" s="2">
        <v>57</v>
      </c>
      <c r="L132" s="2" t="s">
        <v>62</v>
      </c>
      <c r="M132" s="2" t="s">
        <v>31</v>
      </c>
    </row>
    <row r="133" spans="1:13" ht="15.75" customHeight="1" x14ac:dyDescent="0.3">
      <c r="A133" s="2" t="s">
        <v>301</v>
      </c>
      <c r="B133" s="2" t="s">
        <v>33</v>
      </c>
      <c r="C133" s="2" t="s">
        <v>106</v>
      </c>
      <c r="D133" s="2" t="s">
        <v>35</v>
      </c>
      <c r="E133" s="2" t="s">
        <v>36</v>
      </c>
      <c r="F133" s="2">
        <v>1947</v>
      </c>
      <c r="G133" s="2">
        <v>842</v>
      </c>
      <c r="H133" s="2">
        <v>101</v>
      </c>
      <c r="I133" s="2">
        <v>21417</v>
      </c>
      <c r="J133" s="2">
        <v>20967</v>
      </c>
      <c r="K133" s="2">
        <v>186</v>
      </c>
      <c r="L133" s="2" t="s">
        <v>62</v>
      </c>
      <c r="M133" s="2" t="s">
        <v>25</v>
      </c>
    </row>
    <row r="134" spans="1:13" ht="15.75" customHeight="1" x14ac:dyDescent="0.3">
      <c r="A134" s="2" t="s">
        <v>302</v>
      </c>
      <c r="B134" s="2" t="s">
        <v>43</v>
      </c>
      <c r="C134" s="2" t="s">
        <v>303</v>
      </c>
      <c r="D134" s="2" t="s">
        <v>52</v>
      </c>
      <c r="E134" s="2" t="s">
        <v>59</v>
      </c>
      <c r="F134" s="2">
        <v>2072</v>
      </c>
      <c r="G134" s="2">
        <v>532</v>
      </c>
      <c r="H134" s="2">
        <v>71</v>
      </c>
      <c r="I134" s="2">
        <v>37296</v>
      </c>
      <c r="J134" s="2">
        <v>36467</v>
      </c>
      <c r="K134" s="2">
        <v>25</v>
      </c>
      <c r="L134" s="2" t="s">
        <v>30</v>
      </c>
      <c r="M134" s="2" t="s">
        <v>38</v>
      </c>
    </row>
    <row r="135" spans="1:13" ht="15.75" customHeight="1" x14ac:dyDescent="0.3">
      <c r="A135" s="2" t="s">
        <v>304</v>
      </c>
      <c r="B135" s="2" t="s">
        <v>14</v>
      </c>
      <c r="C135" s="2" t="s">
        <v>305</v>
      </c>
      <c r="D135" s="2" t="s">
        <v>16</v>
      </c>
      <c r="E135" s="2" t="s">
        <v>17</v>
      </c>
      <c r="F135" s="2">
        <v>3731</v>
      </c>
      <c r="G135" s="2">
        <v>115</v>
      </c>
      <c r="H135" s="2">
        <v>135</v>
      </c>
      <c r="I135" s="2">
        <v>55965</v>
      </c>
      <c r="J135" s="2">
        <v>55436</v>
      </c>
      <c r="K135" s="2">
        <v>103</v>
      </c>
      <c r="L135" s="2" t="s">
        <v>30</v>
      </c>
      <c r="M135" s="2" t="s">
        <v>19</v>
      </c>
    </row>
    <row r="136" spans="1:13" ht="15.75" customHeight="1" x14ac:dyDescent="0.3">
      <c r="A136" s="2" t="s">
        <v>306</v>
      </c>
      <c r="B136" s="2" t="s">
        <v>43</v>
      </c>
      <c r="C136" s="2" t="s">
        <v>307</v>
      </c>
      <c r="D136" s="2" t="s">
        <v>22</v>
      </c>
      <c r="E136" s="2" t="s">
        <v>56</v>
      </c>
      <c r="F136" s="2">
        <v>4213</v>
      </c>
      <c r="G136" s="2">
        <v>253</v>
      </c>
      <c r="H136" s="2">
        <v>434</v>
      </c>
      <c r="I136" s="2">
        <v>75834</v>
      </c>
      <c r="J136" s="2">
        <v>75437</v>
      </c>
      <c r="K136" s="2">
        <v>272</v>
      </c>
      <c r="L136" s="2" t="s">
        <v>62</v>
      </c>
      <c r="M136" s="2" t="s">
        <v>38</v>
      </c>
    </row>
    <row r="137" spans="1:13" ht="15.75" customHeight="1" x14ac:dyDescent="0.3">
      <c r="A137" s="2" t="s">
        <v>308</v>
      </c>
      <c r="B137" s="2" t="s">
        <v>33</v>
      </c>
      <c r="C137" s="2" t="s">
        <v>309</v>
      </c>
      <c r="D137" s="2" t="s">
        <v>22</v>
      </c>
      <c r="E137" s="2" t="s">
        <v>113</v>
      </c>
      <c r="F137" s="2">
        <v>3134</v>
      </c>
      <c r="G137" s="2">
        <v>888</v>
      </c>
      <c r="H137" s="2">
        <v>444</v>
      </c>
      <c r="I137" s="2">
        <v>21938</v>
      </c>
      <c r="J137" s="2">
        <v>21337</v>
      </c>
      <c r="K137" s="2">
        <v>130</v>
      </c>
      <c r="L137" s="2" t="s">
        <v>37</v>
      </c>
      <c r="M137" s="2" t="s">
        <v>38</v>
      </c>
    </row>
    <row r="138" spans="1:13" ht="15.75" customHeight="1" x14ac:dyDescent="0.3">
      <c r="A138" s="2" t="s">
        <v>310</v>
      </c>
      <c r="B138" s="2" t="s">
        <v>43</v>
      </c>
      <c r="C138" s="2" t="s">
        <v>115</v>
      </c>
      <c r="D138" s="2" t="s">
        <v>74</v>
      </c>
      <c r="E138" s="2" t="s">
        <v>75</v>
      </c>
      <c r="F138" s="2">
        <v>3008</v>
      </c>
      <c r="G138" s="2">
        <v>94</v>
      </c>
      <c r="H138" s="2">
        <v>37</v>
      </c>
      <c r="I138" s="2">
        <v>15040</v>
      </c>
      <c r="J138" s="2">
        <v>14639</v>
      </c>
      <c r="K138" s="2">
        <v>277</v>
      </c>
      <c r="L138" s="2" t="s">
        <v>62</v>
      </c>
    </row>
    <row r="139" spans="1:13" ht="15.75" customHeight="1" x14ac:dyDescent="0.3">
      <c r="A139" s="2" t="s">
        <v>311</v>
      </c>
      <c r="B139" s="2" t="s">
        <v>14</v>
      </c>
      <c r="C139" s="2" t="s">
        <v>188</v>
      </c>
      <c r="D139" s="2" t="s">
        <v>52</v>
      </c>
      <c r="E139" s="2" t="s">
        <v>132</v>
      </c>
      <c r="F139" s="2">
        <v>305</v>
      </c>
      <c r="G139" s="2">
        <v>187</v>
      </c>
      <c r="H139" s="2">
        <v>243</v>
      </c>
      <c r="I139" s="2">
        <v>4575</v>
      </c>
      <c r="J139" s="2">
        <v>3704</v>
      </c>
      <c r="K139" s="2">
        <v>234</v>
      </c>
      <c r="L139" s="2" t="s">
        <v>62</v>
      </c>
      <c r="M139" s="2" t="s">
        <v>31</v>
      </c>
    </row>
    <row r="140" spans="1:13" ht="15.75" customHeight="1" x14ac:dyDescent="0.3">
      <c r="A140" s="2" t="s">
        <v>312</v>
      </c>
      <c r="B140" s="2" t="s">
        <v>27</v>
      </c>
      <c r="C140" s="2" t="s">
        <v>313</v>
      </c>
      <c r="D140" s="2" t="s">
        <v>22</v>
      </c>
      <c r="E140" s="2" t="s">
        <v>104</v>
      </c>
      <c r="F140" s="2">
        <v>2746</v>
      </c>
      <c r="G140" s="2">
        <v>156</v>
      </c>
      <c r="H140" s="2">
        <v>203</v>
      </c>
      <c r="I140" s="2">
        <v>32952</v>
      </c>
      <c r="J140" s="2">
        <v>32147</v>
      </c>
      <c r="K140" s="2">
        <v>147</v>
      </c>
      <c r="L140" s="2" t="s">
        <v>37</v>
      </c>
      <c r="M140" s="2" t="s">
        <v>19</v>
      </c>
    </row>
    <row r="141" spans="1:13" ht="15.75" customHeight="1" x14ac:dyDescent="0.3">
      <c r="A141" s="2" t="s">
        <v>314</v>
      </c>
      <c r="B141" s="2" t="s">
        <v>43</v>
      </c>
      <c r="C141" s="2" t="s">
        <v>315</v>
      </c>
      <c r="D141" s="2" t="s">
        <v>52</v>
      </c>
      <c r="E141" s="2" t="s">
        <v>59</v>
      </c>
      <c r="F141" s="2">
        <v>2291</v>
      </c>
      <c r="G141" s="2">
        <v>78</v>
      </c>
      <c r="H141" s="2">
        <v>485</v>
      </c>
      <c r="I141" s="2">
        <v>18328</v>
      </c>
      <c r="J141" s="2">
        <v>18101</v>
      </c>
      <c r="K141" s="2">
        <v>10</v>
      </c>
      <c r="L141" s="2" t="s">
        <v>316</v>
      </c>
      <c r="M141" s="2" t="s">
        <v>25</v>
      </c>
    </row>
    <row r="142" spans="1:13" ht="15.75" customHeight="1" x14ac:dyDescent="0.3">
      <c r="A142" s="2" t="s">
        <v>317</v>
      </c>
      <c r="B142" s="2" t="s">
        <v>14</v>
      </c>
      <c r="C142" s="2" t="s">
        <v>318</v>
      </c>
      <c r="D142" s="2" t="s">
        <v>52</v>
      </c>
      <c r="E142" s="2" t="s">
        <v>132</v>
      </c>
      <c r="F142" s="2">
        <v>3170</v>
      </c>
      <c r="G142" s="2">
        <v>857</v>
      </c>
      <c r="H142" s="2">
        <v>379</v>
      </c>
      <c r="I142" s="2">
        <v>19020</v>
      </c>
      <c r="J142" s="2">
        <v>18559</v>
      </c>
      <c r="K142" s="2">
        <v>240</v>
      </c>
      <c r="L142" s="2" t="s">
        <v>62</v>
      </c>
    </row>
    <row r="143" spans="1:13" ht="15.75" customHeight="1" x14ac:dyDescent="0.3">
      <c r="A143" s="2" t="s">
        <v>319</v>
      </c>
      <c r="B143" s="2" t="s">
        <v>27</v>
      </c>
      <c r="C143" s="2" t="s">
        <v>264</v>
      </c>
      <c r="D143" s="2" t="s">
        <v>35</v>
      </c>
      <c r="E143" s="2" t="s">
        <v>154</v>
      </c>
      <c r="F143" s="2">
        <v>2070</v>
      </c>
      <c r="G143" s="2">
        <v>275</v>
      </c>
      <c r="H143" s="2">
        <v>386</v>
      </c>
      <c r="I143" s="2">
        <v>39330</v>
      </c>
      <c r="J143" s="2">
        <v>38627</v>
      </c>
      <c r="K143" s="2">
        <v>114</v>
      </c>
      <c r="L143" s="2" t="s">
        <v>62</v>
      </c>
      <c r="M143" s="2" t="s">
        <v>38</v>
      </c>
    </row>
    <row r="144" spans="1:13" ht="15.75" customHeight="1" x14ac:dyDescent="0.3">
      <c r="A144" s="2" t="s">
        <v>320</v>
      </c>
      <c r="B144" s="2" t="s">
        <v>27</v>
      </c>
      <c r="C144" s="2" t="s">
        <v>274</v>
      </c>
      <c r="D144" s="2" t="s">
        <v>45</v>
      </c>
      <c r="E144" s="2" t="s">
        <v>68</v>
      </c>
      <c r="F144" s="2">
        <v>80</v>
      </c>
      <c r="G144" s="2">
        <v>362</v>
      </c>
      <c r="H144" s="2">
        <v>80</v>
      </c>
      <c r="I144" s="2">
        <v>1040</v>
      </c>
      <c r="J144" s="2">
        <v>349</v>
      </c>
      <c r="K144" s="2">
        <v>117</v>
      </c>
      <c r="L144" s="2" t="s">
        <v>30</v>
      </c>
      <c r="M144" s="2" t="s">
        <v>31</v>
      </c>
    </row>
    <row r="145" spans="1:13" ht="15.75" customHeight="1" x14ac:dyDescent="0.3">
      <c r="A145" s="2" t="s">
        <v>321</v>
      </c>
      <c r="B145" s="2" t="s">
        <v>27</v>
      </c>
      <c r="C145" s="2" t="s">
        <v>201</v>
      </c>
      <c r="D145" s="2" t="s">
        <v>35</v>
      </c>
      <c r="E145" s="2" t="s">
        <v>154</v>
      </c>
      <c r="F145" s="2">
        <v>4929</v>
      </c>
      <c r="G145" s="2">
        <v>749</v>
      </c>
      <c r="H145" s="2">
        <v>452</v>
      </c>
      <c r="I145" s="2">
        <v>93651</v>
      </c>
      <c r="J145" s="2">
        <v>92810</v>
      </c>
      <c r="K145" s="2">
        <v>66</v>
      </c>
      <c r="L145" s="2" t="s">
        <v>37</v>
      </c>
      <c r="M145" s="2" t="s">
        <v>38</v>
      </c>
    </row>
    <row r="146" spans="1:13" ht="15.75" customHeight="1" x14ac:dyDescent="0.3">
      <c r="A146" s="2" t="s">
        <v>322</v>
      </c>
      <c r="B146" s="2" t="s">
        <v>33</v>
      </c>
      <c r="C146" s="2" t="s">
        <v>34</v>
      </c>
      <c r="D146" s="2" t="s">
        <v>45</v>
      </c>
      <c r="E146" s="2" t="s">
        <v>88</v>
      </c>
      <c r="F146" s="2">
        <v>1878</v>
      </c>
      <c r="G146" s="2">
        <v>62</v>
      </c>
      <c r="H146" s="2">
        <v>179</v>
      </c>
      <c r="I146" s="2">
        <v>37560</v>
      </c>
      <c r="J146" s="2">
        <v>36874</v>
      </c>
      <c r="K146" s="2">
        <v>142</v>
      </c>
      <c r="L146" s="2" t="s">
        <v>30</v>
      </c>
      <c r="M146" s="2" t="s">
        <v>38</v>
      </c>
    </row>
    <row r="147" spans="1:13" ht="15.75" customHeight="1" x14ac:dyDescent="0.3">
      <c r="A147" s="2" t="s">
        <v>323</v>
      </c>
      <c r="B147" s="2" t="s">
        <v>27</v>
      </c>
      <c r="C147" s="2" t="s">
        <v>324</v>
      </c>
      <c r="D147" s="2" t="s">
        <v>16</v>
      </c>
      <c r="E147" s="2" t="s">
        <v>29</v>
      </c>
      <c r="F147" s="2">
        <v>3065</v>
      </c>
      <c r="G147" s="2">
        <v>772</v>
      </c>
      <c r="H147" s="2">
        <v>142</v>
      </c>
      <c r="I147" s="2">
        <v>18390</v>
      </c>
      <c r="J147" s="2">
        <v>17875</v>
      </c>
      <c r="K147" s="2">
        <v>200</v>
      </c>
      <c r="L147" s="2" t="s">
        <v>325</v>
      </c>
    </row>
    <row r="148" spans="1:13" ht="15.75" customHeight="1" x14ac:dyDescent="0.3">
      <c r="A148" s="2" t="s">
        <v>326</v>
      </c>
      <c r="B148" s="2" t="s">
        <v>33</v>
      </c>
      <c r="C148" s="2" t="s">
        <v>168</v>
      </c>
      <c r="D148" s="2" t="s">
        <v>16</v>
      </c>
      <c r="E148" s="2" t="s">
        <v>82</v>
      </c>
      <c r="F148" s="2">
        <v>3256</v>
      </c>
      <c r="G148" s="2">
        <v>459</v>
      </c>
      <c r="H148" s="2">
        <v>266</v>
      </c>
      <c r="I148" s="2">
        <v>26048</v>
      </c>
      <c r="J148" s="2">
        <v>25529</v>
      </c>
      <c r="K148" s="2">
        <v>143</v>
      </c>
      <c r="L148" s="2" t="s">
        <v>30</v>
      </c>
      <c r="M148" s="2" t="s">
        <v>25</v>
      </c>
    </row>
    <row r="149" spans="1:13" ht="15.75" customHeight="1" x14ac:dyDescent="0.3">
      <c r="A149" s="2" t="s">
        <v>327</v>
      </c>
      <c r="B149" s="2" t="s">
        <v>33</v>
      </c>
      <c r="C149" s="2" t="s">
        <v>170</v>
      </c>
      <c r="D149" s="2" t="s">
        <v>74</v>
      </c>
      <c r="E149" s="2" t="s">
        <v>85</v>
      </c>
      <c r="F149" s="2">
        <v>4133</v>
      </c>
      <c r="G149" s="2">
        <v>466</v>
      </c>
      <c r="H149" s="2">
        <v>327</v>
      </c>
      <c r="I149" s="2">
        <v>24798</v>
      </c>
      <c r="J149" s="2">
        <v>24620</v>
      </c>
      <c r="K149" s="2">
        <v>176</v>
      </c>
      <c r="L149" s="2" t="s">
        <v>37</v>
      </c>
      <c r="M149" s="2" t="s">
        <v>38</v>
      </c>
    </row>
    <row r="150" spans="1:13" ht="15.75" customHeight="1" x14ac:dyDescent="0.3">
      <c r="A150" s="2" t="s">
        <v>328</v>
      </c>
      <c r="B150" s="2" t="s">
        <v>14</v>
      </c>
      <c r="C150" s="2" t="s">
        <v>329</v>
      </c>
      <c r="D150" s="2" t="s">
        <v>74</v>
      </c>
      <c r="E150" s="2" t="s">
        <v>145</v>
      </c>
      <c r="F150" s="2">
        <v>1702</v>
      </c>
      <c r="G150" s="2">
        <v>750</v>
      </c>
      <c r="H150" s="2">
        <v>179</v>
      </c>
      <c r="I150" s="2">
        <v>34040</v>
      </c>
      <c r="J150" s="2">
        <v>33174</v>
      </c>
      <c r="K150" s="2">
        <v>76</v>
      </c>
      <c r="L150" s="2" t="s">
        <v>37</v>
      </c>
      <c r="M150" s="2" t="s">
        <v>19</v>
      </c>
    </row>
    <row r="151" spans="1:13" ht="15.75" customHeight="1" x14ac:dyDescent="0.3">
      <c r="A151" s="2" t="s">
        <v>330</v>
      </c>
      <c r="B151" s="2" t="s">
        <v>27</v>
      </c>
      <c r="C151" s="2" t="s">
        <v>331</v>
      </c>
      <c r="D151" s="2" t="s">
        <v>45</v>
      </c>
      <c r="E151" s="2" t="s">
        <v>68</v>
      </c>
      <c r="F151" s="2">
        <v>4295</v>
      </c>
      <c r="G151" s="2">
        <v>853</v>
      </c>
      <c r="H151" s="2">
        <v>325</v>
      </c>
      <c r="I151" s="2">
        <v>85900</v>
      </c>
      <c r="J151" s="2">
        <v>85788</v>
      </c>
      <c r="K151" s="2">
        <v>290</v>
      </c>
      <c r="L151" s="2" t="s">
        <v>30</v>
      </c>
      <c r="M151" s="2" t="s">
        <v>38</v>
      </c>
    </row>
    <row r="152" spans="1:13" ht="15.75" customHeight="1" x14ac:dyDescent="0.3">
      <c r="A152" s="2" t="s">
        <v>332</v>
      </c>
      <c r="B152" s="2" t="s">
        <v>33</v>
      </c>
      <c r="C152" s="2" t="s">
        <v>186</v>
      </c>
      <c r="D152" s="2" t="s">
        <v>52</v>
      </c>
      <c r="E152" s="2" t="s">
        <v>215</v>
      </c>
      <c r="F152" s="2">
        <v>3559</v>
      </c>
      <c r="G152" s="2">
        <v>59</v>
      </c>
      <c r="H152" s="2">
        <v>289</v>
      </c>
      <c r="I152" s="2">
        <v>35590</v>
      </c>
      <c r="J152" s="2">
        <v>35105</v>
      </c>
      <c r="K152" s="2">
        <v>122</v>
      </c>
      <c r="L152" s="2" t="s">
        <v>37</v>
      </c>
      <c r="M152" s="2" t="s">
        <v>19</v>
      </c>
    </row>
    <row r="153" spans="1:13" ht="15.75" customHeight="1" x14ac:dyDescent="0.3">
      <c r="A153" s="2" t="s">
        <v>333</v>
      </c>
      <c r="B153" s="2" t="s">
        <v>43</v>
      </c>
      <c r="C153" s="2" t="s">
        <v>334</v>
      </c>
      <c r="D153" s="2" t="s">
        <v>52</v>
      </c>
      <c r="E153" s="2" t="s">
        <v>59</v>
      </c>
      <c r="F153" s="2">
        <v>4804</v>
      </c>
      <c r="G153" s="2">
        <v>550</v>
      </c>
      <c r="H153" s="2">
        <v>270</v>
      </c>
      <c r="I153" s="2">
        <v>28824</v>
      </c>
      <c r="J153" s="2">
        <v>28370</v>
      </c>
      <c r="K153" s="2">
        <v>47</v>
      </c>
      <c r="L153" s="2" t="s">
        <v>37</v>
      </c>
      <c r="M153" s="2" t="s">
        <v>38</v>
      </c>
    </row>
    <row r="154" spans="1:13" ht="15.75" customHeight="1" x14ac:dyDescent="0.3">
      <c r="A154" s="2" t="s">
        <v>335</v>
      </c>
      <c r="B154" s="2" t="s">
        <v>14</v>
      </c>
      <c r="C154" s="2" t="s">
        <v>336</v>
      </c>
      <c r="D154" s="2" t="s">
        <v>74</v>
      </c>
      <c r="E154" s="2" t="s">
        <v>145</v>
      </c>
      <c r="F154" s="2">
        <v>754</v>
      </c>
      <c r="G154" s="2">
        <v>197</v>
      </c>
      <c r="H154" s="2">
        <v>257</v>
      </c>
      <c r="I154" s="2">
        <v>6786</v>
      </c>
      <c r="J154" s="2">
        <v>6221</v>
      </c>
      <c r="K154" s="2">
        <v>212</v>
      </c>
      <c r="L154" s="2" t="s">
        <v>30</v>
      </c>
      <c r="M154" s="2" t="s">
        <v>31</v>
      </c>
    </row>
    <row r="155" spans="1:13" ht="15.75" customHeight="1" x14ac:dyDescent="0.3">
      <c r="A155" s="2" t="s">
        <v>337</v>
      </c>
      <c r="B155" s="2" t="s">
        <v>33</v>
      </c>
      <c r="C155" s="2" t="s">
        <v>209</v>
      </c>
      <c r="D155" s="2" t="s">
        <v>45</v>
      </c>
      <c r="E155" s="2" t="s">
        <v>88</v>
      </c>
      <c r="F155" s="2">
        <v>985</v>
      </c>
      <c r="G155" s="2">
        <v>932</v>
      </c>
      <c r="H155" s="2">
        <v>287</v>
      </c>
      <c r="I155" s="2">
        <v>6895</v>
      </c>
      <c r="J155" s="2">
        <v>6757</v>
      </c>
      <c r="K155" s="2">
        <v>64</v>
      </c>
      <c r="L155" s="2" t="s">
        <v>62</v>
      </c>
      <c r="M155" s="2" t="s">
        <v>38</v>
      </c>
    </row>
    <row r="156" spans="1:13" ht="15.75" customHeight="1" x14ac:dyDescent="0.3">
      <c r="A156" s="2" t="s">
        <v>338</v>
      </c>
      <c r="B156" s="2" t="s">
        <v>27</v>
      </c>
      <c r="C156" s="2" t="s">
        <v>339</v>
      </c>
      <c r="D156" s="2" t="s">
        <v>52</v>
      </c>
      <c r="E156" s="2" t="s">
        <v>53</v>
      </c>
      <c r="F156" s="2">
        <v>2283</v>
      </c>
      <c r="G156" s="2">
        <v>210</v>
      </c>
      <c r="H156" s="2">
        <v>130</v>
      </c>
      <c r="I156" s="2">
        <v>22830</v>
      </c>
      <c r="J156" s="2">
        <v>22617</v>
      </c>
      <c r="K156" s="2">
        <v>143</v>
      </c>
      <c r="L156" s="2" t="s">
        <v>62</v>
      </c>
      <c r="M156" s="2" t="s">
        <v>25</v>
      </c>
    </row>
    <row r="157" spans="1:13" ht="15.75" customHeight="1" x14ac:dyDescent="0.3">
      <c r="A157" s="2" t="s">
        <v>340</v>
      </c>
      <c r="B157" s="2" t="s">
        <v>43</v>
      </c>
      <c r="C157" s="2" t="s">
        <v>341</v>
      </c>
      <c r="D157" s="2" t="s">
        <v>45</v>
      </c>
      <c r="E157" s="2" t="s">
        <v>46</v>
      </c>
      <c r="F157" s="2">
        <v>3352</v>
      </c>
      <c r="G157" s="2">
        <v>941</v>
      </c>
      <c r="H157" s="2">
        <v>482</v>
      </c>
      <c r="I157" s="2">
        <v>43576</v>
      </c>
      <c r="J157" s="2">
        <v>43338</v>
      </c>
      <c r="K157" s="2">
        <v>240</v>
      </c>
      <c r="L157" s="2" t="s">
        <v>62</v>
      </c>
      <c r="M157" s="2" t="s">
        <v>25</v>
      </c>
    </row>
    <row r="158" spans="1:13" ht="15.75" customHeight="1" x14ac:dyDescent="0.3">
      <c r="A158" s="2" t="s">
        <v>342</v>
      </c>
      <c r="B158" s="2" t="s">
        <v>27</v>
      </c>
      <c r="C158" s="2" t="s">
        <v>343</v>
      </c>
      <c r="D158" s="2" t="s">
        <v>35</v>
      </c>
      <c r="E158" s="2" t="s">
        <v>154</v>
      </c>
      <c r="F158" s="2">
        <v>4775</v>
      </c>
      <c r="G158" s="2">
        <v>173</v>
      </c>
      <c r="H158" s="2">
        <v>206</v>
      </c>
      <c r="I158" s="2">
        <v>47750</v>
      </c>
      <c r="J158" s="2">
        <v>47544</v>
      </c>
      <c r="K158" s="2">
        <v>187</v>
      </c>
      <c r="L158" s="2" t="s">
        <v>62</v>
      </c>
      <c r="M158" s="2" t="s">
        <v>25</v>
      </c>
    </row>
    <row r="159" spans="1:13" ht="15.75" customHeight="1" x14ac:dyDescent="0.3">
      <c r="A159" s="2" t="s">
        <v>344</v>
      </c>
      <c r="B159" s="2" t="s">
        <v>33</v>
      </c>
      <c r="C159" s="2" t="s">
        <v>345</v>
      </c>
      <c r="D159" s="2" t="s">
        <v>35</v>
      </c>
      <c r="E159" s="2" t="s">
        <v>36</v>
      </c>
      <c r="F159" s="2">
        <v>1762</v>
      </c>
      <c r="G159" s="2">
        <v>405</v>
      </c>
      <c r="H159" s="2">
        <v>423</v>
      </c>
      <c r="I159" s="2">
        <v>22906</v>
      </c>
      <c r="J159" s="2">
        <v>21925</v>
      </c>
      <c r="K159" s="2">
        <v>25</v>
      </c>
      <c r="L159" s="2" t="s">
        <v>30</v>
      </c>
      <c r="M159" s="2" t="s">
        <v>19</v>
      </c>
    </row>
    <row r="160" spans="1:13" ht="15.75" customHeight="1" x14ac:dyDescent="0.3">
      <c r="A160" s="2" t="s">
        <v>346</v>
      </c>
      <c r="B160" s="2" t="s">
        <v>43</v>
      </c>
      <c r="C160" s="2" t="s">
        <v>129</v>
      </c>
      <c r="D160" s="2" t="s">
        <v>35</v>
      </c>
      <c r="E160" s="2" t="s">
        <v>71</v>
      </c>
      <c r="F160" s="2">
        <v>2120</v>
      </c>
      <c r="G160" s="2">
        <v>158</v>
      </c>
      <c r="H160" s="2">
        <v>488</v>
      </c>
      <c r="I160" s="2">
        <v>12720</v>
      </c>
      <c r="J160" s="2">
        <v>12085</v>
      </c>
      <c r="K160" s="2">
        <v>17</v>
      </c>
      <c r="L160" s="2" t="s">
        <v>62</v>
      </c>
      <c r="M160" s="2" t="s">
        <v>25</v>
      </c>
    </row>
    <row r="161" spans="1:13" ht="15.75" customHeight="1" x14ac:dyDescent="0.3">
      <c r="A161" s="2" t="s">
        <v>347</v>
      </c>
      <c r="B161" s="2" t="s">
        <v>14</v>
      </c>
      <c r="C161" s="2" t="s">
        <v>348</v>
      </c>
      <c r="D161" s="2" t="s">
        <v>74</v>
      </c>
      <c r="E161" s="2" t="s">
        <v>145</v>
      </c>
      <c r="F161" s="2">
        <v>1082</v>
      </c>
      <c r="G161" s="2">
        <v>209</v>
      </c>
      <c r="H161" s="2">
        <v>484</v>
      </c>
      <c r="I161" s="2">
        <v>19476</v>
      </c>
      <c r="J161" s="2">
        <v>18654</v>
      </c>
      <c r="K161" s="2">
        <v>20</v>
      </c>
      <c r="L161" s="2" t="s">
        <v>30</v>
      </c>
    </row>
    <row r="162" spans="1:13" ht="15.75" customHeight="1" x14ac:dyDescent="0.3">
      <c r="A162" s="2" t="s">
        <v>349</v>
      </c>
      <c r="B162" s="2" t="s">
        <v>14</v>
      </c>
      <c r="C162" s="2" t="s">
        <v>350</v>
      </c>
      <c r="D162" s="2" t="s">
        <v>22</v>
      </c>
      <c r="E162" s="2" t="s">
        <v>23</v>
      </c>
      <c r="F162" s="2">
        <v>4671</v>
      </c>
      <c r="G162" s="2">
        <v>876</v>
      </c>
      <c r="H162" s="2">
        <v>366</v>
      </c>
      <c r="I162" s="2">
        <v>51381</v>
      </c>
      <c r="J162" s="2">
        <v>50565</v>
      </c>
      <c r="K162" s="2">
        <v>245</v>
      </c>
      <c r="L162" s="2" t="s">
        <v>30</v>
      </c>
      <c r="M162" s="2" t="s">
        <v>38</v>
      </c>
    </row>
    <row r="163" spans="1:13" ht="15.75" customHeight="1" x14ac:dyDescent="0.3">
      <c r="A163" s="2" t="s">
        <v>351</v>
      </c>
      <c r="B163" s="2" t="s">
        <v>43</v>
      </c>
      <c r="C163" s="2" t="s">
        <v>352</v>
      </c>
      <c r="D163" s="2" t="s">
        <v>35</v>
      </c>
      <c r="E163" s="2" t="s">
        <v>71</v>
      </c>
      <c r="F163" s="2">
        <v>3430</v>
      </c>
      <c r="G163" s="2">
        <v>566</v>
      </c>
      <c r="H163" s="2">
        <v>164</v>
      </c>
      <c r="I163" s="2">
        <v>48020</v>
      </c>
      <c r="J163" s="2">
        <v>47305</v>
      </c>
      <c r="K163" s="2">
        <v>120</v>
      </c>
      <c r="L163" s="2" t="s">
        <v>62</v>
      </c>
    </row>
    <row r="164" spans="1:13" ht="15.75" customHeight="1" x14ac:dyDescent="0.3">
      <c r="A164" s="2" t="s">
        <v>353</v>
      </c>
      <c r="B164" s="2" t="s">
        <v>33</v>
      </c>
      <c r="C164" s="2" t="s">
        <v>354</v>
      </c>
      <c r="D164" s="2" t="s">
        <v>52</v>
      </c>
      <c r="E164" s="2" t="s">
        <v>215</v>
      </c>
      <c r="F164" s="2">
        <v>4501</v>
      </c>
      <c r="G164" s="2">
        <v>375</v>
      </c>
      <c r="H164" s="2">
        <v>323</v>
      </c>
      <c r="I164" s="2">
        <v>22505</v>
      </c>
      <c r="J164" s="2">
        <v>21836</v>
      </c>
      <c r="K164" s="2">
        <v>132</v>
      </c>
      <c r="L164" s="2" t="s">
        <v>30</v>
      </c>
      <c r="M164" s="2" t="s">
        <v>25</v>
      </c>
    </row>
    <row r="165" spans="1:13" ht="15.75" customHeight="1" x14ac:dyDescent="0.3">
      <c r="A165" s="2" t="s">
        <v>355</v>
      </c>
      <c r="B165" s="2" t="s">
        <v>27</v>
      </c>
      <c r="C165" s="2" t="s">
        <v>92</v>
      </c>
      <c r="D165" s="2" t="s">
        <v>22</v>
      </c>
      <c r="E165" s="2" t="s">
        <v>104</v>
      </c>
      <c r="F165" s="2">
        <v>4934</v>
      </c>
      <c r="G165" s="2">
        <v>971</v>
      </c>
      <c r="H165" s="2">
        <v>156</v>
      </c>
      <c r="I165" s="2">
        <v>39472</v>
      </c>
      <c r="J165" s="2">
        <v>39025</v>
      </c>
      <c r="K165" s="2">
        <v>169</v>
      </c>
      <c r="L165" s="2" t="s">
        <v>95</v>
      </c>
      <c r="M165" s="2" t="s">
        <v>38</v>
      </c>
    </row>
    <row r="166" spans="1:13" ht="15.75" customHeight="1" x14ac:dyDescent="0.3">
      <c r="A166" s="2" t="s">
        <v>356</v>
      </c>
      <c r="B166" s="2" t="s">
        <v>14</v>
      </c>
      <c r="C166" s="2" t="s">
        <v>237</v>
      </c>
      <c r="D166" s="2" t="s">
        <v>22</v>
      </c>
      <c r="E166" s="2" t="s">
        <v>23</v>
      </c>
      <c r="F166" s="2">
        <v>3239</v>
      </c>
      <c r="G166" s="2">
        <v>43</v>
      </c>
      <c r="H166" s="2">
        <v>211</v>
      </c>
      <c r="I166" s="2">
        <v>22673</v>
      </c>
      <c r="J166" s="2">
        <v>22171</v>
      </c>
      <c r="K166" s="2">
        <v>230</v>
      </c>
      <c r="L166" s="2" t="s">
        <v>30</v>
      </c>
      <c r="M166" s="2" t="s">
        <v>25</v>
      </c>
    </row>
    <row r="167" spans="1:13" ht="15.75" customHeight="1" x14ac:dyDescent="0.3">
      <c r="A167" s="2" t="s">
        <v>357</v>
      </c>
      <c r="B167" s="2" t="s">
        <v>14</v>
      </c>
      <c r="C167" s="2" t="s">
        <v>70</v>
      </c>
      <c r="D167" s="2" t="s">
        <v>16</v>
      </c>
      <c r="E167" s="2" t="s">
        <v>17</v>
      </c>
      <c r="F167" s="2">
        <v>1076</v>
      </c>
      <c r="G167" s="2">
        <v>313</v>
      </c>
      <c r="H167" s="2">
        <v>306</v>
      </c>
      <c r="I167" s="2">
        <v>11836</v>
      </c>
      <c r="J167" s="2">
        <v>11596</v>
      </c>
      <c r="K167" s="2">
        <v>104</v>
      </c>
      <c r="L167" s="2" t="s">
        <v>62</v>
      </c>
      <c r="M167" s="2" t="s">
        <v>19</v>
      </c>
    </row>
    <row r="168" spans="1:13" ht="15.75" customHeight="1" x14ac:dyDescent="0.3">
      <c r="A168" s="2" t="s">
        <v>358</v>
      </c>
      <c r="B168" s="2" t="s">
        <v>33</v>
      </c>
      <c r="C168" s="2" t="s">
        <v>307</v>
      </c>
      <c r="D168" s="2" t="s">
        <v>22</v>
      </c>
      <c r="E168" s="2" t="s">
        <v>113</v>
      </c>
      <c r="F168" s="2">
        <v>4771</v>
      </c>
      <c r="G168" s="2">
        <v>818</v>
      </c>
      <c r="H168" s="2">
        <v>56</v>
      </c>
      <c r="I168" s="2">
        <v>57252</v>
      </c>
      <c r="J168" s="2">
        <v>56378</v>
      </c>
      <c r="K168" s="2">
        <v>150</v>
      </c>
      <c r="L168" s="2" t="s">
        <v>62</v>
      </c>
    </row>
    <row r="169" spans="1:13" ht="15.75" customHeight="1" x14ac:dyDescent="0.3">
      <c r="A169" s="2" t="s">
        <v>359</v>
      </c>
      <c r="B169" s="2" t="s">
        <v>43</v>
      </c>
      <c r="C169" s="2" t="s">
        <v>360</v>
      </c>
      <c r="D169" s="2" t="s">
        <v>22</v>
      </c>
      <c r="E169" s="2" t="s">
        <v>56</v>
      </c>
      <c r="F169" s="2">
        <v>2418</v>
      </c>
      <c r="G169" s="2">
        <v>754</v>
      </c>
      <c r="H169" s="2">
        <v>54</v>
      </c>
      <c r="I169" s="2">
        <v>43524</v>
      </c>
      <c r="J169" s="2">
        <v>42743</v>
      </c>
      <c r="K169" s="2">
        <v>182</v>
      </c>
      <c r="L169" s="2" t="s">
        <v>37</v>
      </c>
      <c r="M169" s="2" t="s">
        <v>19</v>
      </c>
    </row>
    <row r="170" spans="1:13" ht="15.75" customHeight="1" x14ac:dyDescent="0.3">
      <c r="A170" s="2" t="s">
        <v>361</v>
      </c>
      <c r="B170" s="2" t="s">
        <v>27</v>
      </c>
      <c r="C170" s="2" t="s">
        <v>362</v>
      </c>
      <c r="D170" s="2" t="s">
        <v>74</v>
      </c>
      <c r="E170" s="2" t="s">
        <v>219</v>
      </c>
      <c r="F170" s="2">
        <v>3809</v>
      </c>
      <c r="G170" s="2">
        <v>273</v>
      </c>
      <c r="H170" s="2">
        <v>200</v>
      </c>
      <c r="I170" s="2">
        <v>34281</v>
      </c>
      <c r="J170" s="2">
        <v>33534</v>
      </c>
      <c r="K170" s="2">
        <v>83</v>
      </c>
      <c r="L170" s="2" t="s">
        <v>37</v>
      </c>
      <c r="M170" s="2" t="s">
        <v>19</v>
      </c>
    </row>
    <row r="171" spans="1:13" ht="15.75" customHeight="1" x14ac:dyDescent="0.3">
      <c r="A171" s="2" t="s">
        <v>363</v>
      </c>
      <c r="B171" s="2" t="s">
        <v>14</v>
      </c>
      <c r="C171" s="2" t="s">
        <v>364</v>
      </c>
      <c r="D171" s="2" t="s">
        <v>22</v>
      </c>
      <c r="E171" s="2" t="s">
        <v>23</v>
      </c>
      <c r="F171" s="2">
        <v>3577</v>
      </c>
      <c r="G171" s="2">
        <v>596</v>
      </c>
      <c r="H171" s="2">
        <v>493</v>
      </c>
      <c r="I171" s="2">
        <v>67963</v>
      </c>
      <c r="J171" s="2">
        <v>67839</v>
      </c>
      <c r="K171" s="2">
        <v>53</v>
      </c>
      <c r="L171" s="2" t="s">
        <v>30</v>
      </c>
      <c r="M171" s="2" t="s">
        <v>31</v>
      </c>
    </row>
    <row r="172" spans="1:13" ht="15.75" customHeight="1" x14ac:dyDescent="0.3">
      <c r="A172" s="2" t="s">
        <v>365</v>
      </c>
      <c r="B172" s="2" t="s">
        <v>27</v>
      </c>
      <c r="C172" s="2" t="s">
        <v>366</v>
      </c>
      <c r="D172" s="2" t="s">
        <v>74</v>
      </c>
      <c r="E172" s="2" t="s">
        <v>219</v>
      </c>
      <c r="F172" s="2">
        <v>1018</v>
      </c>
      <c r="G172" s="2">
        <v>447</v>
      </c>
      <c r="H172" s="2">
        <v>332</v>
      </c>
      <c r="I172" s="2">
        <v>18324</v>
      </c>
      <c r="J172" s="2">
        <v>18164</v>
      </c>
      <c r="K172" s="2">
        <v>38</v>
      </c>
      <c r="L172" s="2" t="s">
        <v>62</v>
      </c>
      <c r="M172" s="2" t="s">
        <v>25</v>
      </c>
    </row>
    <row r="173" spans="1:13" ht="15.75" customHeight="1" x14ac:dyDescent="0.3">
      <c r="A173" s="2" t="s">
        <v>367</v>
      </c>
      <c r="B173" s="2" t="s">
        <v>43</v>
      </c>
      <c r="C173" s="2" t="s">
        <v>368</v>
      </c>
      <c r="D173" s="2" t="s">
        <v>45</v>
      </c>
      <c r="E173" s="2" t="s">
        <v>46</v>
      </c>
      <c r="F173" s="2">
        <v>3073</v>
      </c>
      <c r="G173" s="2">
        <v>553</v>
      </c>
      <c r="H173" s="2">
        <v>174</v>
      </c>
      <c r="I173" s="2">
        <v>52241</v>
      </c>
      <c r="J173" s="2">
        <v>51605</v>
      </c>
      <c r="K173" s="2">
        <v>246</v>
      </c>
      <c r="L173" s="2" t="s">
        <v>37</v>
      </c>
      <c r="M173" s="2" t="s">
        <v>31</v>
      </c>
    </row>
    <row r="174" spans="1:13" ht="15.75" customHeight="1" x14ac:dyDescent="0.3">
      <c r="A174" s="2" t="s">
        <v>369</v>
      </c>
      <c r="B174" s="2" t="s">
        <v>14</v>
      </c>
      <c r="C174" s="2" t="s">
        <v>370</v>
      </c>
      <c r="D174" s="2" t="s">
        <v>74</v>
      </c>
      <c r="E174" s="2" t="s">
        <v>145</v>
      </c>
      <c r="F174" s="2">
        <v>1330</v>
      </c>
      <c r="G174" s="2">
        <v>925</v>
      </c>
      <c r="H174" s="2">
        <v>35</v>
      </c>
      <c r="I174" s="2">
        <v>15960</v>
      </c>
      <c r="J174" s="2">
        <v>15379</v>
      </c>
      <c r="K174" s="2">
        <v>229</v>
      </c>
      <c r="L174" s="2" t="s">
        <v>62</v>
      </c>
      <c r="M174" s="2" t="s">
        <v>31</v>
      </c>
    </row>
    <row r="175" spans="1:13" ht="15.75" customHeight="1" x14ac:dyDescent="0.3">
      <c r="A175" s="2" t="s">
        <v>371</v>
      </c>
      <c r="B175" s="2" t="s">
        <v>43</v>
      </c>
      <c r="C175" s="2" t="s">
        <v>172</v>
      </c>
      <c r="D175" s="2" t="s">
        <v>22</v>
      </c>
      <c r="E175" s="2" t="s">
        <v>56</v>
      </c>
      <c r="F175" s="2">
        <v>3828</v>
      </c>
      <c r="G175" s="2">
        <v>148</v>
      </c>
      <c r="H175" s="2">
        <v>253</v>
      </c>
      <c r="I175" s="2">
        <v>30624</v>
      </c>
      <c r="J175" s="2">
        <v>30229</v>
      </c>
      <c r="K175" s="2">
        <v>235</v>
      </c>
      <c r="L175" s="2" t="s">
        <v>37</v>
      </c>
    </row>
    <row r="176" spans="1:13" ht="15.75" customHeight="1" x14ac:dyDescent="0.3">
      <c r="A176" s="2" t="s">
        <v>372</v>
      </c>
      <c r="B176" s="2" t="s">
        <v>33</v>
      </c>
      <c r="C176" s="2" t="s">
        <v>373</v>
      </c>
      <c r="D176" s="2" t="s">
        <v>16</v>
      </c>
      <c r="E176" s="2" t="s">
        <v>82</v>
      </c>
      <c r="F176" s="2">
        <v>142</v>
      </c>
      <c r="G176" s="2">
        <v>784</v>
      </c>
      <c r="H176" s="2">
        <v>183</v>
      </c>
      <c r="I176" s="2">
        <v>1704</v>
      </c>
      <c r="J176" s="2">
        <v>995</v>
      </c>
      <c r="K176" s="2">
        <v>154</v>
      </c>
      <c r="L176" s="2" t="s">
        <v>62</v>
      </c>
      <c r="M176" s="2" t="s">
        <v>38</v>
      </c>
    </row>
    <row r="177" spans="1:13" ht="15.75" customHeight="1" x14ac:dyDescent="0.3">
      <c r="A177" s="2" t="s">
        <v>374</v>
      </c>
      <c r="B177" s="2" t="s">
        <v>43</v>
      </c>
      <c r="C177" s="2" t="s">
        <v>375</v>
      </c>
      <c r="D177" s="2" t="s">
        <v>74</v>
      </c>
      <c r="E177" s="2" t="s">
        <v>75</v>
      </c>
      <c r="F177" s="2">
        <v>3798</v>
      </c>
      <c r="G177" s="2">
        <v>31</v>
      </c>
      <c r="H177" s="2">
        <v>279</v>
      </c>
      <c r="I177" s="2">
        <v>75960</v>
      </c>
      <c r="J177" s="2">
        <v>75813</v>
      </c>
      <c r="K177" s="2">
        <v>266</v>
      </c>
      <c r="L177" s="2" t="s">
        <v>30</v>
      </c>
      <c r="M177" s="2" t="s">
        <v>19</v>
      </c>
    </row>
    <row r="178" spans="1:13" ht="15.75" customHeight="1" x14ac:dyDescent="0.3">
      <c r="A178" s="2" t="s">
        <v>376</v>
      </c>
      <c r="B178" s="2" t="s">
        <v>33</v>
      </c>
      <c r="C178" s="2" t="s">
        <v>377</v>
      </c>
      <c r="D178" s="2" t="s">
        <v>45</v>
      </c>
      <c r="E178" s="2" t="s">
        <v>88</v>
      </c>
      <c r="F178" s="2">
        <v>3099</v>
      </c>
      <c r="G178" s="2">
        <v>694</v>
      </c>
      <c r="H178" s="2">
        <v>171</v>
      </c>
      <c r="I178" s="2">
        <v>43386</v>
      </c>
      <c r="J178" s="2">
        <v>42921</v>
      </c>
      <c r="K178" s="2">
        <v>52</v>
      </c>
      <c r="L178" s="2" t="s">
        <v>30</v>
      </c>
      <c r="M178" s="2" t="s">
        <v>31</v>
      </c>
    </row>
    <row r="179" spans="1:13" ht="15.75" customHeight="1" x14ac:dyDescent="0.3">
      <c r="A179" s="2" t="s">
        <v>378</v>
      </c>
      <c r="B179" s="2" t="s">
        <v>33</v>
      </c>
      <c r="C179" s="2" t="s">
        <v>205</v>
      </c>
      <c r="D179" s="2" t="s">
        <v>74</v>
      </c>
      <c r="E179" s="2" t="s">
        <v>85</v>
      </c>
      <c r="F179" s="2">
        <v>129</v>
      </c>
      <c r="G179" s="2">
        <v>643</v>
      </c>
      <c r="H179" s="2">
        <v>136</v>
      </c>
      <c r="I179" s="2">
        <v>1290</v>
      </c>
      <c r="J179" s="2">
        <v>839</v>
      </c>
      <c r="K179" s="2">
        <v>238</v>
      </c>
      <c r="L179" s="2" t="s">
        <v>30</v>
      </c>
      <c r="M179" s="2" t="s">
        <v>38</v>
      </c>
    </row>
    <row r="180" spans="1:13" ht="15.75" customHeight="1" x14ac:dyDescent="0.3">
      <c r="A180" s="2" t="s">
        <v>379</v>
      </c>
      <c r="B180" s="2" t="s">
        <v>43</v>
      </c>
      <c r="C180" s="2" t="s">
        <v>315</v>
      </c>
      <c r="D180" s="2" t="s">
        <v>45</v>
      </c>
      <c r="E180" s="2" t="s">
        <v>46</v>
      </c>
      <c r="F180" s="2">
        <v>3796</v>
      </c>
      <c r="G180" s="2">
        <v>667</v>
      </c>
      <c r="H180" s="2">
        <v>395</v>
      </c>
      <c r="I180" s="2">
        <v>64532</v>
      </c>
      <c r="J180" s="2">
        <v>63550</v>
      </c>
      <c r="K180" s="2">
        <v>292</v>
      </c>
      <c r="L180" s="2" t="s">
        <v>30</v>
      </c>
    </row>
    <row r="181" spans="1:13" ht="15.75" customHeight="1" x14ac:dyDescent="0.3">
      <c r="A181" s="2" t="s">
        <v>380</v>
      </c>
      <c r="B181" s="2" t="s">
        <v>27</v>
      </c>
      <c r="C181" s="2" t="s">
        <v>362</v>
      </c>
      <c r="D181" s="2" t="s">
        <v>22</v>
      </c>
      <c r="E181" s="2" t="s">
        <v>104</v>
      </c>
      <c r="F181" s="2">
        <v>3711</v>
      </c>
      <c r="G181" s="2">
        <v>352</v>
      </c>
      <c r="H181" s="2">
        <v>290</v>
      </c>
      <c r="I181" s="2">
        <v>48243</v>
      </c>
      <c r="J181" s="2">
        <v>47579</v>
      </c>
      <c r="K181" s="2">
        <v>11</v>
      </c>
      <c r="L181" s="2" t="s">
        <v>30</v>
      </c>
      <c r="M181" s="2" t="s">
        <v>19</v>
      </c>
    </row>
    <row r="182" spans="1:13" ht="15.75" customHeight="1" x14ac:dyDescent="0.3">
      <c r="A182" s="2" t="s">
        <v>381</v>
      </c>
      <c r="B182" s="2" t="s">
        <v>27</v>
      </c>
      <c r="C182" s="2" t="s">
        <v>382</v>
      </c>
      <c r="D182" s="2" t="s">
        <v>52</v>
      </c>
      <c r="E182" s="2" t="s">
        <v>53</v>
      </c>
      <c r="F182" s="2">
        <v>606</v>
      </c>
      <c r="G182" s="2">
        <v>789</v>
      </c>
      <c r="H182" s="2">
        <v>470</v>
      </c>
      <c r="I182" s="2">
        <v>7878</v>
      </c>
      <c r="J182" s="2">
        <v>7389</v>
      </c>
      <c r="K182" s="2">
        <v>239</v>
      </c>
      <c r="L182" s="2" t="s">
        <v>37</v>
      </c>
      <c r="M182" s="2" t="s">
        <v>31</v>
      </c>
    </row>
    <row r="183" spans="1:13" ht="15.75" customHeight="1" x14ac:dyDescent="0.3">
      <c r="A183" s="2" t="s">
        <v>383</v>
      </c>
      <c r="B183" s="2" t="s">
        <v>43</v>
      </c>
      <c r="C183" s="2" t="s">
        <v>115</v>
      </c>
      <c r="D183" s="2" t="s">
        <v>52</v>
      </c>
      <c r="E183" s="2" t="s">
        <v>59</v>
      </c>
      <c r="F183" s="2">
        <v>4689</v>
      </c>
      <c r="G183" s="2">
        <v>134</v>
      </c>
      <c r="H183" s="2">
        <v>403</v>
      </c>
      <c r="I183" s="2">
        <v>51579</v>
      </c>
      <c r="J183" s="2">
        <v>50924</v>
      </c>
      <c r="K183" s="2">
        <v>173</v>
      </c>
      <c r="L183" s="2" t="s">
        <v>30</v>
      </c>
      <c r="M183" s="2" t="s">
        <v>38</v>
      </c>
    </row>
    <row r="184" spans="1:13" ht="15.75" customHeight="1" x14ac:dyDescent="0.3">
      <c r="A184" s="2" t="s">
        <v>384</v>
      </c>
      <c r="B184" s="2" t="s">
        <v>33</v>
      </c>
      <c r="C184" s="2" t="s">
        <v>385</v>
      </c>
      <c r="D184" s="2" t="s">
        <v>35</v>
      </c>
      <c r="E184" s="2" t="s">
        <v>36</v>
      </c>
      <c r="F184" s="2">
        <v>360</v>
      </c>
      <c r="G184" s="2">
        <v>590</v>
      </c>
      <c r="H184" s="2">
        <v>393</v>
      </c>
      <c r="I184" s="2">
        <v>4680</v>
      </c>
      <c r="J184" s="2">
        <v>4322</v>
      </c>
      <c r="K184" s="2">
        <v>208</v>
      </c>
      <c r="L184" s="2" t="s">
        <v>62</v>
      </c>
      <c r="M184" s="2" t="s">
        <v>25</v>
      </c>
    </row>
    <row r="185" spans="1:13" ht="15.75" customHeight="1" x14ac:dyDescent="0.3">
      <c r="A185" s="2" t="s">
        <v>386</v>
      </c>
      <c r="B185" s="2" t="s">
        <v>14</v>
      </c>
      <c r="C185" s="2" t="s">
        <v>387</v>
      </c>
      <c r="D185" s="2" t="s">
        <v>52</v>
      </c>
      <c r="E185" s="2" t="s">
        <v>132</v>
      </c>
      <c r="F185" s="2">
        <v>3215</v>
      </c>
      <c r="G185" s="2">
        <v>960</v>
      </c>
      <c r="H185" s="2">
        <v>202</v>
      </c>
      <c r="I185" s="2">
        <v>32150</v>
      </c>
      <c r="J185" s="2">
        <v>31404</v>
      </c>
      <c r="K185" s="2">
        <v>251</v>
      </c>
      <c r="L185" s="2" t="s">
        <v>37</v>
      </c>
      <c r="M185" s="2" t="s">
        <v>19</v>
      </c>
    </row>
    <row r="186" spans="1:13" ht="15.75" customHeight="1" x14ac:dyDescent="0.3">
      <c r="A186" s="2" t="s">
        <v>388</v>
      </c>
      <c r="B186" s="2" t="s">
        <v>33</v>
      </c>
      <c r="C186" s="2" t="s">
        <v>389</v>
      </c>
      <c r="D186" s="2" t="s">
        <v>45</v>
      </c>
      <c r="E186" s="2" t="s">
        <v>88</v>
      </c>
      <c r="F186" s="2">
        <v>4523</v>
      </c>
      <c r="G186" s="2">
        <v>61</v>
      </c>
      <c r="H186" s="2">
        <v>157</v>
      </c>
      <c r="I186" s="2">
        <v>49753</v>
      </c>
      <c r="J186" s="2">
        <v>49329</v>
      </c>
      <c r="K186" s="2">
        <v>71</v>
      </c>
      <c r="L186" s="2" t="s">
        <v>37</v>
      </c>
    </row>
    <row r="187" spans="1:13" ht="15.75" customHeight="1" x14ac:dyDescent="0.3">
      <c r="A187" s="2" t="s">
        <v>390</v>
      </c>
      <c r="B187" s="2" t="s">
        <v>43</v>
      </c>
      <c r="C187" s="2" t="s">
        <v>348</v>
      </c>
      <c r="D187" s="2" t="s">
        <v>45</v>
      </c>
      <c r="E187" s="2" t="s">
        <v>46</v>
      </c>
      <c r="F187" s="2">
        <v>4292</v>
      </c>
      <c r="G187" s="2">
        <v>51</v>
      </c>
      <c r="H187" s="2">
        <v>392</v>
      </c>
      <c r="I187" s="2">
        <v>55796</v>
      </c>
      <c r="J187" s="2">
        <v>54826</v>
      </c>
      <c r="K187" s="2">
        <v>264</v>
      </c>
      <c r="L187" s="2" t="s">
        <v>37</v>
      </c>
      <c r="M187" s="2" t="s">
        <v>31</v>
      </c>
    </row>
    <row r="188" spans="1:13" ht="15.75" customHeight="1" x14ac:dyDescent="0.3">
      <c r="A188" s="2" t="s">
        <v>391</v>
      </c>
      <c r="B188" s="2" t="s">
        <v>14</v>
      </c>
      <c r="C188" s="2" t="s">
        <v>392</v>
      </c>
      <c r="D188" s="2" t="s">
        <v>16</v>
      </c>
      <c r="E188" s="2" t="s">
        <v>17</v>
      </c>
      <c r="F188" s="2">
        <v>1644</v>
      </c>
      <c r="G188" s="2">
        <v>546</v>
      </c>
      <c r="H188" s="2">
        <v>150</v>
      </c>
      <c r="I188" s="2">
        <v>27948</v>
      </c>
      <c r="J188" s="2">
        <v>27184</v>
      </c>
      <c r="K188" s="2">
        <v>300</v>
      </c>
      <c r="L188" s="2" t="s">
        <v>37</v>
      </c>
      <c r="M188" s="2" t="s">
        <v>31</v>
      </c>
    </row>
    <row r="189" spans="1:13" ht="15.75" customHeight="1" x14ac:dyDescent="0.3">
      <c r="A189" s="2" t="s">
        <v>393</v>
      </c>
      <c r="B189" s="2" t="s">
        <v>27</v>
      </c>
      <c r="C189" s="2" t="s">
        <v>226</v>
      </c>
      <c r="D189" s="2" t="s">
        <v>16</v>
      </c>
      <c r="E189" s="2" t="s">
        <v>29</v>
      </c>
      <c r="F189" s="2">
        <v>2728</v>
      </c>
      <c r="G189" s="2">
        <v>533</v>
      </c>
      <c r="H189" s="2">
        <v>215</v>
      </c>
      <c r="I189" s="2">
        <v>40920</v>
      </c>
      <c r="J189" s="2">
        <v>40816</v>
      </c>
      <c r="K189" s="2">
        <v>137</v>
      </c>
      <c r="L189" s="2" t="s">
        <v>62</v>
      </c>
      <c r="M189" s="2" t="s">
        <v>25</v>
      </c>
    </row>
    <row r="190" spans="1:13" ht="15.75" customHeight="1" x14ac:dyDescent="0.3">
      <c r="A190" s="2" t="s">
        <v>394</v>
      </c>
      <c r="B190" s="2" t="s">
        <v>43</v>
      </c>
      <c r="C190" s="2" t="s">
        <v>234</v>
      </c>
      <c r="D190" s="2" t="s">
        <v>16</v>
      </c>
      <c r="E190" s="2" t="s">
        <v>65</v>
      </c>
      <c r="F190" s="2">
        <v>3360</v>
      </c>
      <c r="G190" s="2">
        <v>525</v>
      </c>
      <c r="H190" s="2">
        <v>500</v>
      </c>
      <c r="I190" s="2">
        <v>60480</v>
      </c>
      <c r="J190" s="2">
        <v>59610</v>
      </c>
      <c r="K190" s="2">
        <v>192</v>
      </c>
      <c r="L190" s="2" t="s">
        <v>30</v>
      </c>
      <c r="M190" s="2" t="s">
        <v>19</v>
      </c>
    </row>
    <row r="191" spans="1:13" ht="15.75" customHeight="1" x14ac:dyDescent="0.3">
      <c r="A191" s="2" t="s">
        <v>395</v>
      </c>
      <c r="B191" s="2" t="s">
        <v>27</v>
      </c>
      <c r="C191" s="2" t="s">
        <v>396</v>
      </c>
      <c r="D191" s="2" t="s">
        <v>22</v>
      </c>
      <c r="E191" s="2" t="s">
        <v>104</v>
      </c>
      <c r="F191" s="2">
        <v>1963</v>
      </c>
      <c r="G191" s="2">
        <v>213</v>
      </c>
      <c r="H191" s="2">
        <v>19</v>
      </c>
      <c r="I191" s="2">
        <v>39260</v>
      </c>
      <c r="J191" s="2">
        <v>38771</v>
      </c>
      <c r="K191" s="2">
        <v>145</v>
      </c>
      <c r="L191" s="2" t="s">
        <v>62</v>
      </c>
    </row>
    <row r="192" spans="1:13" ht="15.75" customHeight="1" x14ac:dyDescent="0.3">
      <c r="A192" s="2" t="s">
        <v>397</v>
      </c>
      <c r="B192" s="2" t="s">
        <v>27</v>
      </c>
      <c r="C192" s="2" t="s">
        <v>362</v>
      </c>
      <c r="D192" s="2" t="s">
        <v>35</v>
      </c>
      <c r="E192" s="2" t="s">
        <v>154</v>
      </c>
      <c r="F192" s="2">
        <v>4285</v>
      </c>
      <c r="G192" s="2">
        <v>886</v>
      </c>
      <c r="H192" s="2">
        <v>376</v>
      </c>
      <c r="I192" s="2">
        <v>55705</v>
      </c>
      <c r="J192" s="2">
        <v>55556</v>
      </c>
      <c r="K192" s="2">
        <v>51</v>
      </c>
      <c r="L192" s="2" t="s">
        <v>62</v>
      </c>
      <c r="M192" s="2" t="s">
        <v>31</v>
      </c>
    </row>
    <row r="193" spans="1:13" ht="15.75" customHeight="1" x14ac:dyDescent="0.3">
      <c r="A193" s="2" t="s">
        <v>398</v>
      </c>
      <c r="B193" s="2" t="s">
        <v>33</v>
      </c>
      <c r="C193" s="2" t="s">
        <v>399</v>
      </c>
      <c r="D193" s="2" t="s">
        <v>74</v>
      </c>
      <c r="E193" s="2" t="s">
        <v>85</v>
      </c>
      <c r="F193" s="2">
        <v>1176</v>
      </c>
      <c r="G193" s="2">
        <v>464</v>
      </c>
      <c r="H193" s="2">
        <v>394</v>
      </c>
      <c r="I193" s="2">
        <v>14112</v>
      </c>
      <c r="J193" s="2">
        <v>13588</v>
      </c>
      <c r="K193" s="2">
        <v>272</v>
      </c>
      <c r="L193" s="2" t="s">
        <v>37</v>
      </c>
    </row>
    <row r="194" spans="1:13" ht="15.75" customHeight="1" x14ac:dyDescent="0.3">
      <c r="A194" s="2" t="s">
        <v>400</v>
      </c>
      <c r="B194" s="2" t="s">
        <v>14</v>
      </c>
      <c r="C194" s="2" t="s">
        <v>401</v>
      </c>
      <c r="D194" s="2" t="s">
        <v>52</v>
      </c>
      <c r="E194" s="2" t="s">
        <v>132</v>
      </c>
      <c r="F194" s="2">
        <v>4858</v>
      </c>
      <c r="G194" s="2">
        <v>317</v>
      </c>
      <c r="H194" s="2">
        <v>129</v>
      </c>
      <c r="I194" s="2">
        <v>53438</v>
      </c>
      <c r="J194" s="2">
        <v>52687</v>
      </c>
      <c r="K194" s="2">
        <v>223</v>
      </c>
      <c r="L194" s="2" t="s">
        <v>37</v>
      </c>
      <c r="M194" s="2" t="s">
        <v>31</v>
      </c>
    </row>
    <row r="195" spans="1:13" ht="15.75" customHeight="1" x14ac:dyDescent="0.3">
      <c r="A195" s="2" t="s">
        <v>402</v>
      </c>
      <c r="B195" s="2" t="s">
        <v>27</v>
      </c>
      <c r="C195" s="2" t="s">
        <v>274</v>
      </c>
      <c r="D195" s="2" t="s">
        <v>35</v>
      </c>
      <c r="E195" s="2" t="s">
        <v>154</v>
      </c>
      <c r="F195" s="2">
        <v>4350</v>
      </c>
      <c r="G195" s="2">
        <v>771</v>
      </c>
      <c r="H195" s="2">
        <v>7</v>
      </c>
      <c r="I195" s="2">
        <v>60900</v>
      </c>
      <c r="J195" s="2">
        <v>60592</v>
      </c>
      <c r="K195" s="2">
        <v>195</v>
      </c>
      <c r="L195" s="2" t="s">
        <v>37</v>
      </c>
      <c r="M195" s="2" t="s">
        <v>19</v>
      </c>
    </row>
    <row r="196" spans="1:13" ht="15.75" customHeight="1" x14ac:dyDescent="0.3">
      <c r="A196" s="2" t="s">
        <v>403</v>
      </c>
      <c r="B196" s="2" t="s">
        <v>33</v>
      </c>
      <c r="C196" s="2" t="s">
        <v>404</v>
      </c>
      <c r="D196" s="2" t="s">
        <v>45</v>
      </c>
      <c r="E196" s="2" t="s">
        <v>88</v>
      </c>
      <c r="F196" s="2">
        <v>914</v>
      </c>
      <c r="G196" s="2">
        <v>464</v>
      </c>
      <c r="H196" s="2">
        <v>246</v>
      </c>
      <c r="I196" s="2">
        <v>11882</v>
      </c>
      <c r="J196" s="2">
        <v>11500</v>
      </c>
      <c r="K196" s="2">
        <v>282</v>
      </c>
      <c r="L196" s="2" t="s">
        <v>216</v>
      </c>
      <c r="M196" s="2" t="s">
        <v>38</v>
      </c>
    </row>
    <row r="197" spans="1:13" ht="15.75" customHeight="1" x14ac:dyDescent="0.3">
      <c r="A197" s="2" t="s">
        <v>405</v>
      </c>
      <c r="B197" s="2" t="s">
        <v>33</v>
      </c>
      <c r="C197" s="2" t="s">
        <v>406</v>
      </c>
      <c r="D197" s="2" t="s">
        <v>22</v>
      </c>
      <c r="E197" s="2" t="s">
        <v>113</v>
      </c>
      <c r="F197" s="2">
        <v>1813</v>
      </c>
      <c r="G197" s="2">
        <v>623</v>
      </c>
      <c r="H197" s="2">
        <v>72</v>
      </c>
      <c r="I197" s="2">
        <v>19943</v>
      </c>
      <c r="J197" s="2">
        <v>18959</v>
      </c>
      <c r="K197" s="2">
        <v>85</v>
      </c>
      <c r="L197" s="2" t="s">
        <v>37</v>
      </c>
      <c r="M197" s="2" t="s">
        <v>31</v>
      </c>
    </row>
    <row r="198" spans="1:13" ht="15.75" customHeight="1" x14ac:dyDescent="0.3">
      <c r="A198" s="2" t="s">
        <v>407</v>
      </c>
      <c r="B198" s="2" t="s">
        <v>14</v>
      </c>
      <c r="C198" s="2" t="s">
        <v>341</v>
      </c>
      <c r="D198" s="2" t="s">
        <v>16</v>
      </c>
      <c r="E198" s="2" t="s">
        <v>17</v>
      </c>
      <c r="F198" s="2">
        <v>4782</v>
      </c>
      <c r="G198" s="2">
        <v>721</v>
      </c>
      <c r="H198" s="2">
        <v>82</v>
      </c>
      <c r="I198" s="2">
        <v>86076</v>
      </c>
      <c r="J198" s="2">
        <v>85339</v>
      </c>
      <c r="K198" s="2">
        <v>19</v>
      </c>
      <c r="L198" s="2" t="s">
        <v>37</v>
      </c>
      <c r="M198" s="2" t="s">
        <v>19</v>
      </c>
    </row>
    <row r="199" spans="1:13" ht="15.75" customHeight="1" x14ac:dyDescent="0.3">
      <c r="A199" s="2" t="s">
        <v>408</v>
      </c>
      <c r="B199" s="2" t="s">
        <v>14</v>
      </c>
      <c r="C199" s="2" t="s">
        <v>409</v>
      </c>
      <c r="D199" s="2" t="s">
        <v>52</v>
      </c>
      <c r="E199" s="2" t="s">
        <v>132</v>
      </c>
      <c r="F199" s="2">
        <v>1048</v>
      </c>
      <c r="G199" s="2">
        <v>374</v>
      </c>
      <c r="H199" s="2">
        <v>450</v>
      </c>
      <c r="I199" s="2">
        <v>9432</v>
      </c>
      <c r="J199" s="2">
        <v>8882</v>
      </c>
      <c r="K199" s="2">
        <v>158</v>
      </c>
      <c r="L199" s="2" t="s">
        <v>30</v>
      </c>
      <c r="M199" s="2" t="s">
        <v>31</v>
      </c>
    </row>
    <row r="200" spans="1:13" ht="15.75" customHeight="1" x14ac:dyDescent="0.3">
      <c r="A200" s="2" t="s">
        <v>410</v>
      </c>
      <c r="B200" s="2" t="s">
        <v>27</v>
      </c>
      <c r="C200" s="2" t="s">
        <v>121</v>
      </c>
      <c r="D200" s="2" t="s">
        <v>45</v>
      </c>
      <c r="E200" s="2" t="s">
        <v>68</v>
      </c>
      <c r="F200" s="2">
        <v>2509</v>
      </c>
      <c r="G200" s="2">
        <v>324</v>
      </c>
      <c r="H200" s="2">
        <v>171</v>
      </c>
      <c r="I200" s="2">
        <v>35126</v>
      </c>
      <c r="J200" s="2">
        <v>34685</v>
      </c>
      <c r="K200" s="2">
        <v>277</v>
      </c>
      <c r="L200" s="2" t="s">
        <v>30</v>
      </c>
      <c r="M200" s="2" t="s">
        <v>25</v>
      </c>
    </row>
    <row r="201" spans="1:13" ht="15.75" customHeight="1" x14ac:dyDescent="0.3">
      <c r="A201" s="2" t="s">
        <v>411</v>
      </c>
      <c r="B201" s="2" t="s">
        <v>43</v>
      </c>
      <c r="C201" s="2" t="s">
        <v>412</v>
      </c>
      <c r="D201" s="2" t="s">
        <v>16</v>
      </c>
      <c r="E201" s="2" t="s">
        <v>65</v>
      </c>
      <c r="F201" s="2">
        <v>3718</v>
      </c>
      <c r="G201" s="2">
        <v>385</v>
      </c>
      <c r="H201" s="2">
        <v>310</v>
      </c>
      <c r="I201" s="2">
        <v>70642</v>
      </c>
      <c r="J201" s="2">
        <v>69749</v>
      </c>
      <c r="K201" s="2">
        <v>233</v>
      </c>
      <c r="L201" s="2" t="s">
        <v>30</v>
      </c>
      <c r="M201" s="2" t="s">
        <v>25</v>
      </c>
    </row>
    <row r="202" spans="1:13" ht="15.75" customHeight="1" x14ac:dyDescent="0.3">
      <c r="A202" s="2" t="s">
        <v>413</v>
      </c>
      <c r="B202" s="2" t="s">
        <v>14</v>
      </c>
      <c r="C202" s="2" t="s">
        <v>414</v>
      </c>
      <c r="D202" s="2" t="s">
        <v>16</v>
      </c>
      <c r="E202" s="2" t="s">
        <v>17</v>
      </c>
      <c r="F202" s="2">
        <v>802</v>
      </c>
      <c r="G202" s="2">
        <v>262</v>
      </c>
      <c r="H202" s="2">
        <v>244</v>
      </c>
      <c r="I202" s="2">
        <v>14436</v>
      </c>
      <c r="J202" s="2">
        <v>14280</v>
      </c>
      <c r="K202" s="2">
        <v>49</v>
      </c>
      <c r="L202" s="2" t="s">
        <v>37</v>
      </c>
      <c r="M202" s="2" t="s">
        <v>19</v>
      </c>
    </row>
    <row r="203" spans="1:13" ht="15.75" customHeight="1" x14ac:dyDescent="0.3">
      <c r="A203" s="2" t="s">
        <v>415</v>
      </c>
      <c r="B203" s="2" t="s">
        <v>43</v>
      </c>
      <c r="C203" s="2" t="s">
        <v>416</v>
      </c>
      <c r="D203" s="2" t="s">
        <v>52</v>
      </c>
      <c r="E203" s="2" t="s">
        <v>59</v>
      </c>
      <c r="F203" s="2">
        <v>1871</v>
      </c>
      <c r="G203" s="2">
        <v>252</v>
      </c>
      <c r="H203" s="2">
        <v>335</v>
      </c>
      <c r="I203" s="2">
        <v>29936</v>
      </c>
      <c r="J203" s="2">
        <v>29576</v>
      </c>
      <c r="K203" s="2">
        <v>288</v>
      </c>
      <c r="L203" s="2" t="s">
        <v>37</v>
      </c>
      <c r="M203" s="2" t="s">
        <v>31</v>
      </c>
    </row>
    <row r="204" spans="1:13" ht="15.75" customHeight="1" x14ac:dyDescent="0.3">
      <c r="A204" s="2" t="s">
        <v>417</v>
      </c>
      <c r="B204" s="2" t="s">
        <v>33</v>
      </c>
      <c r="C204" s="2" t="s">
        <v>418</v>
      </c>
      <c r="D204" s="2" t="s">
        <v>45</v>
      </c>
      <c r="E204" s="2" t="s">
        <v>88</v>
      </c>
      <c r="F204" s="2">
        <v>3773</v>
      </c>
      <c r="G204" s="2">
        <v>299</v>
      </c>
      <c r="H204" s="2">
        <v>38</v>
      </c>
      <c r="I204" s="2">
        <v>71687</v>
      </c>
      <c r="J204" s="2">
        <v>71447</v>
      </c>
      <c r="K204" s="2">
        <v>286</v>
      </c>
      <c r="L204" s="2" t="s">
        <v>62</v>
      </c>
      <c r="M204" s="2" t="s">
        <v>19</v>
      </c>
    </row>
    <row r="205" spans="1:13" ht="15.75" customHeight="1" x14ac:dyDescent="0.3">
      <c r="A205" s="2" t="s">
        <v>419</v>
      </c>
      <c r="B205" s="2" t="s">
        <v>33</v>
      </c>
      <c r="C205" s="2" t="s">
        <v>336</v>
      </c>
      <c r="D205" s="2" t="s">
        <v>45</v>
      </c>
      <c r="E205" s="2" t="s">
        <v>88</v>
      </c>
      <c r="F205" s="2">
        <v>2234</v>
      </c>
      <c r="G205" s="2">
        <v>653</v>
      </c>
      <c r="H205" s="2">
        <v>432</v>
      </c>
      <c r="I205" s="2">
        <v>11170</v>
      </c>
      <c r="J205" s="2">
        <v>10569</v>
      </c>
      <c r="K205" s="2">
        <v>198</v>
      </c>
      <c r="L205" s="2" t="s">
        <v>62</v>
      </c>
      <c r="M205" s="2" t="s">
        <v>31</v>
      </c>
    </row>
    <row r="206" spans="1:13" ht="15.75" customHeight="1" x14ac:dyDescent="0.3">
      <c r="A206" s="2" t="s">
        <v>420</v>
      </c>
      <c r="B206" s="2" t="s">
        <v>14</v>
      </c>
      <c r="C206" s="2" t="s">
        <v>305</v>
      </c>
      <c r="D206" s="2" t="s">
        <v>74</v>
      </c>
      <c r="E206" s="2" t="s">
        <v>145</v>
      </c>
      <c r="F206" s="2">
        <v>3820</v>
      </c>
      <c r="G206" s="2">
        <v>697</v>
      </c>
      <c r="H206" s="2">
        <v>268</v>
      </c>
      <c r="I206" s="2">
        <v>45840</v>
      </c>
      <c r="J206" s="2">
        <v>45631</v>
      </c>
      <c r="K206" s="2">
        <v>171</v>
      </c>
      <c r="L206" s="2" t="s">
        <v>421</v>
      </c>
      <c r="M206" s="2" t="s">
        <v>38</v>
      </c>
    </row>
    <row r="207" spans="1:13" ht="15.75" customHeight="1" x14ac:dyDescent="0.3">
      <c r="A207" s="2" t="s">
        <v>422</v>
      </c>
      <c r="B207" s="2" t="s">
        <v>14</v>
      </c>
      <c r="C207" s="2" t="s">
        <v>48</v>
      </c>
      <c r="D207" s="2" t="s">
        <v>22</v>
      </c>
      <c r="E207" s="2" t="s">
        <v>23</v>
      </c>
      <c r="F207" s="2">
        <v>941</v>
      </c>
      <c r="G207" s="2">
        <v>121</v>
      </c>
      <c r="H207" s="2">
        <v>458</v>
      </c>
      <c r="I207" s="2">
        <v>14115</v>
      </c>
      <c r="J207" s="2">
        <v>13838</v>
      </c>
      <c r="K207" s="2">
        <v>87</v>
      </c>
      <c r="L207" s="2" t="s">
        <v>37</v>
      </c>
      <c r="M207" s="2" t="s">
        <v>19</v>
      </c>
    </row>
    <row r="208" spans="1:13" ht="15.75" customHeight="1" x14ac:dyDescent="0.3">
      <c r="A208" s="2" t="s">
        <v>423</v>
      </c>
      <c r="B208" s="2" t="s">
        <v>14</v>
      </c>
      <c r="C208" s="2" t="s">
        <v>424</v>
      </c>
      <c r="D208" s="2" t="s">
        <v>45</v>
      </c>
      <c r="E208" s="2" t="s">
        <v>49</v>
      </c>
      <c r="F208" s="2">
        <v>4274</v>
      </c>
      <c r="G208" s="2">
        <v>340</v>
      </c>
      <c r="H208" s="2">
        <v>281</v>
      </c>
      <c r="I208" s="2">
        <v>34192</v>
      </c>
      <c r="J208" s="2">
        <v>33446</v>
      </c>
      <c r="K208" s="2">
        <v>129</v>
      </c>
      <c r="L208" s="2" t="s">
        <v>421</v>
      </c>
      <c r="M208" s="2" t="s">
        <v>31</v>
      </c>
    </row>
    <row r="209" spans="1:13" ht="15.75" customHeight="1" x14ac:dyDescent="0.3">
      <c r="A209" s="2" t="s">
        <v>425</v>
      </c>
      <c r="B209" s="2" t="s">
        <v>27</v>
      </c>
      <c r="C209" s="2" t="s">
        <v>48</v>
      </c>
      <c r="D209" s="2" t="s">
        <v>74</v>
      </c>
      <c r="E209" s="2" t="s">
        <v>219</v>
      </c>
      <c r="F209" s="2">
        <v>2949</v>
      </c>
      <c r="G209" s="2">
        <v>476</v>
      </c>
      <c r="H209" s="2">
        <v>403</v>
      </c>
      <c r="I209" s="2">
        <v>44235</v>
      </c>
      <c r="J209" s="2">
        <v>43705</v>
      </c>
      <c r="K209" s="2">
        <v>135</v>
      </c>
      <c r="L209" s="2" t="s">
        <v>30</v>
      </c>
      <c r="M209" s="2" t="s">
        <v>25</v>
      </c>
    </row>
    <row r="210" spans="1:13" ht="15.75" customHeight="1" x14ac:dyDescent="0.3">
      <c r="A210" s="2" t="s">
        <v>426</v>
      </c>
      <c r="B210" s="2" t="s">
        <v>14</v>
      </c>
      <c r="C210" s="2" t="s">
        <v>427</v>
      </c>
      <c r="D210" s="2" t="s">
        <v>74</v>
      </c>
      <c r="E210" s="2" t="s">
        <v>145</v>
      </c>
      <c r="F210" s="2">
        <v>3160</v>
      </c>
      <c r="G210" s="2">
        <v>204</v>
      </c>
      <c r="H210" s="2">
        <v>297</v>
      </c>
      <c r="I210" s="2">
        <v>44240</v>
      </c>
      <c r="J210" s="2">
        <v>43666</v>
      </c>
      <c r="K210" s="2">
        <v>49</v>
      </c>
      <c r="L210" s="2" t="s">
        <v>18</v>
      </c>
      <c r="M210" s="2" t="s">
        <v>38</v>
      </c>
    </row>
    <row r="211" spans="1:13" ht="15.75" customHeight="1" x14ac:dyDescent="0.3">
      <c r="A211" s="2" t="s">
        <v>428</v>
      </c>
      <c r="B211" s="2" t="s">
        <v>27</v>
      </c>
      <c r="C211" s="2" t="s">
        <v>350</v>
      </c>
      <c r="D211" s="2" t="s">
        <v>52</v>
      </c>
      <c r="E211" s="2" t="s">
        <v>53</v>
      </c>
      <c r="F211" s="2">
        <v>257</v>
      </c>
      <c r="G211" s="2">
        <v>966</v>
      </c>
      <c r="H211" s="2">
        <v>398</v>
      </c>
      <c r="I211" s="2">
        <v>3341</v>
      </c>
      <c r="J211" s="2">
        <v>2753</v>
      </c>
      <c r="K211" s="2">
        <v>287</v>
      </c>
      <c r="L211" s="2" t="s">
        <v>62</v>
      </c>
      <c r="M211" s="2" t="s">
        <v>19</v>
      </c>
    </row>
    <row r="212" spans="1:13" ht="15.75" customHeight="1" x14ac:dyDescent="0.3">
      <c r="A212" s="2" t="s">
        <v>429</v>
      </c>
      <c r="B212" s="2" t="s">
        <v>14</v>
      </c>
      <c r="C212" s="2" t="s">
        <v>430</v>
      </c>
      <c r="D212" s="2" t="s">
        <v>45</v>
      </c>
      <c r="E212" s="2" t="s">
        <v>49</v>
      </c>
      <c r="F212" s="2">
        <v>2120</v>
      </c>
      <c r="G212" s="2">
        <v>38</v>
      </c>
      <c r="H212" s="2">
        <v>212</v>
      </c>
      <c r="I212" s="2">
        <v>12720</v>
      </c>
      <c r="J212" s="2">
        <v>12564</v>
      </c>
      <c r="K212" s="2">
        <v>21</v>
      </c>
      <c r="L212" s="2" t="s">
        <v>62</v>
      </c>
      <c r="M212" s="2" t="s">
        <v>38</v>
      </c>
    </row>
    <row r="213" spans="1:13" ht="15.75" customHeight="1" x14ac:dyDescent="0.3">
      <c r="A213" s="2" t="s">
        <v>431</v>
      </c>
      <c r="B213" s="2" t="s">
        <v>27</v>
      </c>
      <c r="C213" s="2" t="s">
        <v>197</v>
      </c>
      <c r="D213" s="2" t="s">
        <v>74</v>
      </c>
      <c r="E213" s="2" t="s">
        <v>219</v>
      </c>
      <c r="F213" s="2">
        <v>3874</v>
      </c>
      <c r="G213" s="2">
        <v>884</v>
      </c>
      <c r="H213" s="2">
        <v>19</v>
      </c>
      <c r="I213" s="2">
        <v>38740</v>
      </c>
      <c r="J213" s="2">
        <v>38552</v>
      </c>
      <c r="K213" s="2">
        <v>219</v>
      </c>
      <c r="L213" s="2" t="s">
        <v>30</v>
      </c>
      <c r="M213" s="2" t="s">
        <v>25</v>
      </c>
    </row>
    <row r="214" spans="1:13" ht="15.75" customHeight="1" x14ac:dyDescent="0.3">
      <c r="A214" s="2" t="s">
        <v>432</v>
      </c>
      <c r="B214" s="2" t="s">
        <v>43</v>
      </c>
      <c r="C214" s="2" t="s">
        <v>433</v>
      </c>
      <c r="D214" s="2" t="s">
        <v>45</v>
      </c>
      <c r="E214" s="2" t="s">
        <v>46</v>
      </c>
      <c r="F214" s="2">
        <v>2696</v>
      </c>
      <c r="G214" s="2">
        <v>628</v>
      </c>
      <c r="H214" s="2">
        <v>443</v>
      </c>
      <c r="I214" s="2">
        <v>45832</v>
      </c>
      <c r="J214" s="2">
        <v>45632</v>
      </c>
      <c r="K214" s="2">
        <v>248</v>
      </c>
      <c r="L214" s="2" t="s">
        <v>37</v>
      </c>
      <c r="M214" s="2" t="s">
        <v>38</v>
      </c>
    </row>
    <row r="215" spans="1:13" ht="15.75" customHeight="1" x14ac:dyDescent="0.3">
      <c r="A215" s="2" t="s">
        <v>434</v>
      </c>
      <c r="B215" s="2" t="s">
        <v>33</v>
      </c>
      <c r="C215" s="2" t="s">
        <v>15</v>
      </c>
      <c r="D215" s="2" t="s">
        <v>52</v>
      </c>
      <c r="E215" s="2" t="s">
        <v>215</v>
      </c>
      <c r="F215" s="2">
        <v>521</v>
      </c>
      <c r="G215" s="2">
        <v>746</v>
      </c>
      <c r="H215" s="2">
        <v>315</v>
      </c>
      <c r="I215" s="2">
        <v>4168</v>
      </c>
      <c r="J215" s="2">
        <v>3399</v>
      </c>
      <c r="K215" s="2">
        <v>282</v>
      </c>
      <c r="L215" s="2" t="s">
        <v>62</v>
      </c>
      <c r="M215" s="2" t="s">
        <v>25</v>
      </c>
    </row>
    <row r="216" spans="1:13" ht="15.75" customHeight="1" x14ac:dyDescent="0.3">
      <c r="A216" s="2" t="s">
        <v>435</v>
      </c>
      <c r="B216" s="2" t="s">
        <v>43</v>
      </c>
      <c r="C216" s="2" t="s">
        <v>436</v>
      </c>
      <c r="D216" s="2" t="s">
        <v>52</v>
      </c>
      <c r="E216" s="2" t="s">
        <v>59</v>
      </c>
      <c r="F216" s="2">
        <v>4872</v>
      </c>
      <c r="G216" s="2">
        <v>925</v>
      </c>
      <c r="H216" s="2">
        <v>176</v>
      </c>
      <c r="I216" s="2">
        <v>82824</v>
      </c>
      <c r="J216" s="2">
        <v>82543</v>
      </c>
      <c r="K216" s="2">
        <v>89</v>
      </c>
      <c r="L216" s="2" t="s">
        <v>37</v>
      </c>
      <c r="M216" s="2" t="s">
        <v>25</v>
      </c>
    </row>
    <row r="217" spans="1:13" ht="15.75" customHeight="1" x14ac:dyDescent="0.3">
      <c r="A217" s="2" t="s">
        <v>437</v>
      </c>
      <c r="B217" s="2" t="s">
        <v>27</v>
      </c>
      <c r="C217" s="2" t="s">
        <v>268</v>
      </c>
      <c r="D217" s="2" t="s">
        <v>35</v>
      </c>
      <c r="E217" s="2" t="s">
        <v>154</v>
      </c>
      <c r="F217" s="2">
        <v>1509</v>
      </c>
      <c r="G217" s="2">
        <v>88</v>
      </c>
      <c r="H217" s="2">
        <v>163</v>
      </c>
      <c r="I217" s="2">
        <v>30180</v>
      </c>
      <c r="J217" s="2">
        <v>29689</v>
      </c>
      <c r="K217" s="2">
        <v>119</v>
      </c>
      <c r="L217" s="2" t="s">
        <v>37</v>
      </c>
      <c r="M217" s="2" t="s">
        <v>25</v>
      </c>
    </row>
    <row r="218" spans="1:13" ht="15.75" customHeight="1" x14ac:dyDescent="0.3">
      <c r="A218" s="2" t="s">
        <v>438</v>
      </c>
      <c r="B218" s="2" t="s">
        <v>43</v>
      </c>
      <c r="C218" s="2" t="s">
        <v>362</v>
      </c>
      <c r="D218" s="2" t="s">
        <v>52</v>
      </c>
      <c r="E218" s="2" t="s">
        <v>59</v>
      </c>
      <c r="F218" s="2">
        <v>4606</v>
      </c>
      <c r="G218" s="2">
        <v>931</v>
      </c>
      <c r="H218" s="2">
        <v>230</v>
      </c>
      <c r="I218" s="2">
        <v>92120</v>
      </c>
      <c r="J218" s="2">
        <v>91440</v>
      </c>
      <c r="K218" s="2">
        <v>56</v>
      </c>
      <c r="L218" s="2" t="s">
        <v>30</v>
      </c>
    </row>
    <row r="219" spans="1:13" ht="15.75" customHeight="1" x14ac:dyDescent="0.3">
      <c r="A219" s="2" t="s">
        <v>439</v>
      </c>
      <c r="B219" s="2" t="s">
        <v>43</v>
      </c>
      <c r="C219" s="2" t="s">
        <v>254</v>
      </c>
      <c r="D219" s="2" t="s">
        <v>45</v>
      </c>
      <c r="E219" s="2" t="s">
        <v>46</v>
      </c>
      <c r="F219" s="2">
        <v>1869</v>
      </c>
      <c r="G219" s="2">
        <v>453</v>
      </c>
      <c r="H219" s="2">
        <v>490</v>
      </c>
      <c r="I219" s="2">
        <v>14952</v>
      </c>
      <c r="J219" s="2">
        <v>14309</v>
      </c>
      <c r="K219" s="2">
        <v>275</v>
      </c>
      <c r="L219" s="2" t="s">
        <v>30</v>
      </c>
      <c r="M219" s="2" t="s">
        <v>38</v>
      </c>
    </row>
    <row r="220" spans="1:13" ht="15.75" customHeight="1" x14ac:dyDescent="0.3">
      <c r="A220" s="2" t="s">
        <v>440</v>
      </c>
      <c r="B220" s="2" t="s">
        <v>14</v>
      </c>
      <c r="C220" s="2" t="s">
        <v>174</v>
      </c>
      <c r="D220" s="2" t="s">
        <v>16</v>
      </c>
      <c r="E220" s="2" t="s">
        <v>17</v>
      </c>
      <c r="F220" s="2">
        <v>1188</v>
      </c>
      <c r="G220" s="2">
        <v>470</v>
      </c>
      <c r="H220" s="2">
        <v>174</v>
      </c>
      <c r="I220" s="2">
        <v>7128</v>
      </c>
      <c r="J220" s="2">
        <v>6145</v>
      </c>
      <c r="K220" s="2">
        <v>270</v>
      </c>
      <c r="L220" s="2" t="s">
        <v>30</v>
      </c>
      <c r="M220" s="2" t="s">
        <v>38</v>
      </c>
    </row>
    <row r="221" spans="1:13" ht="15.75" customHeight="1" x14ac:dyDescent="0.3">
      <c r="A221" s="2" t="s">
        <v>441</v>
      </c>
      <c r="B221" s="2" t="s">
        <v>33</v>
      </c>
      <c r="C221" s="2" t="s">
        <v>416</v>
      </c>
      <c r="D221" s="2" t="s">
        <v>35</v>
      </c>
      <c r="E221" s="2" t="s">
        <v>36</v>
      </c>
      <c r="F221" s="2">
        <v>84</v>
      </c>
      <c r="G221" s="2">
        <v>897</v>
      </c>
      <c r="H221" s="2">
        <v>85</v>
      </c>
      <c r="I221" s="2">
        <v>588</v>
      </c>
      <c r="J221" s="2">
        <v>8</v>
      </c>
      <c r="K221" s="2">
        <v>12</v>
      </c>
      <c r="L221" s="2" t="s">
        <v>37</v>
      </c>
    </row>
    <row r="222" spans="1:13" ht="15.75" customHeight="1" x14ac:dyDescent="0.3">
      <c r="A222" s="2" t="s">
        <v>442</v>
      </c>
      <c r="B222" s="2" t="s">
        <v>43</v>
      </c>
      <c r="C222" s="2" t="s">
        <v>256</v>
      </c>
      <c r="D222" s="2" t="s">
        <v>74</v>
      </c>
      <c r="E222" s="2" t="s">
        <v>75</v>
      </c>
      <c r="F222" s="2">
        <v>4453</v>
      </c>
      <c r="G222" s="2">
        <v>111</v>
      </c>
      <c r="H222" s="2">
        <v>420</v>
      </c>
      <c r="I222" s="2">
        <v>31171</v>
      </c>
      <c r="J222" s="2">
        <v>30565</v>
      </c>
      <c r="K222" s="2">
        <v>23</v>
      </c>
      <c r="L222" s="2" t="s">
        <v>30</v>
      </c>
    </row>
    <row r="223" spans="1:13" ht="15.75" customHeight="1" x14ac:dyDescent="0.3">
      <c r="A223" s="2" t="s">
        <v>443</v>
      </c>
      <c r="B223" s="2" t="s">
        <v>43</v>
      </c>
      <c r="C223" s="2" t="s">
        <v>444</v>
      </c>
      <c r="D223" s="2" t="s">
        <v>16</v>
      </c>
      <c r="E223" s="2" t="s">
        <v>65</v>
      </c>
      <c r="F223" s="2">
        <v>1814</v>
      </c>
      <c r="G223" s="2">
        <v>653</v>
      </c>
      <c r="H223" s="2">
        <v>363</v>
      </c>
      <c r="I223" s="2">
        <v>25396</v>
      </c>
      <c r="J223" s="2">
        <v>25286</v>
      </c>
      <c r="K223" s="2">
        <v>39</v>
      </c>
      <c r="L223" s="2" t="s">
        <v>445</v>
      </c>
      <c r="M223" s="2" t="s">
        <v>19</v>
      </c>
    </row>
    <row r="224" spans="1:13" ht="15.75" customHeight="1" x14ac:dyDescent="0.3">
      <c r="A224" s="2" t="s">
        <v>446</v>
      </c>
      <c r="B224" s="2" t="s">
        <v>14</v>
      </c>
      <c r="C224" s="2" t="s">
        <v>360</v>
      </c>
      <c r="D224" s="2" t="s">
        <v>52</v>
      </c>
      <c r="E224" s="2" t="s">
        <v>132</v>
      </c>
      <c r="F224" s="2">
        <v>3338</v>
      </c>
      <c r="G224" s="2">
        <v>277</v>
      </c>
      <c r="H224" s="2">
        <v>118</v>
      </c>
      <c r="I224" s="2">
        <v>60084</v>
      </c>
      <c r="J224" s="2">
        <v>59842</v>
      </c>
      <c r="K224" s="2">
        <v>252</v>
      </c>
      <c r="L224" s="2" t="s">
        <v>30</v>
      </c>
    </row>
    <row r="225" spans="1:13" ht="15.75" customHeight="1" x14ac:dyDescent="0.3">
      <c r="A225" s="2" t="s">
        <v>447</v>
      </c>
      <c r="B225" s="2" t="s">
        <v>43</v>
      </c>
      <c r="C225" s="2" t="s">
        <v>448</v>
      </c>
      <c r="D225" s="2" t="s">
        <v>52</v>
      </c>
      <c r="E225" s="2" t="s">
        <v>59</v>
      </c>
      <c r="F225" s="2">
        <v>602</v>
      </c>
      <c r="G225" s="2">
        <v>594</v>
      </c>
      <c r="H225" s="2">
        <v>156</v>
      </c>
      <c r="I225" s="2">
        <v>4214</v>
      </c>
      <c r="J225" s="2">
        <v>3363</v>
      </c>
      <c r="K225" s="2">
        <v>164</v>
      </c>
      <c r="L225" s="2" t="s">
        <v>30</v>
      </c>
      <c r="M225" s="2" t="s">
        <v>31</v>
      </c>
    </row>
    <row r="226" spans="1:13" ht="15.75" customHeight="1" x14ac:dyDescent="0.3">
      <c r="A226" s="2" t="s">
        <v>449</v>
      </c>
      <c r="B226" s="2" t="s">
        <v>14</v>
      </c>
      <c r="C226" s="2" t="s">
        <v>375</v>
      </c>
      <c r="D226" s="2" t="s">
        <v>45</v>
      </c>
      <c r="E226" s="2" t="s">
        <v>49</v>
      </c>
      <c r="F226" s="2">
        <v>4672</v>
      </c>
      <c r="G226" s="2">
        <v>325</v>
      </c>
      <c r="H226" s="2">
        <v>32</v>
      </c>
      <c r="I226" s="2">
        <v>88768</v>
      </c>
      <c r="J226" s="2">
        <v>87833</v>
      </c>
      <c r="K226" s="2">
        <v>118</v>
      </c>
      <c r="L226" s="2" t="s">
        <v>37</v>
      </c>
    </row>
    <row r="227" spans="1:13" ht="15.75" customHeight="1" x14ac:dyDescent="0.3">
      <c r="A227" s="2" t="s">
        <v>450</v>
      </c>
      <c r="B227" s="2" t="s">
        <v>33</v>
      </c>
      <c r="C227" s="2" t="s">
        <v>451</v>
      </c>
      <c r="D227" s="2" t="s">
        <v>45</v>
      </c>
      <c r="E227" s="2" t="s">
        <v>88</v>
      </c>
      <c r="F227" s="2">
        <v>1741</v>
      </c>
      <c r="G227" s="2">
        <v>164</v>
      </c>
      <c r="H227" s="2">
        <v>318</v>
      </c>
      <c r="I227" s="2">
        <v>8705</v>
      </c>
      <c r="J227" s="2">
        <v>8272</v>
      </c>
      <c r="K227" s="2">
        <v>121</v>
      </c>
      <c r="L227" s="2" t="s">
        <v>30</v>
      </c>
    </row>
    <row r="228" spans="1:13" ht="15.75" customHeight="1" x14ac:dyDescent="0.3">
      <c r="A228" s="2" t="s">
        <v>452</v>
      </c>
      <c r="B228" s="2" t="s">
        <v>33</v>
      </c>
      <c r="C228" s="2" t="s">
        <v>453</v>
      </c>
      <c r="D228" s="2" t="s">
        <v>22</v>
      </c>
      <c r="E228" s="2" t="s">
        <v>113</v>
      </c>
      <c r="F228" s="2">
        <v>246</v>
      </c>
      <c r="G228" s="2">
        <v>149</v>
      </c>
      <c r="H228" s="2">
        <v>130</v>
      </c>
      <c r="I228" s="2">
        <v>4674</v>
      </c>
      <c r="J228" s="2">
        <v>4390</v>
      </c>
      <c r="K228" s="2">
        <v>217</v>
      </c>
      <c r="L228" s="2" t="s">
        <v>62</v>
      </c>
      <c r="M228" s="2" t="s">
        <v>31</v>
      </c>
    </row>
    <row r="229" spans="1:13" ht="15.75" customHeight="1" x14ac:dyDescent="0.3">
      <c r="A229" s="2" t="s">
        <v>454</v>
      </c>
      <c r="B229" s="2" t="s">
        <v>33</v>
      </c>
      <c r="C229" s="2" t="s">
        <v>455</v>
      </c>
      <c r="D229" s="2" t="s">
        <v>35</v>
      </c>
      <c r="E229" s="2" t="s">
        <v>36</v>
      </c>
      <c r="F229" s="2">
        <v>4808</v>
      </c>
      <c r="G229" s="2">
        <v>772</v>
      </c>
      <c r="H229" s="2">
        <v>320</v>
      </c>
      <c r="I229" s="2">
        <v>72120</v>
      </c>
      <c r="J229" s="2">
        <v>71696</v>
      </c>
      <c r="K229" s="2">
        <v>195</v>
      </c>
      <c r="L229" s="2" t="s">
        <v>37</v>
      </c>
      <c r="M229" s="2" t="s">
        <v>19</v>
      </c>
    </row>
    <row r="230" spans="1:13" ht="15.75" customHeight="1" x14ac:dyDescent="0.3">
      <c r="A230" s="2" t="s">
        <v>456</v>
      </c>
      <c r="B230" s="2" t="s">
        <v>33</v>
      </c>
      <c r="C230" s="2" t="s">
        <v>153</v>
      </c>
      <c r="D230" s="2" t="s">
        <v>45</v>
      </c>
      <c r="E230" s="2" t="s">
        <v>88</v>
      </c>
      <c r="F230" s="2">
        <v>4799</v>
      </c>
      <c r="G230" s="2">
        <v>694</v>
      </c>
      <c r="H230" s="2">
        <v>289</v>
      </c>
      <c r="I230" s="2">
        <v>43191</v>
      </c>
      <c r="J230" s="2">
        <v>42228</v>
      </c>
      <c r="K230" s="2">
        <v>118</v>
      </c>
      <c r="L230" s="2" t="s">
        <v>30</v>
      </c>
    </row>
    <row r="231" spans="1:13" ht="15.75" customHeight="1" x14ac:dyDescent="0.3">
      <c r="A231" s="2" t="s">
        <v>457</v>
      </c>
      <c r="B231" s="2" t="s">
        <v>43</v>
      </c>
      <c r="C231" s="2" t="s">
        <v>315</v>
      </c>
      <c r="D231" s="2" t="s">
        <v>16</v>
      </c>
      <c r="E231" s="2" t="s">
        <v>65</v>
      </c>
      <c r="F231" s="2">
        <v>3663</v>
      </c>
      <c r="G231" s="2">
        <v>17</v>
      </c>
      <c r="H231" s="2">
        <v>295</v>
      </c>
      <c r="I231" s="2">
        <v>51282</v>
      </c>
      <c r="J231" s="2">
        <v>50567</v>
      </c>
      <c r="K231" s="2">
        <v>84</v>
      </c>
      <c r="L231" s="2" t="s">
        <v>37</v>
      </c>
      <c r="M231" s="2" t="s">
        <v>31</v>
      </c>
    </row>
    <row r="232" spans="1:13" ht="15.75" customHeight="1" x14ac:dyDescent="0.3">
      <c r="A232" s="2" t="s">
        <v>458</v>
      </c>
      <c r="B232" s="2" t="s">
        <v>33</v>
      </c>
      <c r="C232" s="2" t="s">
        <v>433</v>
      </c>
      <c r="D232" s="2" t="s">
        <v>22</v>
      </c>
      <c r="E232" s="2" t="s">
        <v>113</v>
      </c>
      <c r="F232" s="2">
        <v>1430</v>
      </c>
      <c r="G232" s="2">
        <v>376</v>
      </c>
      <c r="H232" s="2">
        <v>33</v>
      </c>
      <c r="I232" s="2">
        <v>21450</v>
      </c>
      <c r="J232" s="2">
        <v>20509</v>
      </c>
      <c r="K232" s="2">
        <v>251</v>
      </c>
      <c r="L232" s="2" t="s">
        <v>62</v>
      </c>
      <c r="M232" s="2" t="s">
        <v>19</v>
      </c>
    </row>
    <row r="233" spans="1:13" ht="15.75" customHeight="1" x14ac:dyDescent="0.3">
      <c r="A233" s="2" t="s">
        <v>459</v>
      </c>
      <c r="B233" s="2" t="s">
        <v>14</v>
      </c>
      <c r="C233" s="2" t="s">
        <v>460</v>
      </c>
      <c r="D233" s="2" t="s">
        <v>35</v>
      </c>
      <c r="E233" s="2" t="s">
        <v>149</v>
      </c>
      <c r="F233" s="2">
        <v>249</v>
      </c>
      <c r="G233" s="2">
        <v>592</v>
      </c>
      <c r="H233" s="2">
        <v>230</v>
      </c>
      <c r="I233" s="2">
        <v>1494</v>
      </c>
      <c r="J233" s="2">
        <v>1044</v>
      </c>
      <c r="K233" s="2">
        <v>201</v>
      </c>
      <c r="L233" s="2" t="s">
        <v>37</v>
      </c>
      <c r="M233" s="2" t="s">
        <v>38</v>
      </c>
    </row>
    <row r="234" spans="1:13" ht="15.75" customHeight="1" x14ac:dyDescent="0.3">
      <c r="A234" s="2" t="s">
        <v>461</v>
      </c>
      <c r="B234" s="2" t="s">
        <v>43</v>
      </c>
      <c r="C234" s="2" t="s">
        <v>134</v>
      </c>
      <c r="D234" s="2" t="s">
        <v>52</v>
      </c>
      <c r="E234" s="2" t="s">
        <v>59</v>
      </c>
      <c r="F234" s="2">
        <v>2382</v>
      </c>
      <c r="G234" s="2">
        <v>265</v>
      </c>
      <c r="H234" s="2">
        <v>134</v>
      </c>
      <c r="I234" s="2">
        <v>38112</v>
      </c>
      <c r="J234" s="2">
        <v>37437</v>
      </c>
      <c r="K234" s="2">
        <v>249</v>
      </c>
      <c r="L234" s="2" t="s">
        <v>62</v>
      </c>
      <c r="M234" s="2" t="s">
        <v>38</v>
      </c>
    </row>
    <row r="235" spans="1:13" ht="15.75" customHeight="1" x14ac:dyDescent="0.3">
      <c r="A235" s="2" t="s">
        <v>462</v>
      </c>
      <c r="B235" s="2" t="s">
        <v>43</v>
      </c>
      <c r="C235" s="2" t="s">
        <v>463</v>
      </c>
      <c r="D235" s="2" t="s">
        <v>22</v>
      </c>
      <c r="E235" s="2" t="s">
        <v>56</v>
      </c>
      <c r="F235" s="2">
        <v>1272</v>
      </c>
      <c r="G235" s="2">
        <v>465</v>
      </c>
      <c r="H235" s="2">
        <v>99</v>
      </c>
      <c r="I235" s="2">
        <v>24168</v>
      </c>
      <c r="J235" s="2">
        <v>23719</v>
      </c>
      <c r="K235" s="2">
        <v>42</v>
      </c>
      <c r="L235" s="2" t="s">
        <v>30</v>
      </c>
    </row>
    <row r="236" spans="1:13" ht="15.75" customHeight="1" x14ac:dyDescent="0.3">
      <c r="A236" s="2" t="s">
        <v>464</v>
      </c>
      <c r="B236" s="2" t="s">
        <v>43</v>
      </c>
      <c r="C236" s="2" t="s">
        <v>392</v>
      </c>
      <c r="D236" s="2" t="s">
        <v>52</v>
      </c>
      <c r="E236" s="2" t="s">
        <v>59</v>
      </c>
      <c r="F236" s="2">
        <v>3196</v>
      </c>
      <c r="G236" s="2">
        <v>941</v>
      </c>
      <c r="H236" s="2">
        <v>376</v>
      </c>
      <c r="I236" s="2">
        <v>35156</v>
      </c>
      <c r="J236" s="2">
        <v>34444</v>
      </c>
      <c r="K236" s="2">
        <v>241</v>
      </c>
      <c r="L236" s="2" t="s">
        <v>30</v>
      </c>
      <c r="M236" s="2" t="s">
        <v>31</v>
      </c>
    </row>
    <row r="237" spans="1:13" ht="15.75" customHeight="1" x14ac:dyDescent="0.3">
      <c r="A237" s="2" t="s">
        <v>465</v>
      </c>
      <c r="B237" s="2" t="s">
        <v>43</v>
      </c>
      <c r="C237" s="2" t="s">
        <v>81</v>
      </c>
      <c r="D237" s="2" t="s">
        <v>22</v>
      </c>
      <c r="E237" s="2" t="s">
        <v>56</v>
      </c>
      <c r="F237" s="2">
        <v>1257</v>
      </c>
      <c r="G237" s="2">
        <v>19</v>
      </c>
      <c r="H237" s="2">
        <v>351</v>
      </c>
      <c r="I237" s="2">
        <v>12570</v>
      </c>
      <c r="J237" s="2">
        <v>11660</v>
      </c>
      <c r="K237" s="2">
        <v>194</v>
      </c>
      <c r="L237" s="2" t="s">
        <v>466</v>
      </c>
      <c r="M237" s="2" t="s">
        <v>25</v>
      </c>
    </row>
    <row r="238" spans="1:13" ht="15.75" customHeight="1" x14ac:dyDescent="0.3">
      <c r="A238" s="2" t="s">
        <v>467</v>
      </c>
      <c r="B238" s="2" t="s">
        <v>33</v>
      </c>
      <c r="C238" s="2" t="s">
        <v>341</v>
      </c>
      <c r="D238" s="2" t="s">
        <v>35</v>
      </c>
      <c r="E238" s="2" t="s">
        <v>36</v>
      </c>
      <c r="F238" s="2">
        <v>3770</v>
      </c>
      <c r="G238" s="2">
        <v>917</v>
      </c>
      <c r="H238" s="2">
        <v>129</v>
      </c>
      <c r="I238" s="2">
        <v>71630</v>
      </c>
      <c r="J238" s="2">
        <v>71322</v>
      </c>
      <c r="K238" s="2">
        <v>76</v>
      </c>
      <c r="L238" s="2" t="s">
        <v>62</v>
      </c>
      <c r="M238" s="2" t="s">
        <v>19</v>
      </c>
    </row>
    <row r="239" spans="1:13" ht="15.75" customHeight="1" x14ac:dyDescent="0.3">
      <c r="A239" s="2" t="s">
        <v>468</v>
      </c>
      <c r="B239" s="2" t="s">
        <v>14</v>
      </c>
      <c r="C239" s="2" t="s">
        <v>469</v>
      </c>
      <c r="D239" s="2" t="s">
        <v>22</v>
      </c>
      <c r="E239" s="2" t="s">
        <v>23</v>
      </c>
      <c r="F239" s="2">
        <v>4725</v>
      </c>
      <c r="G239" s="2">
        <v>400</v>
      </c>
      <c r="H239" s="2">
        <v>362</v>
      </c>
      <c r="I239" s="2">
        <v>75600</v>
      </c>
      <c r="J239" s="2">
        <v>74927</v>
      </c>
      <c r="K239" s="2">
        <v>43</v>
      </c>
      <c r="L239" s="2" t="s">
        <v>62</v>
      </c>
      <c r="M239" s="2" t="s">
        <v>38</v>
      </c>
    </row>
    <row r="240" spans="1:13" ht="15.75" customHeight="1" x14ac:dyDescent="0.3">
      <c r="A240" s="2" t="s">
        <v>470</v>
      </c>
      <c r="B240" s="2" t="s">
        <v>27</v>
      </c>
      <c r="C240" s="2" t="s">
        <v>147</v>
      </c>
      <c r="D240" s="2" t="s">
        <v>22</v>
      </c>
      <c r="E240" s="2" t="s">
        <v>104</v>
      </c>
      <c r="F240" s="2">
        <v>4188</v>
      </c>
      <c r="G240" s="2">
        <v>942</v>
      </c>
      <c r="H240" s="2">
        <v>118</v>
      </c>
      <c r="I240" s="2">
        <v>20940</v>
      </c>
      <c r="J240" s="2">
        <v>20471</v>
      </c>
      <c r="K240" s="2">
        <v>102</v>
      </c>
      <c r="L240" s="2" t="s">
        <v>62</v>
      </c>
    </row>
    <row r="241" spans="1:13" ht="15.75" customHeight="1" x14ac:dyDescent="0.3">
      <c r="A241" s="2" t="s">
        <v>471</v>
      </c>
      <c r="B241" s="2" t="s">
        <v>14</v>
      </c>
      <c r="C241" s="2" t="s">
        <v>77</v>
      </c>
      <c r="D241" s="2" t="s">
        <v>45</v>
      </c>
      <c r="E241" s="2" t="s">
        <v>49</v>
      </c>
      <c r="F241" s="2">
        <v>929</v>
      </c>
      <c r="G241" s="2">
        <v>192</v>
      </c>
      <c r="H241" s="2">
        <v>322</v>
      </c>
      <c r="I241" s="2">
        <v>16722</v>
      </c>
      <c r="J241" s="2">
        <v>15996</v>
      </c>
      <c r="K241" s="2">
        <v>145</v>
      </c>
      <c r="L241" s="2" t="s">
        <v>175</v>
      </c>
      <c r="M241" s="2" t="s">
        <v>31</v>
      </c>
    </row>
    <row r="242" spans="1:13" ht="15.75" customHeight="1" x14ac:dyDescent="0.3">
      <c r="A242" s="2" t="s">
        <v>472</v>
      </c>
      <c r="B242" s="2" t="s">
        <v>43</v>
      </c>
      <c r="C242" s="2" t="s">
        <v>473</v>
      </c>
      <c r="D242" s="2" t="s">
        <v>35</v>
      </c>
      <c r="E242" s="2" t="s">
        <v>71</v>
      </c>
      <c r="F242" s="2">
        <v>4321</v>
      </c>
      <c r="G242" s="2">
        <v>874</v>
      </c>
      <c r="H242" s="2">
        <v>172</v>
      </c>
      <c r="I242" s="2">
        <v>30247</v>
      </c>
      <c r="J242" s="2">
        <v>29254</v>
      </c>
      <c r="K242" s="2">
        <v>122</v>
      </c>
      <c r="L242" s="2" t="s">
        <v>30</v>
      </c>
      <c r="M242" s="2" t="s">
        <v>38</v>
      </c>
    </row>
    <row r="243" spans="1:13" ht="15.75" customHeight="1" x14ac:dyDescent="0.3">
      <c r="A243" s="2" t="s">
        <v>474</v>
      </c>
      <c r="B243" s="2" t="s">
        <v>43</v>
      </c>
      <c r="C243" s="2" t="s">
        <v>228</v>
      </c>
      <c r="D243" s="2" t="s">
        <v>16</v>
      </c>
      <c r="E243" s="2" t="s">
        <v>65</v>
      </c>
      <c r="F243" s="2">
        <v>4767</v>
      </c>
      <c r="G243" s="2">
        <v>190</v>
      </c>
      <c r="H243" s="2">
        <v>340</v>
      </c>
      <c r="I243" s="2">
        <v>28602</v>
      </c>
      <c r="J243" s="2">
        <v>28044</v>
      </c>
      <c r="K243" s="2">
        <v>210</v>
      </c>
      <c r="L243" s="2" t="s">
        <v>37</v>
      </c>
      <c r="M243" s="2" t="s">
        <v>31</v>
      </c>
    </row>
    <row r="244" spans="1:13" ht="15.75" customHeight="1" x14ac:dyDescent="0.3">
      <c r="A244" s="2" t="s">
        <v>475</v>
      </c>
      <c r="B244" s="2" t="s">
        <v>14</v>
      </c>
      <c r="C244" s="2" t="s">
        <v>476</v>
      </c>
      <c r="D244" s="2" t="s">
        <v>52</v>
      </c>
      <c r="E244" s="2" t="s">
        <v>132</v>
      </c>
      <c r="F244" s="2">
        <v>3592</v>
      </c>
      <c r="G244" s="2">
        <v>911</v>
      </c>
      <c r="H244" s="2">
        <v>375</v>
      </c>
      <c r="I244" s="2">
        <v>50288</v>
      </c>
      <c r="J244" s="2">
        <v>49490</v>
      </c>
      <c r="K244" s="2">
        <v>32</v>
      </c>
      <c r="L244" s="2" t="s">
        <v>62</v>
      </c>
      <c r="M244" s="2" t="s">
        <v>38</v>
      </c>
    </row>
    <row r="245" spans="1:13" ht="15.75" customHeight="1" x14ac:dyDescent="0.3">
      <c r="A245" s="2" t="s">
        <v>477</v>
      </c>
      <c r="B245" s="2" t="s">
        <v>27</v>
      </c>
      <c r="C245" s="2" t="s">
        <v>478</v>
      </c>
      <c r="D245" s="2" t="s">
        <v>74</v>
      </c>
      <c r="E245" s="2" t="s">
        <v>219</v>
      </c>
      <c r="F245" s="2">
        <v>4661</v>
      </c>
      <c r="G245" s="2">
        <v>935</v>
      </c>
      <c r="H245" s="2">
        <v>433</v>
      </c>
      <c r="I245" s="2">
        <v>23305</v>
      </c>
      <c r="J245" s="2">
        <v>22583</v>
      </c>
      <c r="K245" s="2">
        <v>63</v>
      </c>
      <c r="L245" s="2" t="s">
        <v>62</v>
      </c>
      <c r="M245" s="2" t="s">
        <v>31</v>
      </c>
    </row>
    <row r="246" spans="1:13" ht="15.75" customHeight="1" x14ac:dyDescent="0.3">
      <c r="A246" s="2" t="s">
        <v>479</v>
      </c>
      <c r="B246" s="2" t="s">
        <v>43</v>
      </c>
      <c r="C246" s="2" t="s">
        <v>480</v>
      </c>
      <c r="D246" s="2" t="s">
        <v>16</v>
      </c>
      <c r="E246" s="2" t="s">
        <v>65</v>
      </c>
      <c r="F246" s="2">
        <v>4134</v>
      </c>
      <c r="G246" s="2">
        <v>824</v>
      </c>
      <c r="H246" s="2">
        <v>99</v>
      </c>
      <c r="I246" s="2">
        <v>41340</v>
      </c>
      <c r="J246" s="2">
        <v>41050</v>
      </c>
      <c r="K246" s="2">
        <v>177</v>
      </c>
      <c r="L246" s="2" t="s">
        <v>37</v>
      </c>
      <c r="M246" s="2" t="s">
        <v>19</v>
      </c>
    </row>
    <row r="247" spans="1:13" ht="15.75" customHeight="1" x14ac:dyDescent="0.3">
      <c r="A247" s="2" t="s">
        <v>481</v>
      </c>
      <c r="B247" s="2" t="s">
        <v>43</v>
      </c>
      <c r="C247" s="2" t="s">
        <v>482</v>
      </c>
      <c r="D247" s="2" t="s">
        <v>52</v>
      </c>
      <c r="E247" s="2" t="s">
        <v>59</v>
      </c>
      <c r="F247" s="2">
        <v>400</v>
      </c>
      <c r="G247" s="2">
        <v>680</v>
      </c>
      <c r="H247" s="2">
        <v>434</v>
      </c>
      <c r="I247" s="2">
        <v>6400</v>
      </c>
      <c r="J247" s="2">
        <v>5472</v>
      </c>
      <c r="K247" s="2">
        <v>160</v>
      </c>
      <c r="L247" s="2" t="s">
        <v>62</v>
      </c>
      <c r="M247" s="2" t="s">
        <v>25</v>
      </c>
    </row>
    <row r="248" spans="1:13" ht="15.75" customHeight="1" x14ac:dyDescent="0.3">
      <c r="A248" s="2" t="s">
        <v>483</v>
      </c>
      <c r="B248" s="2" t="s">
        <v>43</v>
      </c>
      <c r="C248" s="2" t="s">
        <v>484</v>
      </c>
      <c r="D248" s="2" t="s">
        <v>16</v>
      </c>
      <c r="E248" s="2" t="s">
        <v>65</v>
      </c>
      <c r="F248" s="2">
        <v>3960</v>
      </c>
      <c r="G248" s="2">
        <v>266</v>
      </c>
      <c r="H248" s="2">
        <v>8</v>
      </c>
      <c r="I248" s="2">
        <v>35640</v>
      </c>
      <c r="J248" s="2">
        <v>34850</v>
      </c>
      <c r="K248" s="2">
        <v>208</v>
      </c>
      <c r="L248" s="2" t="s">
        <v>485</v>
      </c>
    </row>
    <row r="249" spans="1:13" ht="15.75" customHeight="1" x14ac:dyDescent="0.3">
      <c r="A249" s="2" t="s">
        <v>486</v>
      </c>
      <c r="B249" s="2" t="s">
        <v>43</v>
      </c>
      <c r="C249" s="2" t="s">
        <v>61</v>
      </c>
      <c r="D249" s="2" t="s">
        <v>35</v>
      </c>
      <c r="E249" s="2" t="s">
        <v>71</v>
      </c>
      <c r="F249" s="2">
        <v>886</v>
      </c>
      <c r="G249" s="2">
        <v>126</v>
      </c>
      <c r="H249" s="2">
        <v>153</v>
      </c>
      <c r="I249" s="2">
        <v>4430</v>
      </c>
      <c r="J249" s="2">
        <v>4037</v>
      </c>
      <c r="K249" s="2">
        <v>212</v>
      </c>
      <c r="L249" s="2" t="s">
        <v>37</v>
      </c>
    </row>
    <row r="250" spans="1:13" ht="15.75" customHeight="1" x14ac:dyDescent="0.3">
      <c r="A250" s="2" t="s">
        <v>487</v>
      </c>
      <c r="B250" s="2" t="s">
        <v>14</v>
      </c>
      <c r="C250" s="2" t="s">
        <v>430</v>
      </c>
      <c r="D250" s="2" t="s">
        <v>52</v>
      </c>
      <c r="E250" s="2" t="s">
        <v>132</v>
      </c>
      <c r="F250" s="2">
        <v>827</v>
      </c>
      <c r="G250" s="2">
        <v>77</v>
      </c>
      <c r="H250" s="2">
        <v>402</v>
      </c>
      <c r="I250" s="2">
        <v>14886</v>
      </c>
      <c r="J250" s="2">
        <v>14129</v>
      </c>
      <c r="K250" s="2">
        <v>254</v>
      </c>
      <c r="L250" s="2" t="s">
        <v>37</v>
      </c>
      <c r="M250" s="2" t="s">
        <v>25</v>
      </c>
    </row>
    <row r="251" spans="1:13" ht="15.75" customHeight="1" x14ac:dyDescent="0.3">
      <c r="A251" s="2" t="s">
        <v>488</v>
      </c>
      <c r="B251" s="2" t="s">
        <v>43</v>
      </c>
      <c r="C251" s="2" t="s">
        <v>172</v>
      </c>
      <c r="D251" s="2" t="s">
        <v>16</v>
      </c>
      <c r="E251" s="2" t="s">
        <v>65</v>
      </c>
      <c r="F251" s="2">
        <v>3813</v>
      </c>
      <c r="G251" s="2">
        <v>935</v>
      </c>
      <c r="H251" s="2">
        <v>274</v>
      </c>
      <c r="I251" s="2">
        <v>68634</v>
      </c>
      <c r="J251" s="2">
        <v>68488</v>
      </c>
      <c r="K251" s="2">
        <v>251</v>
      </c>
      <c r="L251" s="2" t="s">
        <v>62</v>
      </c>
    </row>
    <row r="252" spans="1:13" ht="15.75" customHeight="1" x14ac:dyDescent="0.3">
      <c r="A252" s="2" t="s">
        <v>489</v>
      </c>
      <c r="B252" s="2" t="s">
        <v>33</v>
      </c>
      <c r="C252" s="2" t="s">
        <v>490</v>
      </c>
      <c r="D252" s="2" t="s">
        <v>45</v>
      </c>
      <c r="E252" s="2" t="s">
        <v>88</v>
      </c>
      <c r="F252" s="2">
        <v>1377</v>
      </c>
      <c r="G252" s="2">
        <v>796</v>
      </c>
      <c r="H252" s="2">
        <v>387</v>
      </c>
      <c r="I252" s="2">
        <v>22032</v>
      </c>
      <c r="J252" s="2">
        <v>21869</v>
      </c>
      <c r="K252" s="2">
        <v>189</v>
      </c>
      <c r="L252" s="2" t="s">
        <v>62</v>
      </c>
    </row>
    <row r="253" spans="1:13" ht="15.75" customHeight="1" x14ac:dyDescent="0.3">
      <c r="A253" s="2" t="s">
        <v>491</v>
      </c>
      <c r="B253" s="2" t="s">
        <v>43</v>
      </c>
      <c r="C253" s="2" t="s">
        <v>364</v>
      </c>
      <c r="D253" s="2" t="s">
        <v>45</v>
      </c>
      <c r="E253" s="2" t="s">
        <v>46</v>
      </c>
      <c r="F253" s="2">
        <v>2089</v>
      </c>
      <c r="G253" s="2">
        <v>476</v>
      </c>
      <c r="H253" s="2">
        <v>69</v>
      </c>
      <c r="I253" s="2">
        <v>16712</v>
      </c>
      <c r="J253" s="2">
        <v>16309</v>
      </c>
      <c r="K253" s="2">
        <v>64</v>
      </c>
      <c r="L253" s="2" t="s">
        <v>62</v>
      </c>
      <c r="M253" s="2" t="s">
        <v>31</v>
      </c>
    </row>
    <row r="254" spans="1:13" ht="15.75" customHeight="1" x14ac:dyDescent="0.3">
      <c r="A254" s="2" t="s">
        <v>492</v>
      </c>
      <c r="B254" s="2" t="s">
        <v>14</v>
      </c>
      <c r="C254" s="2" t="s">
        <v>493</v>
      </c>
      <c r="D254" s="2" t="s">
        <v>16</v>
      </c>
      <c r="E254" s="2" t="s">
        <v>17</v>
      </c>
      <c r="F254" s="2">
        <v>3791</v>
      </c>
      <c r="G254" s="2">
        <v>593</v>
      </c>
      <c r="H254" s="2">
        <v>228</v>
      </c>
      <c r="I254" s="2">
        <v>53074</v>
      </c>
      <c r="J254" s="2">
        <v>52613</v>
      </c>
      <c r="K254" s="2">
        <v>205</v>
      </c>
      <c r="L254" s="2" t="s">
        <v>37</v>
      </c>
    </row>
    <row r="255" spans="1:13" ht="15.75" customHeight="1" x14ac:dyDescent="0.3">
      <c r="A255" s="2" t="s">
        <v>494</v>
      </c>
      <c r="B255" s="2" t="s">
        <v>14</v>
      </c>
      <c r="C255" s="2" t="s">
        <v>495</v>
      </c>
      <c r="D255" s="2" t="s">
        <v>52</v>
      </c>
      <c r="E255" s="2" t="s">
        <v>132</v>
      </c>
      <c r="F255" s="2">
        <v>2692</v>
      </c>
      <c r="G255" s="2">
        <v>115</v>
      </c>
      <c r="H255" s="2">
        <v>64</v>
      </c>
      <c r="I255" s="2">
        <v>21536</v>
      </c>
      <c r="J255" s="2">
        <v>21120</v>
      </c>
      <c r="K255" s="2">
        <v>224</v>
      </c>
      <c r="L255" s="2" t="s">
        <v>62</v>
      </c>
      <c r="M255" s="2" t="s">
        <v>25</v>
      </c>
    </row>
    <row r="256" spans="1:13" ht="15.75" customHeight="1" x14ac:dyDescent="0.3">
      <c r="A256" s="2" t="s">
        <v>496</v>
      </c>
      <c r="B256" s="2" t="s">
        <v>43</v>
      </c>
      <c r="C256" s="2" t="s">
        <v>21</v>
      </c>
      <c r="D256" s="2" t="s">
        <v>35</v>
      </c>
      <c r="E256" s="2" t="s">
        <v>71</v>
      </c>
      <c r="F256" s="2">
        <v>3767</v>
      </c>
      <c r="G256" s="2">
        <v>514</v>
      </c>
      <c r="H256" s="2">
        <v>238</v>
      </c>
      <c r="I256" s="2">
        <v>37670</v>
      </c>
      <c r="J256" s="2">
        <v>36807</v>
      </c>
      <c r="K256" s="2">
        <v>226</v>
      </c>
      <c r="L256" s="2" t="s">
        <v>62</v>
      </c>
      <c r="M256" s="2" t="s">
        <v>38</v>
      </c>
    </row>
    <row r="257" spans="1:13" ht="15.75" customHeight="1" x14ac:dyDescent="0.3">
      <c r="A257" s="2" t="s">
        <v>497</v>
      </c>
      <c r="B257" s="2" t="s">
        <v>27</v>
      </c>
      <c r="C257" s="2" t="s">
        <v>252</v>
      </c>
      <c r="D257" s="2" t="s">
        <v>45</v>
      </c>
      <c r="E257" s="2" t="s">
        <v>68</v>
      </c>
      <c r="F257" s="2">
        <v>2143</v>
      </c>
      <c r="G257" s="2">
        <v>12</v>
      </c>
      <c r="H257" s="2">
        <v>204</v>
      </c>
      <c r="I257" s="2">
        <v>40717</v>
      </c>
      <c r="J257" s="2">
        <v>40125</v>
      </c>
      <c r="K257" s="2">
        <v>248</v>
      </c>
      <c r="L257" s="2" t="s">
        <v>37</v>
      </c>
      <c r="M257" s="2" t="s">
        <v>25</v>
      </c>
    </row>
    <row r="258" spans="1:13" ht="15.75" customHeight="1" x14ac:dyDescent="0.3">
      <c r="A258" s="2" t="s">
        <v>498</v>
      </c>
      <c r="B258" s="2" t="s">
        <v>43</v>
      </c>
      <c r="C258" s="2" t="s">
        <v>291</v>
      </c>
      <c r="D258" s="2" t="s">
        <v>52</v>
      </c>
      <c r="E258" s="2" t="s">
        <v>59</v>
      </c>
      <c r="F258" s="2">
        <v>3090</v>
      </c>
      <c r="G258" s="2">
        <v>697</v>
      </c>
      <c r="H258" s="2">
        <v>164</v>
      </c>
      <c r="I258" s="2">
        <v>49440</v>
      </c>
      <c r="J258" s="2">
        <v>48524</v>
      </c>
      <c r="K258" s="2">
        <v>25</v>
      </c>
      <c r="L258" s="2" t="s">
        <v>499</v>
      </c>
      <c r="M258" s="2" t="s">
        <v>25</v>
      </c>
    </row>
    <row r="259" spans="1:13" ht="15.75" customHeight="1" x14ac:dyDescent="0.3">
      <c r="A259" s="2" t="s">
        <v>500</v>
      </c>
      <c r="B259" s="2" t="s">
        <v>33</v>
      </c>
      <c r="C259" s="2" t="s">
        <v>501</v>
      </c>
      <c r="D259" s="2" t="s">
        <v>35</v>
      </c>
      <c r="E259" s="2" t="s">
        <v>36</v>
      </c>
      <c r="F259" s="2">
        <v>3601</v>
      </c>
      <c r="G259" s="2">
        <v>695</v>
      </c>
      <c r="H259" s="2">
        <v>75</v>
      </c>
      <c r="I259" s="2">
        <v>21606</v>
      </c>
      <c r="J259" s="2">
        <v>21454</v>
      </c>
      <c r="K259" s="2">
        <v>172</v>
      </c>
      <c r="L259" s="2" t="s">
        <v>37</v>
      </c>
      <c r="M259" s="2" t="s">
        <v>25</v>
      </c>
    </row>
    <row r="260" spans="1:13" ht="15.75" customHeight="1" x14ac:dyDescent="0.3">
      <c r="A260" s="2" t="s">
        <v>502</v>
      </c>
      <c r="B260" s="2" t="s">
        <v>43</v>
      </c>
      <c r="C260" s="2" t="s">
        <v>249</v>
      </c>
      <c r="D260" s="2" t="s">
        <v>22</v>
      </c>
      <c r="E260" s="2" t="s">
        <v>56</v>
      </c>
      <c r="F260" s="2">
        <v>562</v>
      </c>
      <c r="G260" s="2">
        <v>158</v>
      </c>
      <c r="H260" s="2">
        <v>149</v>
      </c>
      <c r="I260" s="2">
        <v>3372</v>
      </c>
      <c r="J260" s="2">
        <v>2940</v>
      </c>
      <c r="K260" s="2">
        <v>93</v>
      </c>
      <c r="L260" s="2" t="s">
        <v>30</v>
      </c>
      <c r="M260" s="2" t="s">
        <v>19</v>
      </c>
    </row>
    <row r="261" spans="1:13" ht="15.75" customHeight="1" x14ac:dyDescent="0.3">
      <c r="A261" s="2" t="s">
        <v>503</v>
      </c>
      <c r="B261" s="2" t="s">
        <v>33</v>
      </c>
      <c r="C261" s="2" t="s">
        <v>504</v>
      </c>
      <c r="D261" s="2" t="s">
        <v>35</v>
      </c>
      <c r="E261" s="2" t="s">
        <v>36</v>
      </c>
      <c r="F261" s="2">
        <v>4332</v>
      </c>
      <c r="G261" s="2">
        <v>771</v>
      </c>
      <c r="H261" s="2">
        <v>219</v>
      </c>
      <c r="I261" s="2">
        <v>60648</v>
      </c>
      <c r="J261" s="2">
        <v>60397</v>
      </c>
      <c r="K261" s="2">
        <v>10</v>
      </c>
      <c r="L261" s="2" t="s">
        <v>505</v>
      </c>
      <c r="M261" s="2" t="s">
        <v>31</v>
      </c>
    </row>
    <row r="262" spans="1:13" ht="15.75" customHeight="1" x14ac:dyDescent="0.3">
      <c r="A262" s="2" t="s">
        <v>506</v>
      </c>
      <c r="B262" s="2" t="s">
        <v>33</v>
      </c>
      <c r="C262" s="2" t="s">
        <v>507</v>
      </c>
      <c r="D262" s="2" t="s">
        <v>52</v>
      </c>
      <c r="E262" s="2" t="s">
        <v>215</v>
      </c>
      <c r="F262" s="2">
        <v>4853</v>
      </c>
      <c r="G262" s="2">
        <v>837</v>
      </c>
      <c r="H262" s="2">
        <v>340</v>
      </c>
      <c r="I262" s="2">
        <v>72795</v>
      </c>
      <c r="J262" s="2">
        <v>72237</v>
      </c>
      <c r="K262" s="2">
        <v>170</v>
      </c>
      <c r="L262" s="2" t="s">
        <v>37</v>
      </c>
      <c r="M262" s="2" t="s">
        <v>19</v>
      </c>
    </row>
    <row r="263" spans="1:13" ht="15.75" customHeight="1" x14ac:dyDescent="0.3">
      <c r="A263" s="2" t="s">
        <v>508</v>
      </c>
      <c r="B263" s="2" t="s">
        <v>27</v>
      </c>
      <c r="C263" s="2" t="s">
        <v>473</v>
      </c>
      <c r="D263" s="2" t="s">
        <v>52</v>
      </c>
      <c r="E263" s="2" t="s">
        <v>53</v>
      </c>
      <c r="F263" s="2">
        <v>1206</v>
      </c>
      <c r="G263" s="2">
        <v>238</v>
      </c>
      <c r="H263" s="2">
        <v>36</v>
      </c>
      <c r="I263" s="2">
        <v>9648</v>
      </c>
      <c r="J263" s="2">
        <v>9417</v>
      </c>
      <c r="K263" s="2">
        <v>237</v>
      </c>
      <c r="L263" s="2" t="s">
        <v>30</v>
      </c>
    </row>
    <row r="264" spans="1:13" ht="15.75" customHeight="1" x14ac:dyDescent="0.3">
      <c r="A264" s="2" t="s">
        <v>509</v>
      </c>
      <c r="B264" s="2" t="s">
        <v>33</v>
      </c>
      <c r="C264" s="2" t="s">
        <v>510</v>
      </c>
      <c r="D264" s="2" t="s">
        <v>16</v>
      </c>
      <c r="E264" s="2" t="s">
        <v>82</v>
      </c>
      <c r="F264" s="2">
        <v>2603</v>
      </c>
      <c r="G264" s="2">
        <v>690</v>
      </c>
      <c r="H264" s="2">
        <v>205</v>
      </c>
      <c r="I264" s="2">
        <v>13015</v>
      </c>
      <c r="J264" s="2">
        <v>12130</v>
      </c>
      <c r="K264" s="2">
        <v>20</v>
      </c>
      <c r="L264" s="2" t="s">
        <v>62</v>
      </c>
      <c r="M264" s="2" t="s">
        <v>25</v>
      </c>
    </row>
    <row r="265" spans="1:13" ht="15.75" customHeight="1" x14ac:dyDescent="0.3">
      <c r="A265" s="2" t="s">
        <v>511</v>
      </c>
      <c r="B265" s="2" t="s">
        <v>14</v>
      </c>
      <c r="C265" s="2" t="s">
        <v>512</v>
      </c>
      <c r="D265" s="2" t="s">
        <v>52</v>
      </c>
      <c r="E265" s="2" t="s">
        <v>132</v>
      </c>
      <c r="F265" s="2">
        <v>59</v>
      </c>
      <c r="G265" s="2">
        <v>163</v>
      </c>
      <c r="H265" s="2">
        <v>93</v>
      </c>
      <c r="I265" s="2">
        <v>590</v>
      </c>
      <c r="J265" s="2">
        <v>475</v>
      </c>
      <c r="K265" s="2">
        <v>293</v>
      </c>
      <c r="L265" s="2" t="s">
        <v>30</v>
      </c>
      <c r="M265" s="2" t="s">
        <v>25</v>
      </c>
    </row>
    <row r="266" spans="1:13" ht="15.75" customHeight="1" x14ac:dyDescent="0.3">
      <c r="A266" s="2" t="s">
        <v>513</v>
      </c>
      <c r="B266" s="2" t="s">
        <v>14</v>
      </c>
      <c r="C266" s="2" t="s">
        <v>514</v>
      </c>
      <c r="D266" s="2" t="s">
        <v>45</v>
      </c>
      <c r="E266" s="2" t="s">
        <v>49</v>
      </c>
      <c r="F266" s="2">
        <v>1877</v>
      </c>
      <c r="G266" s="2">
        <v>745</v>
      </c>
      <c r="H266" s="2">
        <v>225</v>
      </c>
      <c r="I266" s="2">
        <v>11262</v>
      </c>
      <c r="J266" s="2">
        <v>10967</v>
      </c>
      <c r="K266" s="2">
        <v>41</v>
      </c>
      <c r="L266" s="2" t="s">
        <v>37</v>
      </c>
      <c r="M266" s="2" t="s">
        <v>38</v>
      </c>
    </row>
    <row r="267" spans="1:13" ht="15.75" customHeight="1" x14ac:dyDescent="0.3">
      <c r="A267" s="2" t="s">
        <v>515</v>
      </c>
      <c r="B267" s="2" t="s">
        <v>43</v>
      </c>
      <c r="C267" s="2" t="s">
        <v>129</v>
      </c>
      <c r="D267" s="2" t="s">
        <v>35</v>
      </c>
      <c r="E267" s="2" t="s">
        <v>71</v>
      </c>
      <c r="F267" s="2">
        <v>4182</v>
      </c>
      <c r="G267" s="2">
        <v>640</v>
      </c>
      <c r="H267" s="2">
        <v>240</v>
      </c>
      <c r="I267" s="2">
        <v>50184</v>
      </c>
      <c r="J267" s="2">
        <v>49351</v>
      </c>
      <c r="K267" s="2">
        <v>10</v>
      </c>
      <c r="L267" s="2" t="s">
        <v>30</v>
      </c>
      <c r="M267" s="2" t="s">
        <v>31</v>
      </c>
    </row>
    <row r="268" spans="1:13" ht="15.75" customHeight="1" x14ac:dyDescent="0.3">
      <c r="A268" s="2" t="s">
        <v>516</v>
      </c>
      <c r="B268" s="2" t="s">
        <v>14</v>
      </c>
      <c r="C268" s="2" t="s">
        <v>396</v>
      </c>
      <c r="D268" s="2" t="s">
        <v>16</v>
      </c>
      <c r="E268" s="2" t="s">
        <v>17</v>
      </c>
      <c r="F268" s="2">
        <v>4187</v>
      </c>
      <c r="G268" s="2">
        <v>66</v>
      </c>
      <c r="H268" s="2">
        <v>31</v>
      </c>
      <c r="I268" s="2">
        <v>66992</v>
      </c>
      <c r="J268" s="2">
        <v>66614</v>
      </c>
      <c r="K268" s="2">
        <v>62</v>
      </c>
      <c r="L268" s="2" t="s">
        <v>62</v>
      </c>
    </row>
    <row r="269" spans="1:13" ht="15.75" customHeight="1" x14ac:dyDescent="0.3">
      <c r="A269" s="2" t="s">
        <v>517</v>
      </c>
      <c r="B269" s="2" t="s">
        <v>33</v>
      </c>
      <c r="C269" s="2" t="s">
        <v>518</v>
      </c>
      <c r="D269" s="2" t="s">
        <v>16</v>
      </c>
      <c r="E269" s="2" t="s">
        <v>82</v>
      </c>
      <c r="F269" s="2">
        <v>4579</v>
      </c>
      <c r="G269" s="2">
        <v>125</v>
      </c>
      <c r="H269" s="2">
        <v>300</v>
      </c>
      <c r="I269" s="2">
        <v>59527</v>
      </c>
      <c r="J269" s="2">
        <v>59400</v>
      </c>
      <c r="K269" s="2">
        <v>269</v>
      </c>
      <c r="L269" s="2" t="s">
        <v>37</v>
      </c>
      <c r="M269" s="2" t="s">
        <v>19</v>
      </c>
    </row>
    <row r="270" spans="1:13" ht="15.75" customHeight="1" x14ac:dyDescent="0.3">
      <c r="A270" s="2" t="s">
        <v>519</v>
      </c>
      <c r="B270" s="2" t="s">
        <v>33</v>
      </c>
      <c r="C270" s="2" t="s">
        <v>520</v>
      </c>
      <c r="D270" s="2" t="s">
        <v>74</v>
      </c>
      <c r="E270" s="2" t="s">
        <v>85</v>
      </c>
      <c r="F270" s="2">
        <v>4561</v>
      </c>
      <c r="G270" s="2">
        <v>51</v>
      </c>
      <c r="H270" s="2">
        <v>441</v>
      </c>
      <c r="I270" s="2">
        <v>22805</v>
      </c>
      <c r="J270" s="2">
        <v>21890</v>
      </c>
      <c r="K270" s="2">
        <v>45</v>
      </c>
      <c r="L270" s="2" t="s">
        <v>30</v>
      </c>
      <c r="M270" s="2" t="s">
        <v>25</v>
      </c>
    </row>
    <row r="271" spans="1:13" ht="15.75" customHeight="1" x14ac:dyDescent="0.3">
      <c r="A271" s="2" t="s">
        <v>521</v>
      </c>
      <c r="B271" s="2" t="s">
        <v>27</v>
      </c>
      <c r="C271" s="2" t="s">
        <v>414</v>
      </c>
      <c r="D271" s="2" t="s">
        <v>16</v>
      </c>
      <c r="E271" s="2" t="s">
        <v>29</v>
      </c>
      <c r="F271" s="2">
        <v>3774</v>
      </c>
      <c r="G271" s="2">
        <v>239</v>
      </c>
      <c r="H271" s="2">
        <v>39</v>
      </c>
      <c r="I271" s="2">
        <v>60384</v>
      </c>
      <c r="J271" s="2">
        <v>59490</v>
      </c>
      <c r="K271" s="2">
        <v>241</v>
      </c>
      <c r="L271" s="2" t="s">
        <v>30</v>
      </c>
      <c r="M271" s="2" t="s">
        <v>31</v>
      </c>
    </row>
    <row r="272" spans="1:13" ht="15.75" customHeight="1" x14ac:dyDescent="0.3">
      <c r="A272" s="2" t="s">
        <v>522</v>
      </c>
      <c r="B272" s="2" t="s">
        <v>33</v>
      </c>
      <c r="C272" s="2" t="s">
        <v>523</v>
      </c>
      <c r="D272" s="2" t="s">
        <v>74</v>
      </c>
      <c r="E272" s="2" t="s">
        <v>85</v>
      </c>
      <c r="F272" s="2">
        <v>3575</v>
      </c>
      <c r="G272" s="2">
        <v>749</v>
      </c>
      <c r="H272" s="2">
        <v>111</v>
      </c>
      <c r="I272" s="2">
        <v>21450</v>
      </c>
      <c r="J272" s="2">
        <v>20785</v>
      </c>
      <c r="K272" s="2">
        <v>195</v>
      </c>
      <c r="L272" s="2" t="s">
        <v>37</v>
      </c>
      <c r="M272" s="2" t="s">
        <v>25</v>
      </c>
    </row>
    <row r="273" spans="1:13" ht="15.75" customHeight="1" x14ac:dyDescent="0.3">
      <c r="A273" s="2" t="s">
        <v>524</v>
      </c>
      <c r="B273" s="2" t="s">
        <v>33</v>
      </c>
      <c r="C273" s="2" t="s">
        <v>490</v>
      </c>
      <c r="D273" s="2" t="s">
        <v>22</v>
      </c>
      <c r="E273" s="2" t="s">
        <v>113</v>
      </c>
      <c r="F273" s="2">
        <v>4941</v>
      </c>
      <c r="G273" s="2">
        <v>414</v>
      </c>
      <c r="H273" s="2">
        <v>266</v>
      </c>
      <c r="I273" s="2">
        <v>39528</v>
      </c>
      <c r="J273" s="2">
        <v>39154</v>
      </c>
      <c r="K273" s="2">
        <v>217</v>
      </c>
      <c r="L273" s="2" t="s">
        <v>30</v>
      </c>
      <c r="M273" s="2" t="s">
        <v>31</v>
      </c>
    </row>
    <row r="274" spans="1:13" ht="15.75" customHeight="1" x14ac:dyDescent="0.3">
      <c r="A274" s="2" t="s">
        <v>525</v>
      </c>
      <c r="B274" s="2" t="s">
        <v>27</v>
      </c>
      <c r="C274" s="2" t="s">
        <v>526</v>
      </c>
      <c r="D274" s="2" t="s">
        <v>35</v>
      </c>
      <c r="E274" s="2" t="s">
        <v>154</v>
      </c>
      <c r="F274" s="2">
        <v>3641</v>
      </c>
      <c r="G274" s="2">
        <v>226</v>
      </c>
      <c r="H274" s="2">
        <v>46</v>
      </c>
      <c r="I274" s="2">
        <v>40051</v>
      </c>
      <c r="J274" s="2">
        <v>39319</v>
      </c>
      <c r="K274" s="2">
        <v>296</v>
      </c>
      <c r="L274" s="2" t="s">
        <v>37</v>
      </c>
      <c r="M274" s="2" t="s">
        <v>38</v>
      </c>
    </row>
    <row r="275" spans="1:13" ht="15.75" customHeight="1" x14ac:dyDescent="0.3">
      <c r="A275" s="2" t="s">
        <v>527</v>
      </c>
      <c r="B275" s="2" t="s">
        <v>14</v>
      </c>
      <c r="C275" s="2" t="s">
        <v>336</v>
      </c>
      <c r="D275" s="2" t="s">
        <v>45</v>
      </c>
      <c r="E275" s="2" t="s">
        <v>49</v>
      </c>
      <c r="F275" s="2">
        <v>3535</v>
      </c>
      <c r="G275" s="2">
        <v>494</v>
      </c>
      <c r="H275" s="2">
        <v>152</v>
      </c>
      <c r="I275" s="2">
        <v>53025</v>
      </c>
      <c r="J275" s="2">
        <v>52791</v>
      </c>
      <c r="K275" s="2">
        <v>44</v>
      </c>
      <c r="L275" s="2" t="s">
        <v>30</v>
      </c>
      <c r="M275" s="2" t="s">
        <v>38</v>
      </c>
    </row>
    <row r="276" spans="1:13" ht="15.75" customHeight="1" x14ac:dyDescent="0.3">
      <c r="A276" s="2" t="s">
        <v>528</v>
      </c>
      <c r="B276" s="2" t="s">
        <v>43</v>
      </c>
      <c r="C276" s="2" t="s">
        <v>501</v>
      </c>
      <c r="D276" s="2" t="s">
        <v>16</v>
      </c>
      <c r="E276" s="2" t="s">
        <v>65</v>
      </c>
      <c r="F276" s="2">
        <v>1741</v>
      </c>
      <c r="G276" s="2">
        <v>831</v>
      </c>
      <c r="H276" s="2">
        <v>345</v>
      </c>
      <c r="I276" s="2">
        <v>17410</v>
      </c>
      <c r="J276" s="2">
        <v>16844</v>
      </c>
      <c r="K276" s="2">
        <v>58</v>
      </c>
      <c r="L276" s="2" t="s">
        <v>37</v>
      </c>
      <c r="M276" s="2" t="s">
        <v>31</v>
      </c>
    </row>
    <row r="277" spans="1:13" ht="15.75" customHeight="1" x14ac:dyDescent="0.3">
      <c r="A277" s="2" t="s">
        <v>529</v>
      </c>
      <c r="B277" s="2" t="s">
        <v>14</v>
      </c>
      <c r="C277" s="2" t="s">
        <v>530</v>
      </c>
      <c r="D277" s="2" t="s">
        <v>45</v>
      </c>
      <c r="E277" s="2" t="s">
        <v>49</v>
      </c>
      <c r="F277" s="2">
        <v>1556</v>
      </c>
      <c r="G277" s="2">
        <v>195</v>
      </c>
      <c r="H277" s="2">
        <v>131</v>
      </c>
      <c r="I277" s="2">
        <v>9336</v>
      </c>
      <c r="J277" s="2">
        <v>8875</v>
      </c>
      <c r="K277" s="2">
        <v>137</v>
      </c>
      <c r="L277" s="2" t="s">
        <v>30</v>
      </c>
      <c r="M277" s="2" t="s">
        <v>25</v>
      </c>
    </row>
    <row r="278" spans="1:13" ht="15.75" customHeight="1" x14ac:dyDescent="0.3">
      <c r="A278" s="2" t="s">
        <v>531</v>
      </c>
      <c r="B278" s="2" t="s">
        <v>43</v>
      </c>
      <c r="C278" s="2" t="s">
        <v>291</v>
      </c>
      <c r="D278" s="2" t="s">
        <v>52</v>
      </c>
      <c r="E278" s="2" t="s">
        <v>59</v>
      </c>
      <c r="F278" s="2">
        <v>4236</v>
      </c>
      <c r="G278" s="2">
        <v>711</v>
      </c>
      <c r="H278" s="2">
        <v>298</v>
      </c>
      <c r="I278" s="2">
        <v>21180</v>
      </c>
      <c r="J278" s="2">
        <v>20516</v>
      </c>
      <c r="K278" s="2">
        <v>238</v>
      </c>
      <c r="L278" s="2" t="s">
        <v>62</v>
      </c>
      <c r="M278" s="2" t="s">
        <v>19</v>
      </c>
    </row>
    <row r="279" spans="1:13" ht="15.75" customHeight="1" x14ac:dyDescent="0.3">
      <c r="A279" s="2" t="s">
        <v>532</v>
      </c>
      <c r="B279" s="2" t="s">
        <v>14</v>
      </c>
      <c r="C279" s="2" t="s">
        <v>533</v>
      </c>
      <c r="D279" s="2" t="s">
        <v>22</v>
      </c>
      <c r="E279" s="2" t="s">
        <v>23</v>
      </c>
      <c r="F279" s="2">
        <v>4516</v>
      </c>
      <c r="G279" s="2">
        <v>836</v>
      </c>
      <c r="H279" s="2">
        <v>169</v>
      </c>
      <c r="I279" s="2">
        <v>49676</v>
      </c>
      <c r="J279" s="2">
        <v>49257</v>
      </c>
      <c r="K279" s="2">
        <v>282</v>
      </c>
      <c r="L279" s="2" t="s">
        <v>37</v>
      </c>
      <c r="M279" s="2" t="s">
        <v>38</v>
      </c>
    </row>
    <row r="280" spans="1:13" ht="15.75" customHeight="1" x14ac:dyDescent="0.3">
      <c r="A280" s="2" t="s">
        <v>534</v>
      </c>
      <c r="B280" s="2" t="s">
        <v>27</v>
      </c>
      <c r="C280" s="2" t="s">
        <v>195</v>
      </c>
      <c r="D280" s="2" t="s">
        <v>52</v>
      </c>
      <c r="E280" s="2" t="s">
        <v>53</v>
      </c>
      <c r="F280" s="2">
        <v>4905</v>
      </c>
      <c r="G280" s="2">
        <v>845</v>
      </c>
      <c r="H280" s="2">
        <v>129</v>
      </c>
      <c r="I280" s="2">
        <v>98100</v>
      </c>
      <c r="J280" s="2">
        <v>97772</v>
      </c>
      <c r="K280" s="2">
        <v>279</v>
      </c>
      <c r="L280" s="2" t="s">
        <v>30</v>
      </c>
      <c r="M280" s="2" t="s">
        <v>25</v>
      </c>
    </row>
    <row r="281" spans="1:13" ht="15.75" customHeight="1" x14ac:dyDescent="0.3">
      <c r="A281" s="2" t="s">
        <v>535</v>
      </c>
      <c r="B281" s="2" t="s">
        <v>27</v>
      </c>
      <c r="C281" s="2" t="s">
        <v>168</v>
      </c>
      <c r="D281" s="2" t="s">
        <v>74</v>
      </c>
      <c r="E281" s="2" t="s">
        <v>219</v>
      </c>
      <c r="F281" s="2">
        <v>4275</v>
      </c>
      <c r="G281" s="2">
        <v>680</v>
      </c>
      <c r="H281" s="2">
        <v>385</v>
      </c>
      <c r="I281" s="2">
        <v>64125</v>
      </c>
      <c r="J281" s="2">
        <v>63650</v>
      </c>
      <c r="K281" s="2">
        <v>104</v>
      </c>
      <c r="L281" s="2" t="s">
        <v>175</v>
      </c>
      <c r="M281" s="2" t="s">
        <v>38</v>
      </c>
    </row>
    <row r="282" spans="1:13" ht="15.75" customHeight="1" x14ac:dyDescent="0.3">
      <c r="A282" s="2" t="s">
        <v>536</v>
      </c>
      <c r="B282" s="2" t="s">
        <v>27</v>
      </c>
      <c r="C282" s="2" t="s">
        <v>537</v>
      </c>
      <c r="D282" s="2" t="s">
        <v>52</v>
      </c>
      <c r="E282" s="2" t="s">
        <v>53</v>
      </c>
      <c r="F282" s="2">
        <v>3166</v>
      </c>
      <c r="G282" s="2">
        <v>90</v>
      </c>
      <c r="H282" s="2">
        <v>341</v>
      </c>
      <c r="I282" s="2">
        <v>56988</v>
      </c>
      <c r="J282" s="2">
        <v>56125</v>
      </c>
      <c r="K282" s="2">
        <v>135</v>
      </c>
      <c r="L282" s="2" t="s">
        <v>37</v>
      </c>
      <c r="M282" s="2" t="s">
        <v>25</v>
      </c>
    </row>
    <row r="283" spans="1:13" ht="15.75" customHeight="1" x14ac:dyDescent="0.3">
      <c r="A283" s="2" t="s">
        <v>538</v>
      </c>
      <c r="B283" s="2" t="s">
        <v>33</v>
      </c>
      <c r="C283" s="2" t="s">
        <v>539</v>
      </c>
      <c r="D283" s="2" t="s">
        <v>74</v>
      </c>
      <c r="E283" s="2" t="s">
        <v>85</v>
      </c>
      <c r="F283" s="2">
        <v>1488</v>
      </c>
      <c r="G283" s="2">
        <v>417</v>
      </c>
      <c r="H283" s="2">
        <v>168</v>
      </c>
      <c r="I283" s="2">
        <v>19344</v>
      </c>
      <c r="J283" s="2">
        <v>18395</v>
      </c>
      <c r="K283" s="2">
        <v>30</v>
      </c>
      <c r="L283" s="2" t="s">
        <v>62</v>
      </c>
      <c r="M283" s="2" t="s">
        <v>31</v>
      </c>
    </row>
    <row r="284" spans="1:13" ht="15.75" customHeight="1" x14ac:dyDescent="0.3">
      <c r="A284" s="2" t="s">
        <v>540</v>
      </c>
      <c r="B284" s="2" t="s">
        <v>14</v>
      </c>
      <c r="C284" s="2" t="s">
        <v>541</v>
      </c>
      <c r="D284" s="2" t="s">
        <v>16</v>
      </c>
      <c r="E284" s="2" t="s">
        <v>17</v>
      </c>
      <c r="F284" s="2">
        <v>3367</v>
      </c>
      <c r="G284" s="2">
        <v>302</v>
      </c>
      <c r="H284" s="2">
        <v>57</v>
      </c>
      <c r="I284" s="2">
        <v>63973</v>
      </c>
      <c r="J284" s="2">
        <v>63789</v>
      </c>
      <c r="K284" s="2">
        <v>157</v>
      </c>
      <c r="L284" s="2" t="s">
        <v>62</v>
      </c>
      <c r="M284" s="2" t="s">
        <v>25</v>
      </c>
    </row>
    <row r="285" spans="1:13" ht="15.75" customHeight="1" x14ac:dyDescent="0.3">
      <c r="A285" s="2" t="s">
        <v>542</v>
      </c>
      <c r="B285" s="2" t="s">
        <v>14</v>
      </c>
      <c r="C285" s="2" t="s">
        <v>103</v>
      </c>
      <c r="D285" s="2" t="s">
        <v>22</v>
      </c>
      <c r="E285" s="2" t="s">
        <v>23</v>
      </c>
      <c r="F285" s="2">
        <v>571</v>
      </c>
      <c r="G285" s="2">
        <v>190</v>
      </c>
      <c r="H285" s="2">
        <v>352</v>
      </c>
      <c r="I285" s="2">
        <v>9707</v>
      </c>
      <c r="J285" s="2">
        <v>9418</v>
      </c>
      <c r="K285" s="2">
        <v>231</v>
      </c>
      <c r="L285" s="2" t="s">
        <v>30</v>
      </c>
      <c r="M285" s="2" t="s">
        <v>38</v>
      </c>
    </row>
    <row r="286" spans="1:13" ht="15.75" customHeight="1" x14ac:dyDescent="0.3">
      <c r="A286" s="2" t="s">
        <v>543</v>
      </c>
      <c r="B286" s="2" t="s">
        <v>27</v>
      </c>
      <c r="C286" s="2" t="s">
        <v>430</v>
      </c>
      <c r="D286" s="2" t="s">
        <v>22</v>
      </c>
      <c r="E286" s="2" t="s">
        <v>104</v>
      </c>
      <c r="F286" s="2">
        <v>4021</v>
      </c>
      <c r="G286" s="2">
        <v>794</v>
      </c>
      <c r="H286" s="2">
        <v>77</v>
      </c>
      <c r="I286" s="2">
        <v>36189</v>
      </c>
      <c r="J286" s="2">
        <v>35505</v>
      </c>
      <c r="K286" s="2">
        <v>174</v>
      </c>
      <c r="L286" s="2" t="s">
        <v>37</v>
      </c>
    </row>
    <row r="287" spans="1:13" ht="15.75" customHeight="1" x14ac:dyDescent="0.3">
      <c r="A287" s="2" t="s">
        <v>544</v>
      </c>
      <c r="B287" s="2" t="s">
        <v>27</v>
      </c>
      <c r="C287" s="2" t="s">
        <v>545</v>
      </c>
      <c r="D287" s="2" t="s">
        <v>74</v>
      </c>
      <c r="E287" s="2" t="s">
        <v>219</v>
      </c>
      <c r="F287" s="2">
        <v>3389</v>
      </c>
      <c r="G287" s="2">
        <v>344</v>
      </c>
      <c r="H287" s="2">
        <v>229</v>
      </c>
      <c r="I287" s="2">
        <v>20334</v>
      </c>
      <c r="J287" s="2">
        <v>19443</v>
      </c>
      <c r="K287" s="2">
        <v>228</v>
      </c>
      <c r="L287" s="2" t="s">
        <v>62</v>
      </c>
      <c r="M287" s="2" t="s">
        <v>31</v>
      </c>
    </row>
    <row r="288" spans="1:13" ht="15.75" customHeight="1" x14ac:dyDescent="0.3">
      <c r="A288" s="2" t="s">
        <v>546</v>
      </c>
      <c r="B288" s="2" t="s">
        <v>33</v>
      </c>
      <c r="C288" s="2" t="s">
        <v>404</v>
      </c>
      <c r="D288" s="2" t="s">
        <v>16</v>
      </c>
      <c r="E288" s="2" t="s">
        <v>82</v>
      </c>
      <c r="F288" s="2">
        <v>1164</v>
      </c>
      <c r="G288" s="2">
        <v>616</v>
      </c>
      <c r="H288" s="2">
        <v>324</v>
      </c>
      <c r="I288" s="2">
        <v>6984</v>
      </c>
      <c r="J288" s="2">
        <v>6636</v>
      </c>
      <c r="K288" s="2">
        <v>82</v>
      </c>
      <c r="L288" s="2" t="s">
        <v>37</v>
      </c>
      <c r="M288" s="2" t="s">
        <v>19</v>
      </c>
    </row>
    <row r="289" spans="1:13" ht="15.75" customHeight="1" x14ac:dyDescent="0.3">
      <c r="A289" s="2" t="s">
        <v>547</v>
      </c>
      <c r="B289" s="2" t="s">
        <v>27</v>
      </c>
      <c r="C289" s="2" t="s">
        <v>548</v>
      </c>
      <c r="D289" s="2" t="s">
        <v>45</v>
      </c>
      <c r="E289" s="2" t="s">
        <v>68</v>
      </c>
      <c r="F289" s="2">
        <v>4780</v>
      </c>
      <c r="G289" s="2">
        <v>691</v>
      </c>
      <c r="H289" s="2">
        <v>380</v>
      </c>
      <c r="I289" s="2">
        <v>86040</v>
      </c>
      <c r="J289" s="2">
        <v>85743</v>
      </c>
      <c r="K289" s="2">
        <v>262</v>
      </c>
      <c r="L289" s="2" t="s">
        <v>62</v>
      </c>
      <c r="M289" s="2" t="s">
        <v>31</v>
      </c>
    </row>
    <row r="290" spans="1:13" ht="15.75" customHeight="1" x14ac:dyDescent="0.3">
      <c r="A290" s="2" t="s">
        <v>549</v>
      </c>
      <c r="B290" s="2" t="s">
        <v>43</v>
      </c>
      <c r="C290" s="2" t="s">
        <v>307</v>
      </c>
      <c r="D290" s="2" t="s">
        <v>45</v>
      </c>
      <c r="E290" s="2" t="s">
        <v>46</v>
      </c>
      <c r="F290" s="2">
        <v>2751</v>
      </c>
      <c r="G290" s="2">
        <v>33</v>
      </c>
      <c r="H290" s="2">
        <v>430</v>
      </c>
      <c r="I290" s="2">
        <v>44016</v>
      </c>
      <c r="J290" s="2">
        <v>43415</v>
      </c>
      <c r="K290" s="2">
        <v>129</v>
      </c>
      <c r="L290" s="2" t="s">
        <v>62</v>
      </c>
    </row>
    <row r="291" spans="1:13" ht="15.75" customHeight="1" x14ac:dyDescent="0.3">
      <c r="A291" s="2" t="s">
        <v>550</v>
      </c>
      <c r="B291" s="2" t="s">
        <v>33</v>
      </c>
      <c r="C291" s="2" t="s">
        <v>551</v>
      </c>
      <c r="D291" s="2" t="s">
        <v>45</v>
      </c>
      <c r="E291" s="2" t="s">
        <v>88</v>
      </c>
      <c r="F291" s="2">
        <v>2107</v>
      </c>
      <c r="G291" s="2">
        <v>550</v>
      </c>
      <c r="H291" s="2">
        <v>349</v>
      </c>
      <c r="I291" s="2">
        <v>35819</v>
      </c>
      <c r="J291" s="2">
        <v>35340</v>
      </c>
      <c r="K291" s="2">
        <v>191</v>
      </c>
      <c r="L291" s="2" t="s">
        <v>37</v>
      </c>
      <c r="M291" s="2" t="s">
        <v>38</v>
      </c>
    </row>
    <row r="292" spans="1:13" ht="15.75" customHeight="1" x14ac:dyDescent="0.3">
      <c r="A292" s="2" t="s">
        <v>552</v>
      </c>
      <c r="B292" s="2" t="s">
        <v>43</v>
      </c>
      <c r="C292" s="2" t="s">
        <v>94</v>
      </c>
      <c r="D292" s="2" t="s">
        <v>74</v>
      </c>
      <c r="E292" s="2" t="s">
        <v>75</v>
      </c>
      <c r="F292" s="2">
        <v>4663</v>
      </c>
      <c r="G292" s="2">
        <v>145</v>
      </c>
      <c r="H292" s="2">
        <v>225</v>
      </c>
      <c r="I292" s="2">
        <v>69945</v>
      </c>
      <c r="J292" s="2">
        <v>69596</v>
      </c>
      <c r="K292" s="2">
        <v>35</v>
      </c>
      <c r="L292" s="2" t="s">
        <v>37</v>
      </c>
      <c r="M292" s="2" t="s">
        <v>38</v>
      </c>
    </row>
    <row r="293" spans="1:13" ht="15.75" customHeight="1" x14ac:dyDescent="0.3">
      <c r="A293" s="2" t="s">
        <v>553</v>
      </c>
      <c r="B293" s="2" t="s">
        <v>43</v>
      </c>
      <c r="C293" s="2" t="s">
        <v>554</v>
      </c>
      <c r="D293" s="2" t="s">
        <v>22</v>
      </c>
      <c r="E293" s="2" t="s">
        <v>56</v>
      </c>
      <c r="F293" s="2">
        <v>880</v>
      </c>
      <c r="G293" s="2">
        <v>297</v>
      </c>
      <c r="H293" s="2">
        <v>345</v>
      </c>
      <c r="I293" s="2">
        <v>12320</v>
      </c>
      <c r="J293" s="2">
        <v>11978</v>
      </c>
      <c r="K293" s="2">
        <v>238</v>
      </c>
      <c r="L293" s="2" t="s">
        <v>95</v>
      </c>
    </row>
    <row r="294" spans="1:13" ht="15.75" customHeight="1" x14ac:dyDescent="0.3">
      <c r="A294" s="2" t="s">
        <v>555</v>
      </c>
      <c r="B294" s="2" t="s">
        <v>43</v>
      </c>
      <c r="C294" s="2" t="s">
        <v>556</v>
      </c>
      <c r="D294" s="2" t="s">
        <v>22</v>
      </c>
      <c r="E294" s="2" t="s">
        <v>56</v>
      </c>
      <c r="F294" s="2">
        <v>2634</v>
      </c>
      <c r="G294" s="2">
        <v>726</v>
      </c>
      <c r="H294" s="2">
        <v>241</v>
      </c>
      <c r="I294" s="2">
        <v>28974</v>
      </c>
      <c r="J294" s="2">
        <v>28102</v>
      </c>
      <c r="K294" s="2">
        <v>277</v>
      </c>
      <c r="L294" s="2" t="s">
        <v>37</v>
      </c>
      <c r="M294" s="2" t="s">
        <v>19</v>
      </c>
    </row>
    <row r="295" spans="1:13" ht="15.75" customHeight="1" x14ac:dyDescent="0.3">
      <c r="A295" s="2" t="s">
        <v>557</v>
      </c>
      <c r="B295" s="2" t="s">
        <v>43</v>
      </c>
      <c r="C295" s="2" t="s">
        <v>558</v>
      </c>
      <c r="D295" s="2" t="s">
        <v>45</v>
      </c>
      <c r="E295" s="2" t="s">
        <v>46</v>
      </c>
      <c r="F295" s="2">
        <v>4731</v>
      </c>
      <c r="G295" s="2">
        <v>173</v>
      </c>
      <c r="H295" s="2">
        <v>276</v>
      </c>
      <c r="I295" s="2">
        <v>28386</v>
      </c>
      <c r="J295" s="2">
        <v>28185</v>
      </c>
      <c r="K295" s="2">
        <v>89</v>
      </c>
      <c r="L295" s="2" t="s">
        <v>37</v>
      </c>
      <c r="M295" s="2" t="s">
        <v>31</v>
      </c>
    </row>
    <row r="296" spans="1:13" ht="15.75" customHeight="1" x14ac:dyDescent="0.3">
      <c r="A296" s="2" t="s">
        <v>559</v>
      </c>
      <c r="B296" s="2" t="s">
        <v>14</v>
      </c>
      <c r="C296" s="2" t="s">
        <v>436</v>
      </c>
      <c r="D296" s="2" t="s">
        <v>52</v>
      </c>
      <c r="E296" s="2" t="s">
        <v>132</v>
      </c>
      <c r="F296" s="2">
        <v>1952</v>
      </c>
      <c r="G296" s="2">
        <v>344</v>
      </c>
      <c r="H296" s="2">
        <v>287</v>
      </c>
      <c r="I296" s="2">
        <v>15616</v>
      </c>
      <c r="J296" s="2">
        <v>15403</v>
      </c>
      <c r="K296" s="2">
        <v>235</v>
      </c>
      <c r="L296" s="2" t="s">
        <v>216</v>
      </c>
      <c r="M296" s="2" t="s">
        <v>25</v>
      </c>
    </row>
    <row r="297" spans="1:13" ht="15.75" customHeight="1" x14ac:dyDescent="0.3">
      <c r="A297" s="2" t="s">
        <v>560</v>
      </c>
      <c r="B297" s="2" t="s">
        <v>14</v>
      </c>
      <c r="C297" s="2" t="s">
        <v>561</v>
      </c>
      <c r="D297" s="2" t="s">
        <v>74</v>
      </c>
      <c r="E297" s="2" t="s">
        <v>145</v>
      </c>
      <c r="F297" s="2">
        <v>3440</v>
      </c>
      <c r="G297" s="2">
        <v>13</v>
      </c>
      <c r="H297" s="2">
        <v>20</v>
      </c>
      <c r="I297" s="2">
        <v>58480</v>
      </c>
      <c r="J297" s="2">
        <v>58146</v>
      </c>
      <c r="K297" s="2">
        <v>210</v>
      </c>
      <c r="L297" s="2" t="s">
        <v>421</v>
      </c>
      <c r="M297" s="2" t="s">
        <v>38</v>
      </c>
    </row>
    <row r="298" spans="1:13" ht="15.75" customHeight="1" x14ac:dyDescent="0.3">
      <c r="A298" s="2" t="s">
        <v>562</v>
      </c>
      <c r="B298" s="2" t="s">
        <v>14</v>
      </c>
      <c r="C298" s="2" t="s">
        <v>563</v>
      </c>
      <c r="D298" s="2" t="s">
        <v>22</v>
      </c>
      <c r="E298" s="2" t="s">
        <v>23</v>
      </c>
      <c r="F298" s="2">
        <v>2166</v>
      </c>
      <c r="G298" s="2">
        <v>354</v>
      </c>
      <c r="H298" s="2">
        <v>117</v>
      </c>
      <c r="I298" s="2">
        <v>10830</v>
      </c>
      <c r="J298" s="2">
        <v>10245</v>
      </c>
      <c r="K298" s="2">
        <v>24</v>
      </c>
      <c r="L298" s="2" t="s">
        <v>37</v>
      </c>
      <c r="M298" s="2" t="s">
        <v>38</v>
      </c>
    </row>
    <row r="299" spans="1:13" ht="15.75" customHeight="1" x14ac:dyDescent="0.3">
      <c r="A299" s="2" t="s">
        <v>564</v>
      </c>
      <c r="B299" s="2" t="s">
        <v>43</v>
      </c>
      <c r="C299" s="2" t="s">
        <v>73</v>
      </c>
      <c r="D299" s="2" t="s">
        <v>52</v>
      </c>
      <c r="E299" s="2" t="s">
        <v>59</v>
      </c>
      <c r="F299" s="2">
        <v>4303</v>
      </c>
      <c r="G299" s="2">
        <v>451</v>
      </c>
      <c r="H299" s="2">
        <v>286</v>
      </c>
      <c r="I299" s="2">
        <v>86060</v>
      </c>
      <c r="J299" s="2">
        <v>85823</v>
      </c>
      <c r="K299" s="2">
        <v>14</v>
      </c>
      <c r="L299" s="2" t="s">
        <v>30</v>
      </c>
      <c r="M299" s="2" t="s">
        <v>31</v>
      </c>
    </row>
    <row r="300" spans="1:13" ht="15.75" customHeight="1" x14ac:dyDescent="0.3">
      <c r="A300" s="2" t="s">
        <v>565</v>
      </c>
      <c r="B300" s="2" t="s">
        <v>43</v>
      </c>
      <c r="C300" s="2" t="s">
        <v>77</v>
      </c>
      <c r="D300" s="2" t="s">
        <v>52</v>
      </c>
      <c r="E300" s="2" t="s">
        <v>59</v>
      </c>
      <c r="F300" s="2">
        <v>2581</v>
      </c>
      <c r="G300" s="2">
        <v>517</v>
      </c>
      <c r="H300" s="2">
        <v>117</v>
      </c>
      <c r="I300" s="2">
        <v>23229</v>
      </c>
      <c r="J300" s="2">
        <v>22331</v>
      </c>
      <c r="K300" s="2">
        <v>70</v>
      </c>
      <c r="L300" s="2" t="s">
        <v>62</v>
      </c>
      <c r="M300" s="2" t="s">
        <v>31</v>
      </c>
    </row>
    <row r="301" spans="1:13" ht="15.75" customHeight="1" x14ac:dyDescent="0.3">
      <c r="A301" s="2" t="s">
        <v>566</v>
      </c>
      <c r="B301" s="2" t="s">
        <v>14</v>
      </c>
      <c r="C301" s="2" t="s">
        <v>318</v>
      </c>
      <c r="D301" s="2" t="s">
        <v>45</v>
      </c>
      <c r="E301" s="2" t="s">
        <v>49</v>
      </c>
      <c r="F301" s="2">
        <v>4494</v>
      </c>
      <c r="G301" s="2">
        <v>717</v>
      </c>
      <c r="H301" s="2">
        <v>45</v>
      </c>
      <c r="I301" s="2">
        <v>62916</v>
      </c>
      <c r="J301" s="2">
        <v>62688</v>
      </c>
      <c r="K301" s="2">
        <v>191</v>
      </c>
      <c r="L301" s="2" t="s">
        <v>505</v>
      </c>
      <c r="M301" s="2" t="s">
        <v>19</v>
      </c>
    </row>
    <row r="302" spans="1:13" ht="15.75" customHeight="1" x14ac:dyDescent="0.3"/>
    <row r="303" spans="1:13" ht="15.75" customHeight="1" x14ac:dyDescent="0.3"/>
    <row r="304" spans="1:13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000"/>
  <sheetViews>
    <sheetView topLeftCell="A179" workbookViewId="0">
      <selection sqref="A1:H201"/>
    </sheetView>
  </sheetViews>
  <sheetFormatPr defaultColWidth="14.44140625" defaultRowHeight="15" customHeight="1" x14ac:dyDescent="0.3"/>
  <cols>
    <col min="1" max="1" width="16.6640625" style="3" customWidth="1"/>
    <col min="2" max="2" width="11.44140625" style="3" customWidth="1"/>
    <col min="3" max="3" width="14.88671875" style="3" customWidth="1"/>
    <col min="4" max="4" width="11.6640625" style="3" customWidth="1"/>
    <col min="5" max="5" width="15.21875" style="3" customWidth="1"/>
    <col min="6" max="6" width="17.44140625" style="3" customWidth="1"/>
    <col min="7" max="7" width="10.6640625" style="3" customWidth="1"/>
    <col min="8" max="8" width="19.33203125" style="38" customWidth="1"/>
    <col min="9" max="26" width="8.6640625" customWidth="1"/>
  </cols>
  <sheetData>
    <row r="1" spans="1:8" ht="14.4" x14ac:dyDescent="0.3">
      <c r="A1" s="1" t="s">
        <v>567</v>
      </c>
      <c r="B1" s="1" t="s">
        <v>1</v>
      </c>
      <c r="C1" s="1" t="s">
        <v>568</v>
      </c>
      <c r="D1" s="1" t="s">
        <v>569</v>
      </c>
      <c r="E1" s="1" t="s">
        <v>570</v>
      </c>
      <c r="F1" s="1" t="s">
        <v>571</v>
      </c>
      <c r="G1" s="1" t="s">
        <v>572</v>
      </c>
      <c r="H1" s="40" t="s">
        <v>636</v>
      </c>
    </row>
    <row r="2" spans="1:8" ht="14.4" x14ac:dyDescent="0.3">
      <c r="A2" s="2" t="s">
        <v>232</v>
      </c>
      <c r="B2" s="2" t="s">
        <v>33</v>
      </c>
      <c r="C2" s="2">
        <v>1135</v>
      </c>
      <c r="D2" s="2">
        <v>88</v>
      </c>
      <c r="E2" s="2">
        <v>344084</v>
      </c>
      <c r="F2" s="2">
        <v>8.06</v>
      </c>
      <c r="G2" s="2">
        <v>5904</v>
      </c>
      <c r="H2" s="38">
        <f>(C2-D2)/E2</f>
        <v>3.0428616268120576E-3</v>
      </c>
    </row>
    <row r="3" spans="1:8" ht="14.4" x14ac:dyDescent="0.3">
      <c r="A3" s="2" t="s">
        <v>232</v>
      </c>
      <c r="B3" s="2" t="s">
        <v>43</v>
      </c>
      <c r="C3" s="2">
        <v>1312</v>
      </c>
      <c r="D3" s="2">
        <v>310</v>
      </c>
      <c r="E3" s="2">
        <v>42654</v>
      </c>
      <c r="F3" s="2">
        <v>4.9800000000000004</v>
      </c>
      <c r="G3" s="2">
        <v>9566</v>
      </c>
      <c r="H3" s="38">
        <f t="shared" ref="H3:H66" si="0">(C3-D3)/E3</f>
        <v>2.3491348994232664E-2</v>
      </c>
    </row>
    <row r="4" spans="1:8" ht="14.4" x14ac:dyDescent="0.3">
      <c r="A4" s="2" t="s">
        <v>232</v>
      </c>
      <c r="B4" s="2" t="s">
        <v>14</v>
      </c>
      <c r="C4" s="2">
        <v>584</v>
      </c>
      <c r="D4" s="2">
        <v>169</v>
      </c>
      <c r="E4" s="2">
        <v>146834</v>
      </c>
      <c r="F4" s="2">
        <v>8.31</v>
      </c>
      <c r="G4" s="2">
        <v>26752</v>
      </c>
      <c r="H4" s="38">
        <f t="shared" si="0"/>
        <v>2.826320879360366E-3</v>
      </c>
    </row>
    <row r="5" spans="1:8" ht="14.4" x14ac:dyDescent="0.3">
      <c r="A5" s="2" t="s">
        <v>232</v>
      </c>
      <c r="B5" s="2" t="s">
        <v>27</v>
      </c>
      <c r="C5" s="2">
        <v>1535</v>
      </c>
      <c r="D5" s="2">
        <v>445</v>
      </c>
      <c r="E5" s="2">
        <v>395536</v>
      </c>
      <c r="F5" s="2">
        <v>4.1100000000000003</v>
      </c>
      <c r="G5" s="2">
        <v>30671</v>
      </c>
      <c r="H5" s="38">
        <f t="shared" si="0"/>
        <v>2.7557542170624167E-3</v>
      </c>
    </row>
    <row r="6" spans="1:8" ht="14.4" x14ac:dyDescent="0.3">
      <c r="A6" s="2" t="s">
        <v>151</v>
      </c>
      <c r="B6" s="2" t="s">
        <v>33</v>
      </c>
      <c r="C6" s="2">
        <v>656</v>
      </c>
      <c r="D6" s="2">
        <v>139</v>
      </c>
      <c r="E6" s="2">
        <v>49157</v>
      </c>
      <c r="F6" s="2">
        <v>9.0500000000000007</v>
      </c>
      <c r="G6" s="2">
        <v>9920</v>
      </c>
      <c r="H6" s="38">
        <f t="shared" si="0"/>
        <v>1.0517322049758936E-2</v>
      </c>
    </row>
    <row r="7" spans="1:8" ht="14.4" x14ac:dyDescent="0.3">
      <c r="A7" s="2" t="s">
        <v>151</v>
      </c>
      <c r="B7" s="2" t="s">
        <v>43</v>
      </c>
      <c r="C7" s="2">
        <v>1697</v>
      </c>
      <c r="D7" s="2">
        <v>414</v>
      </c>
      <c r="E7" s="2">
        <v>316555</v>
      </c>
      <c r="F7" s="2">
        <v>2.37</v>
      </c>
      <c r="G7" s="2">
        <v>7924</v>
      </c>
      <c r="H7" s="38">
        <f t="shared" si="0"/>
        <v>4.0530081660374974E-3</v>
      </c>
    </row>
    <row r="8" spans="1:8" ht="14.4" x14ac:dyDescent="0.3">
      <c r="A8" s="2" t="s">
        <v>151</v>
      </c>
      <c r="B8" s="2" t="s">
        <v>14</v>
      </c>
      <c r="C8" s="2">
        <v>436</v>
      </c>
      <c r="D8" s="2">
        <v>250</v>
      </c>
      <c r="E8" s="2">
        <v>254347</v>
      </c>
      <c r="F8" s="2">
        <v>4.01</v>
      </c>
      <c r="G8" s="2">
        <v>8912</v>
      </c>
      <c r="H8" s="38">
        <f t="shared" si="0"/>
        <v>7.3128442639386348E-4</v>
      </c>
    </row>
    <row r="9" spans="1:8" ht="14.4" x14ac:dyDescent="0.3">
      <c r="A9" s="2" t="s">
        <v>151</v>
      </c>
      <c r="B9" s="2" t="s">
        <v>27</v>
      </c>
      <c r="C9" s="2">
        <v>1197</v>
      </c>
      <c r="D9" s="2">
        <v>203</v>
      </c>
      <c r="E9" s="2">
        <v>413878</v>
      </c>
      <c r="F9" s="2">
        <v>3.16</v>
      </c>
      <c r="G9" s="2">
        <v>21205</v>
      </c>
      <c r="H9" s="38">
        <f t="shared" si="0"/>
        <v>2.4016739232334168E-3</v>
      </c>
    </row>
    <row r="10" spans="1:8" ht="14.4" x14ac:dyDescent="0.3">
      <c r="A10" s="2" t="s">
        <v>164</v>
      </c>
      <c r="B10" s="2" t="s">
        <v>33</v>
      </c>
      <c r="C10" s="2">
        <v>1048</v>
      </c>
      <c r="D10" s="2">
        <v>155</v>
      </c>
      <c r="E10" s="2">
        <v>456946</v>
      </c>
      <c r="F10" s="2">
        <v>2.46</v>
      </c>
      <c r="G10" s="2">
        <v>11329</v>
      </c>
      <c r="H10" s="38">
        <f t="shared" si="0"/>
        <v>1.9542790614208243E-3</v>
      </c>
    </row>
    <row r="11" spans="1:8" ht="14.4" x14ac:dyDescent="0.3">
      <c r="A11" s="2" t="s">
        <v>164</v>
      </c>
      <c r="B11" s="2" t="s">
        <v>43</v>
      </c>
      <c r="C11" s="2">
        <v>1753</v>
      </c>
      <c r="D11" s="2">
        <v>371</v>
      </c>
      <c r="E11" s="2">
        <v>169496</v>
      </c>
      <c r="F11" s="2">
        <v>8.11</v>
      </c>
      <c r="G11" s="2">
        <v>46670</v>
      </c>
      <c r="H11" s="38">
        <f t="shared" si="0"/>
        <v>8.1535847453627231E-3</v>
      </c>
    </row>
    <row r="12" spans="1:8" ht="14.4" x14ac:dyDescent="0.3">
      <c r="A12" s="2" t="s">
        <v>164</v>
      </c>
      <c r="B12" s="2" t="s">
        <v>14</v>
      </c>
      <c r="C12" s="2">
        <v>1335</v>
      </c>
      <c r="D12" s="2">
        <v>40</v>
      </c>
      <c r="E12" s="2">
        <v>122732</v>
      </c>
      <c r="F12" s="2">
        <v>8.19</v>
      </c>
      <c r="G12" s="2">
        <v>22482</v>
      </c>
      <c r="H12" s="38">
        <f t="shared" si="0"/>
        <v>1.0551445425805821E-2</v>
      </c>
    </row>
    <row r="13" spans="1:8" ht="14.4" x14ac:dyDescent="0.3">
      <c r="A13" s="2" t="s">
        <v>164</v>
      </c>
      <c r="B13" s="2" t="s">
        <v>27</v>
      </c>
      <c r="C13" s="2">
        <v>403</v>
      </c>
      <c r="D13" s="2">
        <v>66</v>
      </c>
      <c r="E13" s="2">
        <v>382851</v>
      </c>
      <c r="F13" s="2">
        <v>3.49</v>
      </c>
      <c r="G13" s="2">
        <v>24313</v>
      </c>
      <c r="H13" s="38">
        <f t="shared" si="0"/>
        <v>8.80238003818718E-4</v>
      </c>
    </row>
    <row r="14" spans="1:8" ht="14.4" x14ac:dyDescent="0.3">
      <c r="A14" s="2" t="s">
        <v>48</v>
      </c>
      <c r="B14" s="2" t="s">
        <v>33</v>
      </c>
      <c r="C14" s="2">
        <v>911</v>
      </c>
      <c r="D14" s="2">
        <v>282</v>
      </c>
      <c r="E14" s="2">
        <v>35664</v>
      </c>
      <c r="F14" s="2">
        <v>6.92</v>
      </c>
      <c r="G14" s="2">
        <v>18050</v>
      </c>
      <c r="H14" s="38">
        <f t="shared" si="0"/>
        <v>1.7636832660385824E-2</v>
      </c>
    </row>
    <row r="15" spans="1:8" ht="14.4" x14ac:dyDescent="0.3">
      <c r="A15" s="2" t="s">
        <v>48</v>
      </c>
      <c r="B15" s="2" t="s">
        <v>43</v>
      </c>
      <c r="C15" s="2">
        <v>1779</v>
      </c>
      <c r="D15" s="2">
        <v>109</v>
      </c>
      <c r="E15" s="2">
        <v>26295</v>
      </c>
      <c r="F15" s="2">
        <v>9.1199999999999992</v>
      </c>
      <c r="G15" s="2">
        <v>30635</v>
      </c>
      <c r="H15" s="38">
        <f t="shared" si="0"/>
        <v>6.3510173036698994E-2</v>
      </c>
    </row>
    <row r="16" spans="1:8" ht="14.4" x14ac:dyDescent="0.3">
      <c r="A16" s="2" t="s">
        <v>48</v>
      </c>
      <c r="B16" s="2" t="s">
        <v>14</v>
      </c>
      <c r="C16" s="2">
        <v>1238</v>
      </c>
      <c r="D16" s="2">
        <v>403</v>
      </c>
      <c r="E16" s="2">
        <v>298421</v>
      </c>
      <c r="F16" s="2">
        <v>3.5</v>
      </c>
      <c r="G16" s="2">
        <v>31280</v>
      </c>
      <c r="H16" s="38">
        <f t="shared" si="0"/>
        <v>2.798060458211721E-3</v>
      </c>
    </row>
    <row r="17" spans="1:8" ht="14.4" x14ac:dyDescent="0.3">
      <c r="A17" s="2" t="s">
        <v>48</v>
      </c>
      <c r="B17" s="2" t="s">
        <v>27</v>
      </c>
      <c r="C17" s="2">
        <v>308</v>
      </c>
      <c r="D17" s="2">
        <v>431</v>
      </c>
      <c r="E17" s="2">
        <v>426184</v>
      </c>
      <c r="F17" s="2">
        <v>2.62</v>
      </c>
      <c r="G17" s="2">
        <v>1783</v>
      </c>
      <c r="H17" s="38">
        <f t="shared" si="0"/>
        <v>-2.8860773750305035E-4</v>
      </c>
    </row>
    <row r="18" spans="1:8" ht="14.4" x14ac:dyDescent="0.3">
      <c r="A18" s="2" t="s">
        <v>455</v>
      </c>
      <c r="B18" s="2" t="s">
        <v>33</v>
      </c>
      <c r="C18" s="2">
        <v>226</v>
      </c>
      <c r="D18" s="2">
        <v>445</v>
      </c>
      <c r="E18" s="2">
        <v>419447</v>
      </c>
      <c r="F18" s="2">
        <v>9.36</v>
      </c>
      <c r="G18" s="2">
        <v>9566</v>
      </c>
      <c r="H18" s="38">
        <f t="shared" si="0"/>
        <v>-5.2211602419375983E-4</v>
      </c>
    </row>
    <row r="19" spans="1:8" ht="14.4" x14ac:dyDescent="0.3">
      <c r="A19" s="2" t="s">
        <v>455</v>
      </c>
      <c r="B19" s="2" t="s">
        <v>43</v>
      </c>
      <c r="C19" s="2">
        <v>505</v>
      </c>
      <c r="D19" s="2">
        <v>441</v>
      </c>
      <c r="E19" s="2">
        <v>220020</v>
      </c>
      <c r="F19" s="2">
        <v>4.4800000000000004</v>
      </c>
      <c r="G19" s="2">
        <v>42307</v>
      </c>
      <c r="H19" s="38">
        <f t="shared" si="0"/>
        <v>2.9088264703208797E-4</v>
      </c>
    </row>
    <row r="20" spans="1:8" ht="14.4" x14ac:dyDescent="0.3">
      <c r="A20" s="2" t="s">
        <v>455</v>
      </c>
      <c r="B20" s="2" t="s">
        <v>14</v>
      </c>
      <c r="C20" s="2">
        <v>1420</v>
      </c>
      <c r="D20" s="2">
        <v>63</v>
      </c>
      <c r="E20" s="2">
        <v>315305</v>
      </c>
      <c r="F20" s="2">
        <v>6.19</v>
      </c>
      <c r="G20" s="2">
        <v>5914</v>
      </c>
      <c r="H20" s="38">
        <f t="shared" si="0"/>
        <v>4.3037693661692649E-3</v>
      </c>
    </row>
    <row r="21" spans="1:8" ht="15.75" customHeight="1" x14ac:dyDescent="0.3">
      <c r="A21" s="2" t="s">
        <v>455</v>
      </c>
      <c r="B21" s="2" t="s">
        <v>27</v>
      </c>
      <c r="C21" s="2">
        <v>144</v>
      </c>
      <c r="D21" s="2">
        <v>53</v>
      </c>
      <c r="E21" s="2">
        <v>113678</v>
      </c>
      <c r="F21" s="2">
        <v>8.7200000000000006</v>
      </c>
      <c r="G21" s="2">
        <v>30060</v>
      </c>
      <c r="H21" s="38">
        <f t="shared" si="0"/>
        <v>8.0050669434719116E-4</v>
      </c>
    </row>
    <row r="22" spans="1:8" ht="15.75" customHeight="1" x14ac:dyDescent="0.3">
      <c r="A22" s="2" t="s">
        <v>573</v>
      </c>
      <c r="B22" s="2" t="s">
        <v>33</v>
      </c>
      <c r="C22" s="2">
        <v>1757</v>
      </c>
      <c r="D22" s="2">
        <v>85</v>
      </c>
      <c r="E22" s="2">
        <v>58223</v>
      </c>
      <c r="F22" s="2">
        <v>8.74</v>
      </c>
      <c r="G22" s="2">
        <v>22728</v>
      </c>
      <c r="H22" s="38">
        <f t="shared" si="0"/>
        <v>2.8717173625543171E-2</v>
      </c>
    </row>
    <row r="23" spans="1:8" ht="15.75" customHeight="1" x14ac:dyDescent="0.3">
      <c r="A23" s="2" t="s">
        <v>573</v>
      </c>
      <c r="B23" s="2" t="s">
        <v>43</v>
      </c>
      <c r="C23" s="2">
        <v>350</v>
      </c>
      <c r="D23" s="2">
        <v>41</v>
      </c>
      <c r="E23" s="2">
        <v>251694</v>
      </c>
      <c r="F23" s="2">
        <v>1.91</v>
      </c>
      <c r="G23" s="2">
        <v>38610</v>
      </c>
      <c r="H23" s="38">
        <f t="shared" si="0"/>
        <v>1.2276812319721568E-3</v>
      </c>
    </row>
    <row r="24" spans="1:8" ht="15.75" customHeight="1" x14ac:dyDescent="0.3">
      <c r="A24" s="2" t="s">
        <v>573</v>
      </c>
      <c r="B24" s="2" t="s">
        <v>14</v>
      </c>
      <c r="C24" s="2">
        <v>987</v>
      </c>
      <c r="D24" s="2">
        <v>440</v>
      </c>
      <c r="E24" s="2">
        <v>389810</v>
      </c>
      <c r="F24" s="2">
        <v>4.66</v>
      </c>
      <c r="G24" s="2">
        <v>2932</v>
      </c>
      <c r="H24" s="38">
        <f t="shared" si="0"/>
        <v>1.40324773607655E-3</v>
      </c>
    </row>
    <row r="25" spans="1:8" ht="15.75" customHeight="1" x14ac:dyDescent="0.3">
      <c r="A25" s="2" t="s">
        <v>573</v>
      </c>
      <c r="B25" s="2" t="s">
        <v>27</v>
      </c>
      <c r="C25" s="2">
        <v>883</v>
      </c>
      <c r="D25" s="2">
        <v>369</v>
      </c>
      <c r="E25" s="2">
        <v>233694</v>
      </c>
      <c r="F25" s="2">
        <v>2.88</v>
      </c>
      <c r="G25" s="2">
        <v>15071</v>
      </c>
      <c r="H25" s="38">
        <f t="shared" si="0"/>
        <v>2.1994574101175039E-3</v>
      </c>
    </row>
    <row r="26" spans="1:8" ht="15.75" customHeight="1" x14ac:dyDescent="0.3">
      <c r="A26" s="2" t="s">
        <v>315</v>
      </c>
      <c r="B26" s="2" t="s">
        <v>33</v>
      </c>
      <c r="C26" s="2">
        <v>1960</v>
      </c>
      <c r="D26" s="2">
        <v>115</v>
      </c>
      <c r="E26" s="2">
        <v>154169</v>
      </c>
      <c r="F26" s="2">
        <v>3.74</v>
      </c>
      <c r="G26" s="2">
        <v>10740</v>
      </c>
      <c r="H26" s="38">
        <f t="shared" si="0"/>
        <v>1.1967386439556591E-2</v>
      </c>
    </row>
    <row r="27" spans="1:8" ht="15.75" customHeight="1" x14ac:dyDescent="0.3">
      <c r="A27" s="2" t="s">
        <v>315</v>
      </c>
      <c r="B27" s="2" t="s">
        <v>43</v>
      </c>
      <c r="C27" s="2">
        <v>170</v>
      </c>
      <c r="D27" s="2">
        <v>334</v>
      </c>
      <c r="E27" s="2">
        <v>334626</v>
      </c>
      <c r="F27" s="2">
        <v>6.44</v>
      </c>
      <c r="G27" s="2">
        <v>43420</v>
      </c>
      <c r="H27" s="38">
        <f t="shared" si="0"/>
        <v>-4.9009939454794306E-4</v>
      </c>
    </row>
    <row r="28" spans="1:8" ht="15.75" customHeight="1" x14ac:dyDescent="0.3">
      <c r="A28" s="2" t="s">
        <v>315</v>
      </c>
      <c r="B28" s="2" t="s">
        <v>14</v>
      </c>
      <c r="C28" s="2">
        <v>704</v>
      </c>
      <c r="D28" s="2">
        <v>275</v>
      </c>
      <c r="E28" s="2">
        <v>226002</v>
      </c>
      <c r="F28" s="2">
        <v>8.56</v>
      </c>
      <c r="G28" s="2">
        <v>32393</v>
      </c>
      <c r="H28" s="38">
        <f t="shared" si="0"/>
        <v>1.8982132901478749E-3</v>
      </c>
    </row>
    <row r="29" spans="1:8" ht="15.75" customHeight="1" x14ac:dyDescent="0.3">
      <c r="A29" s="2" t="s">
        <v>315</v>
      </c>
      <c r="B29" s="2" t="s">
        <v>27</v>
      </c>
      <c r="C29" s="2">
        <v>224</v>
      </c>
      <c r="D29" s="2">
        <v>64</v>
      </c>
      <c r="E29" s="2">
        <v>156683</v>
      </c>
      <c r="F29" s="2">
        <v>4.5599999999999996</v>
      </c>
      <c r="G29" s="2">
        <v>28474</v>
      </c>
      <c r="H29" s="38">
        <f t="shared" si="0"/>
        <v>1.0211701333265254E-3</v>
      </c>
    </row>
    <row r="30" spans="1:8" ht="15.75" customHeight="1" x14ac:dyDescent="0.3">
      <c r="A30" s="2" t="s">
        <v>574</v>
      </c>
      <c r="B30" s="2" t="s">
        <v>33</v>
      </c>
      <c r="C30" s="2">
        <v>508</v>
      </c>
      <c r="D30" s="2">
        <v>349</v>
      </c>
      <c r="E30" s="2">
        <v>473812</v>
      </c>
      <c r="F30" s="2">
        <v>7.88</v>
      </c>
      <c r="G30" s="2">
        <v>17328</v>
      </c>
      <c r="H30" s="38">
        <f t="shared" si="0"/>
        <v>3.3557613568250698E-4</v>
      </c>
    </row>
    <row r="31" spans="1:8" ht="15.75" customHeight="1" x14ac:dyDescent="0.3">
      <c r="A31" s="2" t="s">
        <v>574</v>
      </c>
      <c r="B31" s="2" t="s">
        <v>43</v>
      </c>
      <c r="C31" s="2">
        <v>1391</v>
      </c>
      <c r="D31" s="2">
        <v>430</v>
      </c>
      <c r="E31" s="2">
        <v>295032</v>
      </c>
      <c r="F31" s="2">
        <v>7.86</v>
      </c>
      <c r="G31" s="2">
        <v>26067</v>
      </c>
      <c r="H31" s="38">
        <f t="shared" si="0"/>
        <v>3.2572737872501967E-3</v>
      </c>
    </row>
    <row r="32" spans="1:8" ht="15.75" customHeight="1" x14ac:dyDescent="0.3">
      <c r="A32" s="2" t="s">
        <v>574</v>
      </c>
      <c r="B32" s="2" t="s">
        <v>14</v>
      </c>
      <c r="C32" s="2">
        <v>1701</v>
      </c>
      <c r="D32" s="2">
        <v>385</v>
      </c>
      <c r="E32" s="2">
        <v>198278</v>
      </c>
      <c r="F32" s="2">
        <v>5.34</v>
      </c>
      <c r="G32" s="2">
        <v>32763</v>
      </c>
      <c r="H32" s="38">
        <f t="shared" si="0"/>
        <v>6.6371458255580548E-3</v>
      </c>
    </row>
    <row r="33" spans="1:8" ht="15.75" customHeight="1" x14ac:dyDescent="0.3">
      <c r="A33" s="2" t="s">
        <v>574</v>
      </c>
      <c r="B33" s="2" t="s">
        <v>27</v>
      </c>
      <c r="C33" s="2">
        <v>804</v>
      </c>
      <c r="D33" s="2">
        <v>487</v>
      </c>
      <c r="E33" s="2">
        <v>306564</v>
      </c>
      <c r="F33" s="2">
        <v>5.52</v>
      </c>
      <c r="G33" s="2">
        <v>26452</v>
      </c>
      <c r="H33" s="38">
        <f t="shared" si="0"/>
        <v>1.0340418313957282E-3</v>
      </c>
    </row>
    <row r="34" spans="1:8" ht="15.75" customHeight="1" x14ac:dyDescent="0.3">
      <c r="A34" s="2" t="s">
        <v>268</v>
      </c>
      <c r="B34" s="2" t="s">
        <v>33</v>
      </c>
      <c r="C34" s="2">
        <v>653</v>
      </c>
      <c r="D34" s="2">
        <v>112</v>
      </c>
      <c r="E34" s="2">
        <v>23664</v>
      </c>
      <c r="F34" s="2">
        <v>4.05</v>
      </c>
      <c r="G34" s="2">
        <v>15353</v>
      </c>
      <c r="H34" s="38">
        <f t="shared" si="0"/>
        <v>2.2861730899256253E-2</v>
      </c>
    </row>
    <row r="35" spans="1:8" ht="15.75" customHeight="1" x14ac:dyDescent="0.3">
      <c r="A35" s="2" t="s">
        <v>268</v>
      </c>
      <c r="B35" s="2" t="s">
        <v>43</v>
      </c>
      <c r="C35" s="2">
        <v>160</v>
      </c>
      <c r="D35" s="2">
        <v>478</v>
      </c>
      <c r="E35" s="2">
        <v>435034</v>
      </c>
      <c r="F35" s="2">
        <v>7.73</v>
      </c>
      <c r="G35" s="2">
        <v>4839</v>
      </c>
      <c r="H35" s="38">
        <f t="shared" si="0"/>
        <v>-7.3097734889686784E-4</v>
      </c>
    </row>
    <row r="36" spans="1:8" ht="15.75" customHeight="1" x14ac:dyDescent="0.3">
      <c r="A36" s="2" t="s">
        <v>268</v>
      </c>
      <c r="B36" s="2" t="s">
        <v>14</v>
      </c>
      <c r="C36" s="2">
        <v>1756</v>
      </c>
      <c r="D36" s="2">
        <v>261</v>
      </c>
      <c r="E36" s="2">
        <v>287574</v>
      </c>
      <c r="F36" s="2">
        <v>4.3600000000000003</v>
      </c>
      <c r="G36" s="2">
        <v>39272</v>
      </c>
      <c r="H36" s="38">
        <f t="shared" si="0"/>
        <v>5.1986619096302169E-3</v>
      </c>
    </row>
    <row r="37" spans="1:8" ht="15.75" customHeight="1" x14ac:dyDescent="0.3">
      <c r="A37" s="2" t="s">
        <v>268</v>
      </c>
      <c r="B37" s="2" t="s">
        <v>27</v>
      </c>
      <c r="C37" s="2">
        <v>576</v>
      </c>
      <c r="D37" s="2">
        <v>101</v>
      </c>
      <c r="E37" s="2">
        <v>62499</v>
      </c>
      <c r="F37" s="2">
        <v>3.48</v>
      </c>
      <c r="G37" s="2">
        <v>16804</v>
      </c>
      <c r="H37" s="38">
        <f t="shared" si="0"/>
        <v>7.600121601945631E-3</v>
      </c>
    </row>
    <row r="38" spans="1:8" ht="15.75" customHeight="1" x14ac:dyDescent="0.3">
      <c r="A38" s="2" t="s">
        <v>501</v>
      </c>
      <c r="B38" s="2" t="s">
        <v>33</v>
      </c>
      <c r="C38" s="2">
        <v>645</v>
      </c>
      <c r="D38" s="2">
        <v>293</v>
      </c>
      <c r="E38" s="2">
        <v>437968</v>
      </c>
      <c r="F38" s="2">
        <v>7.83</v>
      </c>
      <c r="G38" s="2">
        <v>49303</v>
      </c>
      <c r="H38" s="38">
        <f t="shared" si="0"/>
        <v>8.0371168669857163E-4</v>
      </c>
    </row>
    <row r="39" spans="1:8" ht="15.75" customHeight="1" x14ac:dyDescent="0.3">
      <c r="A39" s="2" t="s">
        <v>501</v>
      </c>
      <c r="B39" s="2" t="s">
        <v>43</v>
      </c>
      <c r="C39" s="2">
        <v>214</v>
      </c>
      <c r="D39" s="2">
        <v>411</v>
      </c>
      <c r="E39" s="2">
        <v>125034</v>
      </c>
      <c r="F39" s="2">
        <v>6.11</v>
      </c>
      <c r="G39" s="2">
        <v>26455</v>
      </c>
      <c r="H39" s="38">
        <f t="shared" si="0"/>
        <v>-1.5755714445670778E-3</v>
      </c>
    </row>
    <row r="40" spans="1:8" ht="15.75" customHeight="1" x14ac:dyDescent="0.3">
      <c r="A40" s="2" t="s">
        <v>501</v>
      </c>
      <c r="B40" s="2" t="s">
        <v>14</v>
      </c>
      <c r="C40" s="2">
        <v>826</v>
      </c>
      <c r="D40" s="2">
        <v>498</v>
      </c>
      <c r="E40" s="2">
        <v>449994</v>
      </c>
      <c r="F40" s="2">
        <v>9.43</v>
      </c>
      <c r="G40" s="2">
        <v>12384</v>
      </c>
      <c r="H40" s="38">
        <f t="shared" si="0"/>
        <v>7.2889860753698943E-4</v>
      </c>
    </row>
    <row r="41" spans="1:8" ht="15.75" customHeight="1" x14ac:dyDescent="0.3">
      <c r="A41" s="2" t="s">
        <v>501</v>
      </c>
      <c r="B41" s="2" t="s">
        <v>27</v>
      </c>
      <c r="C41" s="2">
        <v>460</v>
      </c>
      <c r="D41" s="2">
        <v>141</v>
      </c>
      <c r="E41" s="2">
        <v>320650</v>
      </c>
      <c r="F41" s="2">
        <v>4.04</v>
      </c>
      <c r="G41" s="2">
        <v>49372</v>
      </c>
      <c r="H41" s="38">
        <f t="shared" si="0"/>
        <v>9.9485420240137223E-4</v>
      </c>
    </row>
    <row r="42" spans="1:8" ht="15.75" customHeight="1" x14ac:dyDescent="0.3">
      <c r="A42" s="2" t="s">
        <v>34</v>
      </c>
      <c r="B42" s="2" t="s">
        <v>33</v>
      </c>
      <c r="C42" s="2">
        <v>1528</v>
      </c>
      <c r="D42" s="2">
        <v>203</v>
      </c>
      <c r="E42" s="2">
        <v>489188</v>
      </c>
      <c r="F42" s="2">
        <v>6.23</v>
      </c>
      <c r="G42" s="2">
        <v>47101</v>
      </c>
      <c r="H42" s="38">
        <f t="shared" si="0"/>
        <v>2.7085701202809553E-3</v>
      </c>
    </row>
    <row r="43" spans="1:8" ht="15.75" customHeight="1" x14ac:dyDescent="0.3">
      <c r="A43" s="2" t="s">
        <v>34</v>
      </c>
      <c r="B43" s="2" t="s">
        <v>43</v>
      </c>
      <c r="C43" s="2">
        <v>1534</v>
      </c>
      <c r="D43" s="2">
        <v>200</v>
      </c>
      <c r="E43" s="2">
        <v>307612</v>
      </c>
      <c r="F43" s="2">
        <v>6.01</v>
      </c>
      <c r="G43" s="2">
        <v>37903</v>
      </c>
      <c r="H43" s="38">
        <f t="shared" si="0"/>
        <v>4.3366318609156986E-3</v>
      </c>
    </row>
    <row r="44" spans="1:8" ht="15.75" customHeight="1" x14ac:dyDescent="0.3">
      <c r="A44" s="2" t="s">
        <v>34</v>
      </c>
      <c r="B44" s="2" t="s">
        <v>14</v>
      </c>
      <c r="C44" s="2">
        <v>485</v>
      </c>
      <c r="D44" s="2">
        <v>448</v>
      </c>
      <c r="E44" s="2">
        <v>434883</v>
      </c>
      <c r="F44" s="2">
        <v>8.5500000000000007</v>
      </c>
      <c r="G44" s="2">
        <v>33258</v>
      </c>
      <c r="H44" s="38">
        <f t="shared" si="0"/>
        <v>8.5080354946042954E-5</v>
      </c>
    </row>
    <row r="45" spans="1:8" ht="15.75" customHeight="1" x14ac:dyDescent="0.3">
      <c r="A45" s="2" t="s">
        <v>34</v>
      </c>
      <c r="B45" s="2" t="s">
        <v>27</v>
      </c>
      <c r="C45" s="2">
        <v>1210</v>
      </c>
      <c r="D45" s="2">
        <v>178</v>
      </c>
      <c r="E45" s="2">
        <v>102042</v>
      </c>
      <c r="F45" s="2">
        <v>5.42</v>
      </c>
      <c r="G45" s="2">
        <v>6915</v>
      </c>
      <c r="H45" s="38">
        <f t="shared" si="0"/>
        <v>1.011348268360087E-2</v>
      </c>
    </row>
    <row r="46" spans="1:8" ht="15.75" customHeight="1" x14ac:dyDescent="0.3">
      <c r="A46" s="2" t="s">
        <v>81</v>
      </c>
      <c r="B46" s="2" t="s">
        <v>33</v>
      </c>
      <c r="C46" s="2">
        <v>215</v>
      </c>
      <c r="D46" s="2">
        <v>139</v>
      </c>
      <c r="E46" s="2">
        <v>325444</v>
      </c>
      <c r="F46" s="2">
        <v>3.25</v>
      </c>
      <c r="G46" s="2">
        <v>35501</v>
      </c>
      <c r="H46" s="38">
        <f t="shared" si="0"/>
        <v>2.335271198731579E-4</v>
      </c>
    </row>
    <row r="47" spans="1:8" ht="15.75" customHeight="1" x14ac:dyDescent="0.3">
      <c r="A47" s="2" t="s">
        <v>81</v>
      </c>
      <c r="B47" s="2" t="s">
        <v>43</v>
      </c>
      <c r="C47" s="2">
        <v>1078</v>
      </c>
      <c r="D47" s="2">
        <v>20</v>
      </c>
      <c r="E47" s="2">
        <v>183924</v>
      </c>
      <c r="F47" s="2">
        <v>8.84</v>
      </c>
      <c r="G47" s="2">
        <v>14203</v>
      </c>
      <c r="H47" s="38">
        <f t="shared" si="0"/>
        <v>5.7523759813836147E-3</v>
      </c>
    </row>
    <row r="48" spans="1:8" ht="15.75" customHeight="1" x14ac:dyDescent="0.3">
      <c r="A48" s="2" t="s">
        <v>81</v>
      </c>
      <c r="B48" s="2" t="s">
        <v>14</v>
      </c>
      <c r="C48" s="2">
        <v>1751</v>
      </c>
      <c r="D48" s="2">
        <v>86</v>
      </c>
      <c r="E48" s="2">
        <v>188655</v>
      </c>
      <c r="F48" s="2">
        <v>7.24</v>
      </c>
      <c r="G48" s="2">
        <v>22206</v>
      </c>
      <c r="H48" s="38">
        <f t="shared" si="0"/>
        <v>8.825634093981077E-3</v>
      </c>
    </row>
    <row r="49" spans="1:8" ht="15.75" customHeight="1" x14ac:dyDescent="0.3">
      <c r="A49" s="2" t="s">
        <v>81</v>
      </c>
      <c r="B49" s="2" t="s">
        <v>27</v>
      </c>
      <c r="C49" s="2">
        <v>221</v>
      </c>
      <c r="D49" s="2">
        <v>31</v>
      </c>
      <c r="E49" s="2">
        <v>87443</v>
      </c>
      <c r="F49" s="2">
        <v>6.19</v>
      </c>
      <c r="G49" s="2">
        <v>10283</v>
      </c>
      <c r="H49" s="38">
        <f t="shared" si="0"/>
        <v>2.1728440241071327E-3</v>
      </c>
    </row>
    <row r="50" spans="1:8" ht="15.75" customHeight="1" x14ac:dyDescent="0.3">
      <c r="A50" s="2" t="s">
        <v>77</v>
      </c>
      <c r="B50" s="2" t="s">
        <v>33</v>
      </c>
      <c r="C50" s="2">
        <v>1685</v>
      </c>
      <c r="D50" s="2">
        <v>76</v>
      </c>
      <c r="E50" s="2">
        <v>453799</v>
      </c>
      <c r="F50" s="2">
        <v>5.71</v>
      </c>
      <c r="G50" s="2">
        <v>24913</v>
      </c>
      <c r="H50" s="38">
        <f t="shared" si="0"/>
        <v>3.5456226214689766E-3</v>
      </c>
    </row>
    <row r="51" spans="1:8" ht="15.75" customHeight="1" x14ac:dyDescent="0.3">
      <c r="A51" s="2" t="s">
        <v>77</v>
      </c>
      <c r="B51" s="2" t="s">
        <v>43</v>
      </c>
      <c r="C51" s="2">
        <v>248</v>
      </c>
      <c r="D51" s="2">
        <v>211</v>
      </c>
      <c r="E51" s="2">
        <v>379380</v>
      </c>
      <c r="F51" s="2">
        <v>9.0399999999999991</v>
      </c>
      <c r="G51" s="2">
        <v>26925</v>
      </c>
      <c r="H51" s="38">
        <f t="shared" si="0"/>
        <v>9.7527544941747058E-5</v>
      </c>
    </row>
    <row r="52" spans="1:8" ht="15.75" customHeight="1" x14ac:dyDescent="0.3">
      <c r="A52" s="2" t="s">
        <v>77</v>
      </c>
      <c r="B52" s="2" t="s">
        <v>14</v>
      </c>
      <c r="C52" s="2">
        <v>1300</v>
      </c>
      <c r="D52" s="2">
        <v>71</v>
      </c>
      <c r="E52" s="2">
        <v>186454</v>
      </c>
      <c r="F52" s="2">
        <v>3.91</v>
      </c>
      <c r="G52" s="2">
        <v>9942</v>
      </c>
      <c r="H52" s="38">
        <f t="shared" si="0"/>
        <v>6.5914381026955706E-3</v>
      </c>
    </row>
    <row r="53" spans="1:8" ht="15.75" customHeight="1" x14ac:dyDescent="0.3">
      <c r="A53" s="2" t="s">
        <v>77</v>
      </c>
      <c r="B53" s="2" t="s">
        <v>27</v>
      </c>
      <c r="C53" s="2">
        <v>422</v>
      </c>
      <c r="D53" s="2">
        <v>394</v>
      </c>
      <c r="E53" s="2">
        <v>239044</v>
      </c>
      <c r="F53" s="2">
        <v>7.83</v>
      </c>
      <c r="G53" s="2">
        <v>32929</v>
      </c>
      <c r="H53" s="38">
        <f t="shared" si="0"/>
        <v>1.1713324743561855E-4</v>
      </c>
    </row>
    <row r="54" spans="1:8" ht="15.75" customHeight="1" x14ac:dyDescent="0.3">
      <c r="A54" s="2" t="s">
        <v>195</v>
      </c>
      <c r="B54" s="2" t="s">
        <v>33</v>
      </c>
      <c r="C54" s="2">
        <v>1429</v>
      </c>
      <c r="D54" s="2">
        <v>182</v>
      </c>
      <c r="E54" s="2">
        <v>101332</v>
      </c>
      <c r="F54" s="2">
        <v>7.16</v>
      </c>
      <c r="G54" s="2">
        <v>37829</v>
      </c>
      <c r="H54" s="38">
        <f t="shared" si="0"/>
        <v>1.2306082974775983E-2</v>
      </c>
    </row>
    <row r="55" spans="1:8" ht="15.75" customHeight="1" x14ac:dyDescent="0.3">
      <c r="A55" s="2" t="s">
        <v>195</v>
      </c>
      <c r="B55" s="2" t="s">
        <v>43</v>
      </c>
      <c r="C55" s="2">
        <v>1520</v>
      </c>
      <c r="D55" s="2">
        <v>475</v>
      </c>
      <c r="E55" s="2">
        <v>496982</v>
      </c>
      <c r="F55" s="2">
        <v>6.41</v>
      </c>
      <c r="G55" s="2">
        <v>24384</v>
      </c>
      <c r="H55" s="38">
        <f t="shared" si="0"/>
        <v>2.1026918479944948E-3</v>
      </c>
    </row>
    <row r="56" spans="1:8" ht="15.75" customHeight="1" x14ac:dyDescent="0.3">
      <c r="A56" s="2" t="s">
        <v>195</v>
      </c>
      <c r="B56" s="2" t="s">
        <v>14</v>
      </c>
      <c r="C56" s="2">
        <v>557</v>
      </c>
      <c r="D56" s="2">
        <v>360</v>
      </c>
      <c r="E56" s="2">
        <v>318779</v>
      </c>
      <c r="F56" s="2">
        <v>8.02</v>
      </c>
      <c r="G56" s="2">
        <v>25797</v>
      </c>
      <c r="H56" s="38">
        <f t="shared" si="0"/>
        <v>6.1798299135137512E-4</v>
      </c>
    </row>
    <row r="57" spans="1:8" ht="15.75" customHeight="1" x14ac:dyDescent="0.3">
      <c r="A57" s="2" t="s">
        <v>195</v>
      </c>
      <c r="B57" s="2" t="s">
        <v>27</v>
      </c>
      <c r="C57" s="2">
        <v>728</v>
      </c>
      <c r="D57" s="2">
        <v>395</v>
      </c>
      <c r="E57" s="2">
        <v>370971</v>
      </c>
      <c r="F57" s="2">
        <v>3.86</v>
      </c>
      <c r="G57" s="2">
        <v>12646</v>
      </c>
      <c r="H57" s="38">
        <f t="shared" si="0"/>
        <v>8.9764429025449434E-4</v>
      </c>
    </row>
    <row r="58" spans="1:8" ht="15.75" customHeight="1" x14ac:dyDescent="0.3">
      <c r="A58" s="2" t="s">
        <v>87</v>
      </c>
      <c r="B58" s="2" t="s">
        <v>33</v>
      </c>
      <c r="C58" s="2">
        <v>1592</v>
      </c>
      <c r="D58" s="2">
        <v>20</v>
      </c>
      <c r="E58" s="2">
        <v>378054</v>
      </c>
      <c r="F58" s="2">
        <v>9.09</v>
      </c>
      <c r="G58" s="2">
        <v>26663</v>
      </c>
      <c r="H58" s="38">
        <f t="shared" si="0"/>
        <v>4.1581361392816901E-3</v>
      </c>
    </row>
    <row r="59" spans="1:8" ht="15.75" customHeight="1" x14ac:dyDescent="0.3">
      <c r="A59" s="2" t="s">
        <v>87</v>
      </c>
      <c r="B59" s="2" t="s">
        <v>43</v>
      </c>
      <c r="C59" s="2">
        <v>1842</v>
      </c>
      <c r="D59" s="2">
        <v>414</v>
      </c>
      <c r="E59" s="2">
        <v>307524</v>
      </c>
      <c r="F59" s="2">
        <v>1.76</v>
      </c>
      <c r="G59" s="2">
        <v>40478</v>
      </c>
      <c r="H59" s="38">
        <f t="shared" si="0"/>
        <v>4.6435400163889647E-3</v>
      </c>
    </row>
    <row r="60" spans="1:8" ht="15.75" customHeight="1" x14ac:dyDescent="0.3">
      <c r="A60" s="2" t="s">
        <v>87</v>
      </c>
      <c r="B60" s="2" t="s">
        <v>14</v>
      </c>
      <c r="C60" s="2">
        <v>751</v>
      </c>
      <c r="D60" s="2">
        <v>491</v>
      </c>
      <c r="E60" s="2">
        <v>434047</v>
      </c>
      <c r="F60" s="2">
        <v>9.24</v>
      </c>
      <c r="G60" s="2">
        <v>15476</v>
      </c>
      <c r="H60" s="38">
        <f t="shared" si="0"/>
        <v>5.990134708914012E-4</v>
      </c>
    </row>
    <row r="61" spans="1:8" ht="15.75" customHeight="1" x14ac:dyDescent="0.3">
      <c r="A61" s="2" t="s">
        <v>87</v>
      </c>
      <c r="B61" s="2" t="s">
        <v>27</v>
      </c>
      <c r="C61" s="2">
        <v>1409</v>
      </c>
      <c r="D61" s="2">
        <v>309</v>
      </c>
      <c r="E61" s="2">
        <v>64583</v>
      </c>
      <c r="F61" s="2">
        <v>8.99</v>
      </c>
      <c r="G61" s="2">
        <v>10217</v>
      </c>
      <c r="H61" s="38">
        <f t="shared" si="0"/>
        <v>1.7032345973398571E-2</v>
      </c>
    </row>
    <row r="62" spans="1:8" ht="15.75" customHeight="1" x14ac:dyDescent="0.3">
      <c r="A62" s="2" t="s">
        <v>575</v>
      </c>
      <c r="B62" s="2" t="s">
        <v>33</v>
      </c>
      <c r="C62" s="2">
        <v>778</v>
      </c>
      <c r="D62" s="2">
        <v>401</v>
      </c>
      <c r="E62" s="2">
        <v>50793</v>
      </c>
      <c r="F62" s="2">
        <v>3.4</v>
      </c>
      <c r="G62" s="2">
        <v>21939</v>
      </c>
      <c r="H62" s="38">
        <f t="shared" si="0"/>
        <v>7.4222825979957871E-3</v>
      </c>
    </row>
    <row r="63" spans="1:8" ht="15.75" customHeight="1" x14ac:dyDescent="0.3">
      <c r="A63" s="2" t="s">
        <v>575</v>
      </c>
      <c r="B63" s="2" t="s">
        <v>43</v>
      </c>
      <c r="C63" s="2">
        <v>443</v>
      </c>
      <c r="D63" s="2">
        <v>345</v>
      </c>
      <c r="E63" s="2">
        <v>474162</v>
      </c>
      <c r="F63" s="2">
        <v>9.1999999999999993</v>
      </c>
      <c r="G63" s="2">
        <v>47462</v>
      </c>
      <c r="H63" s="38">
        <f t="shared" si="0"/>
        <v>2.0668041724136477E-4</v>
      </c>
    </row>
    <row r="64" spans="1:8" ht="15.75" customHeight="1" x14ac:dyDescent="0.3">
      <c r="A64" s="2" t="s">
        <v>575</v>
      </c>
      <c r="B64" s="2" t="s">
        <v>14</v>
      </c>
      <c r="C64" s="2">
        <v>1472</v>
      </c>
      <c r="D64" s="2">
        <v>347</v>
      </c>
      <c r="E64" s="2">
        <v>392355</v>
      </c>
      <c r="F64" s="2">
        <v>8.59</v>
      </c>
      <c r="G64" s="2">
        <v>30270</v>
      </c>
      <c r="H64" s="38">
        <f t="shared" si="0"/>
        <v>2.8673012960201858E-3</v>
      </c>
    </row>
    <row r="65" spans="1:8" ht="15.75" customHeight="1" x14ac:dyDescent="0.3">
      <c r="A65" s="2" t="s">
        <v>575</v>
      </c>
      <c r="B65" s="2" t="s">
        <v>27</v>
      </c>
      <c r="C65" s="2">
        <v>123</v>
      </c>
      <c r="D65" s="2">
        <v>155</v>
      </c>
      <c r="E65" s="2">
        <v>119934</v>
      </c>
      <c r="F65" s="2">
        <v>3.5</v>
      </c>
      <c r="G65" s="2">
        <v>5442</v>
      </c>
      <c r="H65" s="38">
        <f t="shared" si="0"/>
        <v>-2.6681341404439108E-4</v>
      </c>
    </row>
    <row r="66" spans="1:8" ht="15.75" customHeight="1" x14ac:dyDescent="0.3">
      <c r="A66" s="2" t="s">
        <v>576</v>
      </c>
      <c r="B66" s="2" t="s">
        <v>33</v>
      </c>
      <c r="C66" s="2">
        <v>817</v>
      </c>
      <c r="D66" s="2">
        <v>151</v>
      </c>
      <c r="E66" s="2">
        <v>422625</v>
      </c>
      <c r="F66" s="2">
        <v>2.36</v>
      </c>
      <c r="G66" s="2">
        <v>1083</v>
      </c>
      <c r="H66" s="38">
        <f t="shared" si="0"/>
        <v>1.5758651286601596E-3</v>
      </c>
    </row>
    <row r="67" spans="1:8" ht="15.75" customHeight="1" x14ac:dyDescent="0.3">
      <c r="A67" s="2" t="s">
        <v>576</v>
      </c>
      <c r="B67" s="2" t="s">
        <v>43</v>
      </c>
      <c r="C67" s="2">
        <v>198</v>
      </c>
      <c r="D67" s="2">
        <v>217</v>
      </c>
      <c r="E67" s="2">
        <v>239753</v>
      </c>
      <c r="F67" s="2">
        <v>7.36</v>
      </c>
      <c r="G67" s="2">
        <v>11901</v>
      </c>
      <c r="H67" s="38">
        <f t="shared" ref="H67:H130" si="1">(C67-D67)/E67</f>
        <v>-7.9248226299566635E-5</v>
      </c>
    </row>
    <row r="68" spans="1:8" ht="15.75" customHeight="1" x14ac:dyDescent="0.3">
      <c r="A68" s="2" t="s">
        <v>576</v>
      </c>
      <c r="B68" s="2" t="s">
        <v>14</v>
      </c>
      <c r="C68" s="2">
        <v>1911</v>
      </c>
      <c r="D68" s="2">
        <v>231</v>
      </c>
      <c r="E68" s="2">
        <v>268516</v>
      </c>
      <c r="F68" s="2">
        <v>8.5500000000000007</v>
      </c>
      <c r="G68" s="2">
        <v>24018</v>
      </c>
      <c r="H68" s="38">
        <f t="shared" si="1"/>
        <v>6.2566104068286429E-3</v>
      </c>
    </row>
    <row r="69" spans="1:8" ht="15.75" customHeight="1" x14ac:dyDescent="0.3">
      <c r="A69" s="2" t="s">
        <v>576</v>
      </c>
      <c r="B69" s="2" t="s">
        <v>27</v>
      </c>
      <c r="C69" s="2">
        <v>1218</v>
      </c>
      <c r="D69" s="2">
        <v>212</v>
      </c>
      <c r="E69" s="2">
        <v>63177</v>
      </c>
      <c r="F69" s="2">
        <v>8.1300000000000008</v>
      </c>
      <c r="G69" s="2">
        <v>38883</v>
      </c>
      <c r="H69" s="38">
        <f t="shared" si="1"/>
        <v>1.592351646960128E-2</v>
      </c>
    </row>
    <row r="70" spans="1:8" ht="15.75" customHeight="1" x14ac:dyDescent="0.3">
      <c r="A70" s="2" t="s">
        <v>577</v>
      </c>
      <c r="B70" s="2" t="s">
        <v>33</v>
      </c>
      <c r="C70" s="2">
        <v>1433</v>
      </c>
      <c r="D70" s="2">
        <v>408</v>
      </c>
      <c r="E70" s="2">
        <v>370269</v>
      </c>
      <c r="F70" s="2">
        <v>3.3</v>
      </c>
      <c r="G70" s="2">
        <v>30575</v>
      </c>
      <c r="H70" s="38">
        <f t="shared" si="1"/>
        <v>2.7682576721248606E-3</v>
      </c>
    </row>
    <row r="71" spans="1:8" ht="15.75" customHeight="1" x14ac:dyDescent="0.3">
      <c r="A71" s="2" t="s">
        <v>577</v>
      </c>
      <c r="B71" s="2" t="s">
        <v>43</v>
      </c>
      <c r="C71" s="2">
        <v>250</v>
      </c>
      <c r="D71" s="2">
        <v>429</v>
      </c>
      <c r="E71" s="2">
        <v>453423</v>
      </c>
      <c r="F71" s="2">
        <v>1.77</v>
      </c>
      <c r="G71" s="2">
        <v>2315</v>
      </c>
      <c r="H71" s="38">
        <f t="shared" si="1"/>
        <v>-3.9477485703195471E-4</v>
      </c>
    </row>
    <row r="72" spans="1:8" ht="15.75" customHeight="1" x14ac:dyDescent="0.3">
      <c r="A72" s="2" t="s">
        <v>577</v>
      </c>
      <c r="B72" s="2" t="s">
        <v>14</v>
      </c>
      <c r="C72" s="2">
        <v>752</v>
      </c>
      <c r="D72" s="2">
        <v>153</v>
      </c>
      <c r="E72" s="2">
        <v>64906</v>
      </c>
      <c r="F72" s="2">
        <v>2.09</v>
      </c>
      <c r="G72" s="2">
        <v>12148</v>
      </c>
      <c r="H72" s="38">
        <f t="shared" si="1"/>
        <v>9.2287307798970819E-3</v>
      </c>
    </row>
    <row r="73" spans="1:8" ht="15.75" customHeight="1" x14ac:dyDescent="0.3">
      <c r="A73" s="2" t="s">
        <v>577</v>
      </c>
      <c r="B73" s="2" t="s">
        <v>27</v>
      </c>
      <c r="C73" s="2">
        <v>1918</v>
      </c>
      <c r="D73" s="2">
        <v>212</v>
      </c>
      <c r="E73" s="2">
        <v>94360</v>
      </c>
      <c r="F73" s="2">
        <v>7.36</v>
      </c>
      <c r="G73" s="2">
        <v>36851</v>
      </c>
      <c r="H73" s="38">
        <f t="shared" si="1"/>
        <v>1.8079694785926241E-2</v>
      </c>
    </row>
    <row r="74" spans="1:8" ht="15.75" customHeight="1" x14ac:dyDescent="0.3">
      <c r="A74" s="2" t="s">
        <v>578</v>
      </c>
      <c r="B74" s="2" t="s">
        <v>33</v>
      </c>
      <c r="C74" s="2">
        <v>1939</v>
      </c>
      <c r="D74" s="2">
        <v>67</v>
      </c>
      <c r="E74" s="2">
        <v>187183</v>
      </c>
      <c r="F74" s="2">
        <v>6.25</v>
      </c>
      <c r="G74" s="2">
        <v>41215</v>
      </c>
      <c r="H74" s="38">
        <f t="shared" si="1"/>
        <v>1.0000908202133741E-2</v>
      </c>
    </row>
    <row r="75" spans="1:8" ht="15.75" customHeight="1" x14ac:dyDescent="0.3">
      <c r="A75" s="2" t="s">
        <v>578</v>
      </c>
      <c r="B75" s="2" t="s">
        <v>43</v>
      </c>
      <c r="C75" s="2">
        <v>1929</v>
      </c>
      <c r="D75" s="2">
        <v>267</v>
      </c>
      <c r="E75" s="2">
        <v>379363</v>
      </c>
      <c r="F75" s="2">
        <v>1.75</v>
      </c>
      <c r="G75" s="2">
        <v>43836</v>
      </c>
      <c r="H75" s="38">
        <f t="shared" si="1"/>
        <v>4.3810281972675247E-3</v>
      </c>
    </row>
    <row r="76" spans="1:8" ht="15.75" customHeight="1" x14ac:dyDescent="0.3">
      <c r="A76" s="2" t="s">
        <v>578</v>
      </c>
      <c r="B76" s="2" t="s">
        <v>14</v>
      </c>
      <c r="C76" s="2">
        <v>437</v>
      </c>
      <c r="D76" s="2">
        <v>330</v>
      </c>
      <c r="E76" s="2">
        <v>476486</v>
      </c>
      <c r="F76" s="2">
        <v>4.97</v>
      </c>
      <c r="G76" s="2">
        <v>4509</v>
      </c>
      <c r="H76" s="38">
        <f t="shared" si="1"/>
        <v>2.2456063766826309E-4</v>
      </c>
    </row>
    <row r="77" spans="1:8" ht="15.75" customHeight="1" x14ac:dyDescent="0.3">
      <c r="A77" s="2" t="s">
        <v>578</v>
      </c>
      <c r="B77" s="2" t="s">
        <v>27</v>
      </c>
      <c r="C77" s="2">
        <v>307</v>
      </c>
      <c r="D77" s="2">
        <v>189</v>
      </c>
      <c r="E77" s="2">
        <v>117767</v>
      </c>
      <c r="F77" s="2">
        <v>9.3000000000000007</v>
      </c>
      <c r="G77" s="2">
        <v>27822</v>
      </c>
      <c r="H77" s="38">
        <f t="shared" si="1"/>
        <v>1.0019784829366461E-3</v>
      </c>
    </row>
    <row r="78" spans="1:8" ht="15.75" customHeight="1" x14ac:dyDescent="0.3">
      <c r="A78" s="2" t="s">
        <v>579</v>
      </c>
      <c r="B78" s="2" t="s">
        <v>33</v>
      </c>
      <c r="C78" s="2">
        <v>1527</v>
      </c>
      <c r="D78" s="2">
        <v>303</v>
      </c>
      <c r="E78" s="2">
        <v>388555</v>
      </c>
      <c r="F78" s="2">
        <v>8.9</v>
      </c>
      <c r="G78" s="2">
        <v>36397</v>
      </c>
      <c r="H78" s="38">
        <f t="shared" si="1"/>
        <v>3.1501331857780751E-3</v>
      </c>
    </row>
    <row r="79" spans="1:8" ht="15.75" customHeight="1" x14ac:dyDescent="0.3">
      <c r="A79" s="2" t="s">
        <v>579</v>
      </c>
      <c r="B79" s="2" t="s">
        <v>43</v>
      </c>
      <c r="C79" s="2">
        <v>643</v>
      </c>
      <c r="D79" s="2">
        <v>358</v>
      </c>
      <c r="E79" s="2">
        <v>157599</v>
      </c>
      <c r="F79" s="2">
        <v>3.88</v>
      </c>
      <c r="G79" s="2">
        <v>7285</v>
      </c>
      <c r="H79" s="38">
        <f t="shared" si="1"/>
        <v>1.8083871090552605E-3</v>
      </c>
    </row>
    <row r="80" spans="1:8" ht="15.75" customHeight="1" x14ac:dyDescent="0.3">
      <c r="A80" s="2" t="s">
        <v>579</v>
      </c>
      <c r="B80" s="2" t="s">
        <v>14</v>
      </c>
      <c r="C80" s="2">
        <v>201</v>
      </c>
      <c r="D80" s="2">
        <v>221</v>
      </c>
      <c r="E80" s="2">
        <v>309772</v>
      </c>
      <c r="F80" s="2">
        <v>5.9</v>
      </c>
      <c r="G80" s="2">
        <v>33174</v>
      </c>
      <c r="H80" s="38">
        <f t="shared" si="1"/>
        <v>-6.456361452939582E-5</v>
      </c>
    </row>
    <row r="81" spans="1:8" ht="15.75" customHeight="1" x14ac:dyDescent="0.3">
      <c r="A81" s="2" t="s">
        <v>579</v>
      </c>
      <c r="B81" s="2" t="s">
        <v>27</v>
      </c>
      <c r="C81" s="2">
        <v>414</v>
      </c>
      <c r="D81" s="2">
        <v>47</v>
      </c>
      <c r="E81" s="2">
        <v>199178</v>
      </c>
      <c r="F81" s="2">
        <v>1.53</v>
      </c>
      <c r="G81" s="2">
        <v>6742</v>
      </c>
      <c r="H81" s="38">
        <f t="shared" si="1"/>
        <v>1.8425729749269497E-3</v>
      </c>
    </row>
    <row r="82" spans="1:8" ht="15.75" customHeight="1" x14ac:dyDescent="0.3">
      <c r="A82" s="2" t="s">
        <v>168</v>
      </c>
      <c r="B82" s="2" t="s">
        <v>33</v>
      </c>
      <c r="C82" s="2">
        <v>703</v>
      </c>
      <c r="D82" s="2">
        <v>441</v>
      </c>
      <c r="E82" s="2">
        <v>357089</v>
      </c>
      <c r="F82" s="2">
        <v>6.5</v>
      </c>
      <c r="G82" s="2">
        <v>32478</v>
      </c>
      <c r="H82" s="38">
        <f t="shared" si="1"/>
        <v>7.3371064356504961E-4</v>
      </c>
    </row>
    <row r="83" spans="1:8" ht="15.75" customHeight="1" x14ac:dyDescent="0.3">
      <c r="A83" s="2" t="s">
        <v>168</v>
      </c>
      <c r="B83" s="2" t="s">
        <v>43</v>
      </c>
      <c r="C83" s="2">
        <v>508</v>
      </c>
      <c r="D83" s="2">
        <v>69</v>
      </c>
      <c r="E83" s="2">
        <v>23492</v>
      </c>
      <c r="F83" s="2">
        <v>3.16</v>
      </c>
      <c r="G83" s="2">
        <v>42824</v>
      </c>
      <c r="H83" s="38">
        <f t="shared" si="1"/>
        <v>1.8687212668142345E-2</v>
      </c>
    </row>
    <row r="84" spans="1:8" ht="15.75" customHeight="1" x14ac:dyDescent="0.3">
      <c r="A84" s="2" t="s">
        <v>168</v>
      </c>
      <c r="B84" s="2" t="s">
        <v>14</v>
      </c>
      <c r="C84" s="2">
        <v>697</v>
      </c>
      <c r="D84" s="2">
        <v>61</v>
      </c>
      <c r="E84" s="2">
        <v>258287</v>
      </c>
      <c r="F84" s="2">
        <v>8.25</v>
      </c>
      <c r="G84" s="2">
        <v>21208</v>
      </c>
      <c r="H84" s="38">
        <f t="shared" si="1"/>
        <v>2.4623771231227277E-3</v>
      </c>
    </row>
    <row r="85" spans="1:8" ht="15.75" customHeight="1" x14ac:dyDescent="0.3">
      <c r="A85" s="2" t="s">
        <v>168</v>
      </c>
      <c r="B85" s="2" t="s">
        <v>27</v>
      </c>
      <c r="C85" s="2">
        <v>1707</v>
      </c>
      <c r="D85" s="2">
        <v>223</v>
      </c>
      <c r="E85" s="2">
        <v>256910</v>
      </c>
      <c r="F85" s="2">
        <v>5.41</v>
      </c>
      <c r="G85" s="2">
        <v>44321</v>
      </c>
      <c r="H85" s="38">
        <f t="shared" si="1"/>
        <v>5.7763419096181542E-3</v>
      </c>
    </row>
    <row r="86" spans="1:8" ht="15.75" customHeight="1" x14ac:dyDescent="0.3">
      <c r="A86" s="2" t="s">
        <v>201</v>
      </c>
      <c r="B86" s="2" t="s">
        <v>33</v>
      </c>
      <c r="C86" s="2">
        <v>642</v>
      </c>
      <c r="D86" s="2">
        <v>66</v>
      </c>
      <c r="E86" s="2">
        <v>346522</v>
      </c>
      <c r="F86" s="2">
        <v>5.85</v>
      </c>
      <c r="G86" s="2">
        <v>13116</v>
      </c>
      <c r="H86" s="38">
        <f t="shared" si="1"/>
        <v>1.6622321237901201E-3</v>
      </c>
    </row>
    <row r="87" spans="1:8" ht="15.75" customHeight="1" x14ac:dyDescent="0.3">
      <c r="A87" s="2" t="s">
        <v>201</v>
      </c>
      <c r="B87" s="2" t="s">
        <v>43</v>
      </c>
      <c r="C87" s="2">
        <v>859</v>
      </c>
      <c r="D87" s="2">
        <v>473</v>
      </c>
      <c r="E87" s="2">
        <v>209987</v>
      </c>
      <c r="F87" s="2">
        <v>4.46</v>
      </c>
      <c r="G87" s="2">
        <v>30214</v>
      </c>
      <c r="H87" s="38">
        <f t="shared" si="1"/>
        <v>1.8382090319876945E-3</v>
      </c>
    </row>
    <row r="88" spans="1:8" ht="15.75" customHeight="1" x14ac:dyDescent="0.3">
      <c r="A88" s="2" t="s">
        <v>201</v>
      </c>
      <c r="B88" s="2" t="s">
        <v>14</v>
      </c>
      <c r="C88" s="2">
        <v>191</v>
      </c>
      <c r="D88" s="2">
        <v>154</v>
      </c>
      <c r="E88" s="2">
        <v>240550</v>
      </c>
      <c r="F88" s="2">
        <v>5.22</v>
      </c>
      <c r="G88" s="2">
        <v>15827</v>
      </c>
      <c r="H88" s="38">
        <f t="shared" si="1"/>
        <v>1.5381417584701726E-4</v>
      </c>
    </row>
    <row r="89" spans="1:8" ht="15.75" customHeight="1" x14ac:dyDescent="0.3">
      <c r="A89" s="2" t="s">
        <v>201</v>
      </c>
      <c r="B89" s="2" t="s">
        <v>27</v>
      </c>
      <c r="C89" s="2">
        <v>1814</v>
      </c>
      <c r="D89" s="2">
        <v>157</v>
      </c>
      <c r="E89" s="2">
        <v>305827</v>
      </c>
      <c r="F89" s="2">
        <v>1.99</v>
      </c>
      <c r="G89" s="2">
        <v>46643</v>
      </c>
      <c r="H89" s="38">
        <f t="shared" si="1"/>
        <v>5.4180958515762179E-3</v>
      </c>
    </row>
    <row r="90" spans="1:8" ht="15.75" customHeight="1" x14ac:dyDescent="0.3">
      <c r="A90" s="2" t="s">
        <v>282</v>
      </c>
      <c r="B90" s="2" t="s">
        <v>33</v>
      </c>
      <c r="C90" s="2">
        <v>1466</v>
      </c>
      <c r="D90" s="2">
        <v>69</v>
      </c>
      <c r="E90" s="2">
        <v>54935</v>
      </c>
      <c r="F90" s="2">
        <v>6.85</v>
      </c>
      <c r="G90" s="2">
        <v>36484</v>
      </c>
      <c r="H90" s="38">
        <f t="shared" si="1"/>
        <v>2.5430053699827069E-2</v>
      </c>
    </row>
    <row r="91" spans="1:8" ht="15.75" customHeight="1" x14ac:dyDescent="0.3">
      <c r="A91" s="2" t="s">
        <v>282</v>
      </c>
      <c r="B91" s="2" t="s">
        <v>43</v>
      </c>
      <c r="C91" s="2">
        <v>947</v>
      </c>
      <c r="D91" s="2">
        <v>407</v>
      </c>
      <c r="E91" s="2">
        <v>319186</v>
      </c>
      <c r="F91" s="2">
        <v>3.32</v>
      </c>
      <c r="G91" s="2">
        <v>4996</v>
      </c>
      <c r="H91" s="38">
        <f t="shared" si="1"/>
        <v>1.6918035252172713E-3</v>
      </c>
    </row>
    <row r="92" spans="1:8" ht="15.75" customHeight="1" x14ac:dyDescent="0.3">
      <c r="A92" s="2" t="s">
        <v>282</v>
      </c>
      <c r="B92" s="2" t="s">
        <v>14</v>
      </c>
      <c r="C92" s="2">
        <v>1821</v>
      </c>
      <c r="D92" s="2">
        <v>218</v>
      </c>
      <c r="E92" s="2">
        <v>439080</v>
      </c>
      <c r="F92" s="2">
        <v>5.68</v>
      </c>
      <c r="G92" s="2">
        <v>36095</v>
      </c>
      <c r="H92" s="38">
        <f t="shared" si="1"/>
        <v>3.6508153411678964E-3</v>
      </c>
    </row>
    <row r="93" spans="1:8" ht="15.75" customHeight="1" x14ac:dyDescent="0.3">
      <c r="A93" s="2" t="s">
        <v>282</v>
      </c>
      <c r="B93" s="2" t="s">
        <v>27</v>
      </c>
      <c r="C93" s="2">
        <v>1507</v>
      </c>
      <c r="D93" s="2">
        <v>463</v>
      </c>
      <c r="E93" s="2">
        <v>258944</v>
      </c>
      <c r="F93" s="2">
        <v>6.08</v>
      </c>
      <c r="G93" s="2">
        <v>16443</v>
      </c>
      <c r="H93" s="38">
        <f t="shared" si="1"/>
        <v>4.0317597627286209E-3</v>
      </c>
    </row>
    <row r="94" spans="1:8" ht="15.75" customHeight="1" x14ac:dyDescent="0.3">
      <c r="A94" s="2" t="s">
        <v>580</v>
      </c>
      <c r="B94" s="2" t="s">
        <v>33</v>
      </c>
      <c r="C94" s="2">
        <v>1075</v>
      </c>
      <c r="D94" s="2">
        <v>173</v>
      </c>
      <c r="E94" s="2">
        <v>51395</v>
      </c>
      <c r="F94" s="2">
        <v>4.66</v>
      </c>
      <c r="G94" s="2">
        <v>47812</v>
      </c>
      <c r="H94" s="38">
        <f t="shared" si="1"/>
        <v>1.7550345364335054E-2</v>
      </c>
    </row>
    <row r="95" spans="1:8" ht="15.75" customHeight="1" x14ac:dyDescent="0.3">
      <c r="A95" s="2" t="s">
        <v>580</v>
      </c>
      <c r="B95" s="2" t="s">
        <v>43</v>
      </c>
      <c r="C95" s="2">
        <v>171</v>
      </c>
      <c r="D95" s="2">
        <v>277</v>
      </c>
      <c r="E95" s="2">
        <v>309483</v>
      </c>
      <c r="F95" s="2">
        <v>8.6999999999999993</v>
      </c>
      <c r="G95" s="2">
        <v>38452</v>
      </c>
      <c r="H95" s="38">
        <f t="shared" si="1"/>
        <v>-3.4250669665215861E-4</v>
      </c>
    </row>
    <row r="96" spans="1:8" ht="15.75" customHeight="1" x14ac:dyDescent="0.3">
      <c r="A96" s="2" t="s">
        <v>580</v>
      </c>
      <c r="B96" s="2" t="s">
        <v>14</v>
      </c>
      <c r="C96" s="2">
        <v>1487</v>
      </c>
      <c r="D96" s="2">
        <v>337</v>
      </c>
      <c r="E96" s="2">
        <v>87305</v>
      </c>
      <c r="F96" s="2">
        <v>2.46</v>
      </c>
      <c r="G96" s="2">
        <v>30428</v>
      </c>
      <c r="H96" s="38">
        <f t="shared" si="1"/>
        <v>1.3172212358971423E-2</v>
      </c>
    </row>
    <row r="97" spans="1:8" ht="15.75" customHeight="1" x14ac:dyDescent="0.3">
      <c r="A97" s="2" t="s">
        <v>580</v>
      </c>
      <c r="B97" s="2" t="s">
        <v>27</v>
      </c>
      <c r="C97" s="2">
        <v>454</v>
      </c>
      <c r="D97" s="2">
        <v>105</v>
      </c>
      <c r="E97" s="2">
        <v>121091</v>
      </c>
      <c r="F97" s="2">
        <v>7.97</v>
      </c>
      <c r="G97" s="2">
        <v>9269</v>
      </c>
      <c r="H97" s="38">
        <f t="shared" si="1"/>
        <v>2.8821299683708945E-3</v>
      </c>
    </row>
    <row r="98" spans="1:8" ht="15.75" customHeight="1" x14ac:dyDescent="0.3">
      <c r="A98" s="2" t="s">
        <v>67</v>
      </c>
      <c r="B98" s="2" t="s">
        <v>33</v>
      </c>
      <c r="C98" s="2">
        <v>187</v>
      </c>
      <c r="D98" s="2">
        <v>236</v>
      </c>
      <c r="E98" s="2">
        <v>51087</v>
      </c>
      <c r="F98" s="2">
        <v>9.41</v>
      </c>
      <c r="G98" s="2">
        <v>29533</v>
      </c>
      <c r="H98" s="38">
        <f t="shared" si="1"/>
        <v>-9.5914811987394058E-4</v>
      </c>
    </row>
    <row r="99" spans="1:8" ht="15.75" customHeight="1" x14ac:dyDescent="0.3">
      <c r="A99" s="2" t="s">
        <v>67</v>
      </c>
      <c r="B99" s="2" t="s">
        <v>43</v>
      </c>
      <c r="C99" s="2">
        <v>513</v>
      </c>
      <c r="D99" s="2">
        <v>441</v>
      </c>
      <c r="E99" s="2">
        <v>338847</v>
      </c>
      <c r="F99" s="2">
        <v>2.68</v>
      </c>
      <c r="G99" s="2">
        <v>39997</v>
      </c>
      <c r="H99" s="38">
        <f t="shared" si="1"/>
        <v>2.1248528096751631E-4</v>
      </c>
    </row>
    <row r="100" spans="1:8" ht="15.75" customHeight="1" x14ac:dyDescent="0.3">
      <c r="A100" s="2" t="s">
        <v>67</v>
      </c>
      <c r="B100" s="2" t="s">
        <v>14</v>
      </c>
      <c r="C100" s="2">
        <v>628</v>
      </c>
      <c r="D100" s="2">
        <v>183</v>
      </c>
      <c r="E100" s="2">
        <v>487523</v>
      </c>
      <c r="F100" s="2">
        <v>7.32</v>
      </c>
      <c r="G100" s="2">
        <v>5391</v>
      </c>
      <c r="H100" s="38">
        <f t="shared" si="1"/>
        <v>9.1277744844858602E-4</v>
      </c>
    </row>
    <row r="101" spans="1:8" ht="15.75" customHeight="1" x14ac:dyDescent="0.3">
      <c r="A101" s="2" t="s">
        <v>67</v>
      </c>
      <c r="B101" s="2" t="s">
        <v>27</v>
      </c>
      <c r="C101" s="2">
        <v>278</v>
      </c>
      <c r="D101" s="2">
        <v>218</v>
      </c>
      <c r="E101" s="2">
        <v>301695</v>
      </c>
      <c r="F101" s="2">
        <v>4.68</v>
      </c>
      <c r="G101" s="2">
        <v>22373</v>
      </c>
      <c r="H101" s="38">
        <f t="shared" si="1"/>
        <v>1.9887634863023914E-4</v>
      </c>
    </row>
    <row r="102" spans="1:8" ht="15.75" customHeight="1" x14ac:dyDescent="0.3">
      <c r="A102" s="2" t="s">
        <v>129</v>
      </c>
      <c r="B102" s="2" t="s">
        <v>33</v>
      </c>
      <c r="C102" s="2">
        <v>1854</v>
      </c>
      <c r="D102" s="2">
        <v>161</v>
      </c>
      <c r="E102" s="2">
        <v>282466</v>
      </c>
      <c r="F102" s="2">
        <v>5.17</v>
      </c>
      <c r="G102" s="2">
        <v>1810</v>
      </c>
      <c r="H102" s="38">
        <f t="shared" si="1"/>
        <v>5.9936417126309005E-3</v>
      </c>
    </row>
    <row r="103" spans="1:8" ht="15.75" customHeight="1" x14ac:dyDescent="0.3">
      <c r="A103" s="2" t="s">
        <v>129</v>
      </c>
      <c r="B103" s="2" t="s">
        <v>43</v>
      </c>
      <c r="C103" s="2">
        <v>1710</v>
      </c>
      <c r="D103" s="2">
        <v>378</v>
      </c>
      <c r="E103" s="2">
        <v>336661</v>
      </c>
      <c r="F103" s="2">
        <v>6.2</v>
      </c>
      <c r="G103" s="2">
        <v>28498</v>
      </c>
      <c r="H103" s="38">
        <f t="shared" si="1"/>
        <v>3.9565022381564839E-3</v>
      </c>
    </row>
    <row r="104" spans="1:8" ht="15.75" customHeight="1" x14ac:dyDescent="0.3">
      <c r="A104" s="2" t="s">
        <v>129</v>
      </c>
      <c r="B104" s="2" t="s">
        <v>14</v>
      </c>
      <c r="C104" s="2">
        <v>330</v>
      </c>
      <c r="D104" s="2">
        <v>232</v>
      </c>
      <c r="E104" s="2">
        <v>88455</v>
      </c>
      <c r="F104" s="2">
        <v>2.69</v>
      </c>
      <c r="G104" s="2">
        <v>39530</v>
      </c>
      <c r="H104" s="38">
        <f t="shared" si="1"/>
        <v>1.1079079758069075E-3</v>
      </c>
    </row>
    <row r="105" spans="1:8" ht="15.75" customHeight="1" x14ac:dyDescent="0.3">
      <c r="A105" s="2" t="s">
        <v>129</v>
      </c>
      <c r="B105" s="2" t="s">
        <v>27</v>
      </c>
      <c r="C105" s="2">
        <v>1293</v>
      </c>
      <c r="D105" s="2">
        <v>408</v>
      </c>
      <c r="E105" s="2">
        <v>62535</v>
      </c>
      <c r="F105" s="2">
        <v>8.9</v>
      </c>
      <c r="G105" s="2">
        <v>37876</v>
      </c>
      <c r="H105" s="38">
        <f t="shared" si="1"/>
        <v>1.4152074838090669E-2</v>
      </c>
    </row>
    <row r="106" spans="1:8" ht="15.75" customHeight="1" x14ac:dyDescent="0.3">
      <c r="A106" s="2" t="s">
        <v>581</v>
      </c>
      <c r="B106" s="2" t="s">
        <v>33</v>
      </c>
      <c r="C106" s="2">
        <v>1696</v>
      </c>
      <c r="D106" s="2">
        <v>71</v>
      </c>
      <c r="E106" s="2">
        <v>421957</v>
      </c>
      <c r="F106" s="2">
        <v>3.79</v>
      </c>
      <c r="G106" s="2">
        <v>36103</v>
      </c>
      <c r="H106" s="38">
        <f t="shared" si="1"/>
        <v>3.8511033114748661E-3</v>
      </c>
    </row>
    <row r="107" spans="1:8" ht="15.75" customHeight="1" x14ac:dyDescent="0.3">
      <c r="A107" s="2" t="s">
        <v>581</v>
      </c>
      <c r="B107" s="2" t="s">
        <v>43</v>
      </c>
      <c r="C107" s="2">
        <v>1902</v>
      </c>
      <c r="D107" s="2">
        <v>196</v>
      </c>
      <c r="E107" s="2">
        <v>470269</v>
      </c>
      <c r="F107" s="2">
        <v>4.79</v>
      </c>
      <c r="G107" s="2">
        <v>26103</v>
      </c>
      <c r="H107" s="38">
        <f t="shared" si="1"/>
        <v>3.6277109484146308E-3</v>
      </c>
    </row>
    <row r="108" spans="1:8" ht="15.75" customHeight="1" x14ac:dyDescent="0.3">
      <c r="A108" s="2" t="s">
        <v>581</v>
      </c>
      <c r="B108" s="2" t="s">
        <v>14</v>
      </c>
      <c r="C108" s="2">
        <v>1441</v>
      </c>
      <c r="D108" s="2">
        <v>268</v>
      </c>
      <c r="E108" s="2">
        <v>309904</v>
      </c>
      <c r="F108" s="2">
        <v>6.37</v>
      </c>
      <c r="G108" s="2">
        <v>3455</v>
      </c>
      <c r="H108" s="38">
        <f t="shared" si="1"/>
        <v>3.7850431101244257E-3</v>
      </c>
    </row>
    <row r="109" spans="1:8" ht="15.75" customHeight="1" x14ac:dyDescent="0.3">
      <c r="A109" s="2" t="s">
        <v>581</v>
      </c>
      <c r="B109" s="2" t="s">
        <v>27</v>
      </c>
      <c r="C109" s="2">
        <v>452</v>
      </c>
      <c r="D109" s="2">
        <v>161</v>
      </c>
      <c r="E109" s="2">
        <v>221274</v>
      </c>
      <c r="F109" s="2">
        <v>2.65</v>
      </c>
      <c r="G109" s="2">
        <v>40888</v>
      </c>
      <c r="H109" s="38">
        <f t="shared" si="1"/>
        <v>1.3151115811166245E-3</v>
      </c>
    </row>
    <row r="110" spans="1:8" ht="15.75" customHeight="1" x14ac:dyDescent="0.3">
      <c r="A110" s="2" t="s">
        <v>221</v>
      </c>
      <c r="B110" s="2" t="s">
        <v>33</v>
      </c>
      <c r="C110" s="2">
        <v>1494</v>
      </c>
      <c r="D110" s="2">
        <v>375</v>
      </c>
      <c r="E110" s="2">
        <v>220616</v>
      </c>
      <c r="F110" s="2">
        <v>1.81</v>
      </c>
      <c r="G110" s="2">
        <v>22724</v>
      </c>
      <c r="H110" s="38">
        <f t="shared" si="1"/>
        <v>5.0721615839286359E-3</v>
      </c>
    </row>
    <row r="111" spans="1:8" ht="15.75" customHeight="1" x14ac:dyDescent="0.3">
      <c r="A111" s="2" t="s">
        <v>221</v>
      </c>
      <c r="B111" s="2" t="s">
        <v>43</v>
      </c>
      <c r="C111" s="2">
        <v>1514</v>
      </c>
      <c r="D111" s="2">
        <v>141</v>
      </c>
      <c r="E111" s="2">
        <v>35842</v>
      </c>
      <c r="F111" s="2">
        <v>7.47</v>
      </c>
      <c r="G111" s="2">
        <v>18601</v>
      </c>
      <c r="H111" s="38">
        <f t="shared" si="1"/>
        <v>3.8307014117515761E-2</v>
      </c>
    </row>
    <row r="112" spans="1:8" ht="15.75" customHeight="1" x14ac:dyDescent="0.3">
      <c r="A112" s="2" t="s">
        <v>221</v>
      </c>
      <c r="B112" s="2" t="s">
        <v>14</v>
      </c>
      <c r="C112" s="2">
        <v>1937</v>
      </c>
      <c r="D112" s="2">
        <v>210</v>
      </c>
      <c r="E112" s="2">
        <v>20607</v>
      </c>
      <c r="F112" s="2">
        <v>4.2</v>
      </c>
      <c r="G112" s="2">
        <v>20861</v>
      </c>
      <c r="H112" s="38">
        <f t="shared" si="1"/>
        <v>8.3806473528412681E-2</v>
      </c>
    </row>
    <row r="113" spans="1:8" ht="15.75" customHeight="1" x14ac:dyDescent="0.3">
      <c r="A113" s="2" t="s">
        <v>221</v>
      </c>
      <c r="B113" s="2" t="s">
        <v>27</v>
      </c>
      <c r="C113" s="2">
        <v>736</v>
      </c>
      <c r="D113" s="2">
        <v>163</v>
      </c>
      <c r="E113" s="2">
        <v>451894</v>
      </c>
      <c r="F113" s="2">
        <v>5.43</v>
      </c>
      <c r="G113" s="2">
        <v>46625</v>
      </c>
      <c r="H113" s="38">
        <f t="shared" si="1"/>
        <v>1.2679964770499277E-3</v>
      </c>
    </row>
    <row r="114" spans="1:8" ht="15.75" customHeight="1" x14ac:dyDescent="0.3">
      <c r="A114" s="2" t="s">
        <v>112</v>
      </c>
      <c r="B114" s="2" t="s">
        <v>33</v>
      </c>
      <c r="C114" s="2">
        <v>1502</v>
      </c>
      <c r="D114" s="2">
        <v>70</v>
      </c>
      <c r="E114" s="2">
        <v>465553</v>
      </c>
      <c r="F114" s="2">
        <v>3.32</v>
      </c>
      <c r="G114" s="2">
        <v>20692</v>
      </c>
      <c r="H114" s="38">
        <f t="shared" si="1"/>
        <v>3.0759118725472716E-3</v>
      </c>
    </row>
    <row r="115" spans="1:8" ht="15.75" customHeight="1" x14ac:dyDescent="0.3">
      <c r="A115" s="2" t="s">
        <v>112</v>
      </c>
      <c r="B115" s="2" t="s">
        <v>43</v>
      </c>
      <c r="C115" s="2">
        <v>1623</v>
      </c>
      <c r="D115" s="2">
        <v>246</v>
      </c>
      <c r="E115" s="2">
        <v>415815</v>
      </c>
      <c r="F115" s="2">
        <v>8.11</v>
      </c>
      <c r="G115" s="2">
        <v>18656</v>
      </c>
      <c r="H115" s="38">
        <f t="shared" si="1"/>
        <v>3.311568846722701E-3</v>
      </c>
    </row>
    <row r="116" spans="1:8" ht="15.75" customHeight="1" x14ac:dyDescent="0.3">
      <c r="A116" s="2" t="s">
        <v>112</v>
      </c>
      <c r="B116" s="2" t="s">
        <v>14</v>
      </c>
      <c r="C116" s="2">
        <v>1592</v>
      </c>
      <c r="D116" s="2">
        <v>233</v>
      </c>
      <c r="E116" s="2">
        <v>327183</v>
      </c>
      <c r="F116" s="2">
        <v>6.66</v>
      </c>
      <c r="G116" s="2">
        <v>13316</v>
      </c>
      <c r="H116" s="38">
        <f t="shared" si="1"/>
        <v>4.1536387893013997E-3</v>
      </c>
    </row>
    <row r="117" spans="1:8" ht="15.75" customHeight="1" x14ac:dyDescent="0.3">
      <c r="A117" s="2" t="s">
        <v>112</v>
      </c>
      <c r="B117" s="2" t="s">
        <v>27</v>
      </c>
      <c r="C117" s="2">
        <v>1004</v>
      </c>
      <c r="D117" s="2">
        <v>128</v>
      </c>
      <c r="E117" s="2">
        <v>488901</v>
      </c>
      <c r="F117" s="2">
        <v>8.09</v>
      </c>
      <c r="G117" s="2">
        <v>49558</v>
      </c>
      <c r="H117" s="38">
        <f t="shared" si="1"/>
        <v>1.7917737946946315E-3</v>
      </c>
    </row>
    <row r="118" spans="1:8" ht="15.75" customHeight="1" x14ac:dyDescent="0.3">
      <c r="A118" s="2" t="s">
        <v>15</v>
      </c>
      <c r="B118" s="2" t="s">
        <v>33</v>
      </c>
      <c r="C118" s="2">
        <v>1092</v>
      </c>
      <c r="D118" s="2">
        <v>408</v>
      </c>
      <c r="E118" s="2">
        <v>280795</v>
      </c>
      <c r="F118" s="2">
        <v>8.44</v>
      </c>
      <c r="G118" s="2">
        <v>4683</v>
      </c>
      <c r="H118" s="38">
        <f t="shared" si="1"/>
        <v>2.4359408109118751E-3</v>
      </c>
    </row>
    <row r="119" spans="1:8" ht="15.75" customHeight="1" x14ac:dyDescent="0.3">
      <c r="A119" s="2" t="s">
        <v>15</v>
      </c>
      <c r="B119" s="2" t="s">
        <v>43</v>
      </c>
      <c r="C119" s="2">
        <v>1155</v>
      </c>
      <c r="D119" s="2">
        <v>425</v>
      </c>
      <c r="E119" s="2">
        <v>93347</v>
      </c>
      <c r="F119" s="2">
        <v>2.02</v>
      </c>
      <c r="G119" s="2">
        <v>47502</v>
      </c>
      <c r="H119" s="38">
        <f t="shared" si="1"/>
        <v>7.8202834584935772E-3</v>
      </c>
    </row>
    <row r="120" spans="1:8" ht="15.75" customHeight="1" x14ac:dyDescent="0.3">
      <c r="A120" s="2" t="s">
        <v>15</v>
      </c>
      <c r="B120" s="2" t="s">
        <v>14</v>
      </c>
      <c r="C120" s="2">
        <v>1137</v>
      </c>
      <c r="D120" s="2">
        <v>226</v>
      </c>
      <c r="E120" s="2">
        <v>81119</v>
      </c>
      <c r="F120" s="2">
        <v>7.74</v>
      </c>
      <c r="G120" s="2">
        <v>35359</v>
      </c>
      <c r="H120" s="38">
        <f t="shared" si="1"/>
        <v>1.1230414576116569E-2</v>
      </c>
    </row>
    <row r="121" spans="1:8" ht="15.75" customHeight="1" x14ac:dyDescent="0.3">
      <c r="A121" s="2" t="s">
        <v>15</v>
      </c>
      <c r="B121" s="2" t="s">
        <v>27</v>
      </c>
      <c r="C121" s="2">
        <v>1900</v>
      </c>
      <c r="D121" s="2">
        <v>311</v>
      </c>
      <c r="E121" s="2">
        <v>25177</v>
      </c>
      <c r="F121" s="2">
        <v>2.89</v>
      </c>
      <c r="G121" s="2">
        <v>14154</v>
      </c>
      <c r="H121" s="38">
        <f t="shared" si="1"/>
        <v>6.3113158835445049E-2</v>
      </c>
    </row>
    <row r="122" spans="1:8" ht="15.75" customHeight="1" x14ac:dyDescent="0.3">
      <c r="A122" s="2" t="s">
        <v>582</v>
      </c>
      <c r="B122" s="2" t="s">
        <v>33</v>
      </c>
      <c r="C122" s="2">
        <v>1814</v>
      </c>
      <c r="D122" s="2">
        <v>49</v>
      </c>
      <c r="E122" s="2">
        <v>140804</v>
      </c>
      <c r="F122" s="2">
        <v>1.76</v>
      </c>
      <c r="G122" s="2">
        <v>4313</v>
      </c>
      <c r="H122" s="38">
        <f t="shared" si="1"/>
        <v>1.253515525127127E-2</v>
      </c>
    </row>
    <row r="123" spans="1:8" ht="15.75" customHeight="1" x14ac:dyDescent="0.3">
      <c r="A123" s="2" t="s">
        <v>582</v>
      </c>
      <c r="B123" s="2" t="s">
        <v>43</v>
      </c>
      <c r="C123" s="2">
        <v>1980</v>
      </c>
      <c r="D123" s="2">
        <v>204</v>
      </c>
      <c r="E123" s="2">
        <v>379431</v>
      </c>
      <c r="F123" s="2">
        <v>3.09</v>
      </c>
      <c r="G123" s="2">
        <v>25140</v>
      </c>
      <c r="H123" s="38">
        <f t="shared" si="1"/>
        <v>4.6806929323118035E-3</v>
      </c>
    </row>
    <row r="124" spans="1:8" ht="15.75" customHeight="1" x14ac:dyDescent="0.3">
      <c r="A124" s="2" t="s">
        <v>582</v>
      </c>
      <c r="B124" s="2" t="s">
        <v>14</v>
      </c>
      <c r="C124" s="2">
        <v>1786</v>
      </c>
      <c r="D124" s="2">
        <v>257</v>
      </c>
      <c r="E124" s="2">
        <v>274831</v>
      </c>
      <c r="F124" s="2">
        <v>4.68</v>
      </c>
      <c r="G124" s="2">
        <v>9118</v>
      </c>
      <c r="H124" s="38">
        <f t="shared" si="1"/>
        <v>5.5634189738421064E-3</v>
      </c>
    </row>
    <row r="125" spans="1:8" ht="15.75" customHeight="1" x14ac:dyDescent="0.3">
      <c r="A125" s="2" t="s">
        <v>582</v>
      </c>
      <c r="B125" s="2" t="s">
        <v>27</v>
      </c>
      <c r="C125" s="2">
        <v>1495</v>
      </c>
      <c r="D125" s="2">
        <v>35</v>
      </c>
      <c r="E125" s="2">
        <v>136845</v>
      </c>
      <c r="F125" s="2">
        <v>4.4800000000000004</v>
      </c>
      <c r="G125" s="2">
        <v>39931</v>
      </c>
      <c r="H125" s="38">
        <f t="shared" si="1"/>
        <v>1.0669005078738719E-2</v>
      </c>
    </row>
    <row r="126" spans="1:8" ht="15.75" customHeight="1" x14ac:dyDescent="0.3">
      <c r="A126" s="2" t="s">
        <v>125</v>
      </c>
      <c r="B126" s="2" t="s">
        <v>33</v>
      </c>
      <c r="C126" s="2">
        <v>1013</v>
      </c>
      <c r="D126" s="2">
        <v>110</v>
      </c>
      <c r="E126" s="2">
        <v>466382</v>
      </c>
      <c r="F126" s="2">
        <v>5.3</v>
      </c>
      <c r="G126" s="2">
        <v>37132</v>
      </c>
      <c r="H126" s="38">
        <f t="shared" si="1"/>
        <v>1.9361810704529763E-3</v>
      </c>
    </row>
    <row r="127" spans="1:8" ht="15.75" customHeight="1" x14ac:dyDescent="0.3">
      <c r="A127" s="2" t="s">
        <v>125</v>
      </c>
      <c r="B127" s="2" t="s">
        <v>43</v>
      </c>
      <c r="C127" s="2">
        <v>816</v>
      </c>
      <c r="D127" s="2">
        <v>196</v>
      </c>
      <c r="E127" s="2">
        <v>95728</v>
      </c>
      <c r="F127" s="2">
        <v>8.1999999999999993</v>
      </c>
      <c r="G127" s="2">
        <v>17951</v>
      </c>
      <c r="H127" s="38">
        <f t="shared" si="1"/>
        <v>6.4766839378238338E-3</v>
      </c>
    </row>
    <row r="128" spans="1:8" ht="15.75" customHeight="1" x14ac:dyDescent="0.3">
      <c r="A128" s="2" t="s">
        <v>125</v>
      </c>
      <c r="B128" s="2" t="s">
        <v>14</v>
      </c>
      <c r="C128" s="2">
        <v>1633</v>
      </c>
      <c r="D128" s="2">
        <v>445</v>
      </c>
      <c r="E128" s="2">
        <v>371156</v>
      </c>
      <c r="F128" s="2">
        <v>2.2200000000000002</v>
      </c>
      <c r="G128" s="2">
        <v>2798</v>
      </c>
      <c r="H128" s="38">
        <f t="shared" si="1"/>
        <v>3.2008104408927781E-3</v>
      </c>
    </row>
    <row r="129" spans="1:8" ht="15.75" customHeight="1" x14ac:dyDescent="0.3">
      <c r="A129" s="2" t="s">
        <v>125</v>
      </c>
      <c r="B129" s="2" t="s">
        <v>27</v>
      </c>
      <c r="C129" s="2">
        <v>891</v>
      </c>
      <c r="D129" s="2">
        <v>45</v>
      </c>
      <c r="E129" s="2">
        <v>95410</v>
      </c>
      <c r="F129" s="2">
        <v>8.33</v>
      </c>
      <c r="G129" s="2">
        <v>15045</v>
      </c>
      <c r="H129" s="38">
        <f t="shared" si="1"/>
        <v>8.8669950738916262E-3</v>
      </c>
    </row>
    <row r="130" spans="1:8" ht="15.75" customHeight="1" x14ac:dyDescent="0.3">
      <c r="A130" s="2" t="s">
        <v>583</v>
      </c>
      <c r="B130" s="2" t="s">
        <v>33</v>
      </c>
      <c r="C130" s="2">
        <v>1855</v>
      </c>
      <c r="D130" s="2">
        <v>133</v>
      </c>
      <c r="E130" s="2">
        <v>349413</v>
      </c>
      <c r="F130" s="2">
        <v>3.3</v>
      </c>
      <c r="G130" s="2">
        <v>14548</v>
      </c>
      <c r="H130" s="38">
        <f t="shared" si="1"/>
        <v>4.9282654051223049E-3</v>
      </c>
    </row>
    <row r="131" spans="1:8" ht="15.75" customHeight="1" x14ac:dyDescent="0.3">
      <c r="A131" s="2" t="s">
        <v>583</v>
      </c>
      <c r="B131" s="2" t="s">
        <v>43</v>
      </c>
      <c r="C131" s="2">
        <v>651</v>
      </c>
      <c r="D131" s="2">
        <v>353</v>
      </c>
      <c r="E131" s="2">
        <v>224699</v>
      </c>
      <c r="F131" s="2">
        <v>5.61</v>
      </c>
      <c r="G131" s="2">
        <v>45708</v>
      </c>
      <c r="H131" s="38">
        <f t="shared" ref="H131:H194" si="2">(C131-D131)/E131</f>
        <v>1.3262186302564765E-3</v>
      </c>
    </row>
    <row r="132" spans="1:8" ht="15.75" customHeight="1" x14ac:dyDescent="0.3">
      <c r="A132" s="2" t="s">
        <v>583</v>
      </c>
      <c r="B132" s="2" t="s">
        <v>14</v>
      </c>
      <c r="C132" s="2">
        <v>118</v>
      </c>
      <c r="D132" s="2">
        <v>262</v>
      </c>
      <c r="E132" s="2">
        <v>487896</v>
      </c>
      <c r="F132" s="2">
        <v>2.56</v>
      </c>
      <c r="G132" s="2">
        <v>12350</v>
      </c>
      <c r="H132" s="38">
        <f t="shared" si="2"/>
        <v>-2.9514486693885583E-4</v>
      </c>
    </row>
    <row r="133" spans="1:8" ht="15.75" customHeight="1" x14ac:dyDescent="0.3">
      <c r="A133" s="2" t="s">
        <v>583</v>
      </c>
      <c r="B133" s="2" t="s">
        <v>27</v>
      </c>
      <c r="C133" s="2">
        <v>1331</v>
      </c>
      <c r="D133" s="2">
        <v>430</v>
      </c>
      <c r="E133" s="2">
        <v>14437</v>
      </c>
      <c r="F133" s="2">
        <v>3.29</v>
      </c>
      <c r="G133" s="2">
        <v>40868</v>
      </c>
      <c r="H133" s="38">
        <f t="shared" si="2"/>
        <v>6.2409087760615087E-2</v>
      </c>
    </row>
    <row r="134" spans="1:8" ht="15.75" customHeight="1" x14ac:dyDescent="0.3">
      <c r="A134" s="2" t="s">
        <v>584</v>
      </c>
      <c r="B134" s="2" t="s">
        <v>33</v>
      </c>
      <c r="C134" s="2">
        <v>1748</v>
      </c>
      <c r="D134" s="2">
        <v>176</v>
      </c>
      <c r="E134" s="2">
        <v>383681</v>
      </c>
      <c r="F134" s="2">
        <v>9.24</v>
      </c>
      <c r="G134" s="2">
        <v>43122</v>
      </c>
      <c r="H134" s="38">
        <f t="shared" si="2"/>
        <v>4.0971536250166149E-3</v>
      </c>
    </row>
    <row r="135" spans="1:8" ht="15.75" customHeight="1" x14ac:dyDescent="0.3">
      <c r="A135" s="2" t="s">
        <v>584</v>
      </c>
      <c r="B135" s="2" t="s">
        <v>43</v>
      </c>
      <c r="C135" s="2">
        <v>663</v>
      </c>
      <c r="D135" s="2">
        <v>236</v>
      </c>
      <c r="E135" s="2">
        <v>479490</v>
      </c>
      <c r="F135" s="2">
        <v>4.51</v>
      </c>
      <c r="G135" s="2">
        <v>23853</v>
      </c>
      <c r="H135" s="38">
        <f t="shared" si="2"/>
        <v>8.9052952094934197E-4</v>
      </c>
    </row>
    <row r="136" spans="1:8" ht="15.75" customHeight="1" x14ac:dyDescent="0.3">
      <c r="A136" s="2" t="s">
        <v>584</v>
      </c>
      <c r="B136" s="2" t="s">
        <v>14</v>
      </c>
      <c r="C136" s="2">
        <v>1040</v>
      </c>
      <c r="D136" s="2">
        <v>149</v>
      </c>
      <c r="E136" s="2">
        <v>124404</v>
      </c>
      <c r="F136" s="2">
        <v>5.23</v>
      </c>
      <c r="G136" s="2">
        <v>45380</v>
      </c>
      <c r="H136" s="38">
        <f t="shared" si="2"/>
        <v>7.1621491270377159E-3</v>
      </c>
    </row>
    <row r="137" spans="1:8" ht="15.75" customHeight="1" x14ac:dyDescent="0.3">
      <c r="A137" s="2" t="s">
        <v>584</v>
      </c>
      <c r="B137" s="2" t="s">
        <v>27</v>
      </c>
      <c r="C137" s="2">
        <v>1166</v>
      </c>
      <c r="D137" s="2">
        <v>442</v>
      </c>
      <c r="E137" s="2">
        <v>336949</v>
      </c>
      <c r="F137" s="2">
        <v>4.68</v>
      </c>
      <c r="G137" s="2">
        <v>7705</v>
      </c>
      <c r="H137" s="38">
        <f t="shared" si="2"/>
        <v>2.1486931256659019E-3</v>
      </c>
    </row>
    <row r="138" spans="1:8" ht="15.75" customHeight="1" x14ac:dyDescent="0.3">
      <c r="A138" s="2" t="s">
        <v>224</v>
      </c>
      <c r="B138" s="2" t="s">
        <v>33</v>
      </c>
      <c r="C138" s="2">
        <v>115</v>
      </c>
      <c r="D138" s="2">
        <v>281</v>
      </c>
      <c r="E138" s="2">
        <v>357265</v>
      </c>
      <c r="F138" s="2">
        <v>9.23</v>
      </c>
      <c r="G138" s="2">
        <v>25525</v>
      </c>
      <c r="H138" s="38">
        <f t="shared" si="2"/>
        <v>-4.6464109274628077E-4</v>
      </c>
    </row>
    <row r="139" spans="1:8" ht="15.75" customHeight="1" x14ac:dyDescent="0.3">
      <c r="A139" s="2" t="s">
        <v>224</v>
      </c>
      <c r="B139" s="2" t="s">
        <v>43</v>
      </c>
      <c r="C139" s="2">
        <v>1249</v>
      </c>
      <c r="D139" s="2">
        <v>351</v>
      </c>
      <c r="E139" s="2">
        <v>321307</v>
      </c>
      <c r="F139" s="2">
        <v>6.37</v>
      </c>
      <c r="G139" s="2">
        <v>20560</v>
      </c>
      <c r="H139" s="38">
        <f t="shared" si="2"/>
        <v>2.7948348464241365E-3</v>
      </c>
    </row>
    <row r="140" spans="1:8" ht="15.75" customHeight="1" x14ac:dyDescent="0.3">
      <c r="A140" s="2" t="s">
        <v>224</v>
      </c>
      <c r="B140" s="2" t="s">
        <v>14</v>
      </c>
      <c r="C140" s="2">
        <v>1501</v>
      </c>
      <c r="D140" s="2">
        <v>75</v>
      </c>
      <c r="E140" s="2">
        <v>262569</v>
      </c>
      <c r="F140" s="2">
        <v>2.0099999999999998</v>
      </c>
      <c r="G140" s="2">
        <v>19119</v>
      </c>
      <c r="H140" s="38">
        <f t="shared" si="2"/>
        <v>5.4309533874905263E-3</v>
      </c>
    </row>
    <row r="141" spans="1:8" ht="15.75" customHeight="1" x14ac:dyDescent="0.3">
      <c r="A141" s="2" t="s">
        <v>224</v>
      </c>
      <c r="B141" s="2" t="s">
        <v>27</v>
      </c>
      <c r="C141" s="2">
        <v>1411</v>
      </c>
      <c r="D141" s="2">
        <v>186</v>
      </c>
      <c r="E141" s="2">
        <v>461669</v>
      </c>
      <c r="F141" s="2">
        <v>3.72</v>
      </c>
      <c r="G141" s="2">
        <v>43999</v>
      </c>
      <c r="H141" s="38">
        <f t="shared" si="2"/>
        <v>2.6534161921203288E-3</v>
      </c>
    </row>
    <row r="142" spans="1:8" ht="15.75" customHeight="1" x14ac:dyDescent="0.3">
      <c r="A142" s="2" t="s">
        <v>585</v>
      </c>
      <c r="B142" s="2" t="s">
        <v>33</v>
      </c>
      <c r="C142" s="2">
        <v>1556</v>
      </c>
      <c r="D142" s="2">
        <v>476</v>
      </c>
      <c r="E142" s="2">
        <v>351556</v>
      </c>
      <c r="F142" s="2">
        <v>3.89</v>
      </c>
      <c r="G142" s="2">
        <v>10825</v>
      </c>
      <c r="H142" s="38">
        <f t="shared" si="2"/>
        <v>3.0720567989168156E-3</v>
      </c>
    </row>
    <row r="143" spans="1:8" ht="15.75" customHeight="1" x14ac:dyDescent="0.3">
      <c r="A143" s="2" t="s">
        <v>585</v>
      </c>
      <c r="B143" s="2" t="s">
        <v>43</v>
      </c>
      <c r="C143" s="2">
        <v>1159</v>
      </c>
      <c r="D143" s="2">
        <v>411</v>
      </c>
      <c r="E143" s="2">
        <v>135987</v>
      </c>
      <c r="F143" s="2">
        <v>8.6999999999999993</v>
      </c>
      <c r="G143" s="2">
        <v>40323</v>
      </c>
      <c r="H143" s="38">
        <f t="shared" si="2"/>
        <v>5.5005257855530306E-3</v>
      </c>
    </row>
    <row r="144" spans="1:8" ht="15.75" customHeight="1" x14ac:dyDescent="0.3">
      <c r="A144" s="2" t="s">
        <v>585</v>
      </c>
      <c r="B144" s="2" t="s">
        <v>14</v>
      </c>
      <c r="C144" s="2">
        <v>927</v>
      </c>
      <c r="D144" s="2">
        <v>358</v>
      </c>
      <c r="E144" s="2">
        <v>177554</v>
      </c>
      <c r="F144" s="2">
        <v>6.95</v>
      </c>
      <c r="G144" s="2">
        <v>48270</v>
      </c>
      <c r="H144" s="38">
        <f t="shared" si="2"/>
        <v>3.2046588643454949E-3</v>
      </c>
    </row>
    <row r="145" spans="1:8" ht="15.75" customHeight="1" x14ac:dyDescent="0.3">
      <c r="A145" s="2" t="s">
        <v>585</v>
      </c>
      <c r="B145" s="2" t="s">
        <v>27</v>
      </c>
      <c r="C145" s="2">
        <v>152</v>
      </c>
      <c r="D145" s="2">
        <v>355</v>
      </c>
      <c r="E145" s="2">
        <v>270766</v>
      </c>
      <c r="F145" s="2">
        <v>9.48</v>
      </c>
      <c r="G145" s="2">
        <v>18001</v>
      </c>
      <c r="H145" s="38">
        <f t="shared" si="2"/>
        <v>-7.4972485467156139E-4</v>
      </c>
    </row>
    <row r="146" spans="1:8" ht="15.75" customHeight="1" x14ac:dyDescent="0.3">
      <c r="A146" s="2" t="s">
        <v>249</v>
      </c>
      <c r="B146" s="2" t="s">
        <v>33</v>
      </c>
      <c r="C146" s="2">
        <v>1957</v>
      </c>
      <c r="D146" s="2">
        <v>234</v>
      </c>
      <c r="E146" s="2">
        <v>222126</v>
      </c>
      <c r="F146" s="2">
        <v>4.6100000000000003</v>
      </c>
      <c r="G146" s="2">
        <v>3314</v>
      </c>
      <c r="H146" s="38">
        <f t="shared" si="2"/>
        <v>7.7568587198256845E-3</v>
      </c>
    </row>
    <row r="147" spans="1:8" ht="15.75" customHeight="1" x14ac:dyDescent="0.3">
      <c r="A147" s="2" t="s">
        <v>249</v>
      </c>
      <c r="B147" s="2" t="s">
        <v>43</v>
      </c>
      <c r="C147" s="2">
        <v>1294</v>
      </c>
      <c r="D147" s="2">
        <v>382</v>
      </c>
      <c r="E147" s="2">
        <v>309914</v>
      </c>
      <c r="F147" s="2">
        <v>8.0299999999999994</v>
      </c>
      <c r="G147" s="2">
        <v>23489</v>
      </c>
      <c r="H147" s="38">
        <f t="shared" si="2"/>
        <v>2.9427518601934728E-3</v>
      </c>
    </row>
    <row r="148" spans="1:8" ht="15.75" customHeight="1" x14ac:dyDescent="0.3">
      <c r="A148" s="2" t="s">
        <v>249</v>
      </c>
      <c r="B148" s="2" t="s">
        <v>14</v>
      </c>
      <c r="C148" s="2">
        <v>1587</v>
      </c>
      <c r="D148" s="2">
        <v>385</v>
      </c>
      <c r="E148" s="2">
        <v>126582</v>
      </c>
      <c r="F148" s="2">
        <v>6.99</v>
      </c>
      <c r="G148" s="2">
        <v>42832</v>
      </c>
      <c r="H148" s="38">
        <f t="shared" si="2"/>
        <v>9.4958208908059605E-3</v>
      </c>
    </row>
    <row r="149" spans="1:8" ht="15.75" customHeight="1" x14ac:dyDescent="0.3">
      <c r="A149" s="2" t="s">
        <v>249</v>
      </c>
      <c r="B149" s="2" t="s">
        <v>27</v>
      </c>
      <c r="C149" s="2">
        <v>1707</v>
      </c>
      <c r="D149" s="2">
        <v>263</v>
      </c>
      <c r="E149" s="2">
        <v>485280</v>
      </c>
      <c r="F149" s="2">
        <v>9.0299999999999994</v>
      </c>
      <c r="G149" s="2">
        <v>24494</v>
      </c>
      <c r="H149" s="38">
        <f t="shared" si="2"/>
        <v>2.9756017144741179E-3</v>
      </c>
    </row>
    <row r="150" spans="1:8" ht="15.75" customHeight="1" x14ac:dyDescent="0.3">
      <c r="A150" s="2" t="s">
        <v>127</v>
      </c>
      <c r="B150" s="2" t="s">
        <v>33</v>
      </c>
      <c r="C150" s="2">
        <v>1138</v>
      </c>
      <c r="D150" s="2">
        <v>173</v>
      </c>
      <c r="E150" s="2">
        <v>453243</v>
      </c>
      <c r="F150" s="2">
        <v>2.86</v>
      </c>
      <c r="G150" s="2">
        <v>44097</v>
      </c>
      <c r="H150" s="38">
        <f t="shared" si="2"/>
        <v>2.1291007252180398E-3</v>
      </c>
    </row>
    <row r="151" spans="1:8" ht="15.75" customHeight="1" x14ac:dyDescent="0.3">
      <c r="A151" s="2" t="s">
        <v>127</v>
      </c>
      <c r="B151" s="2" t="s">
        <v>43</v>
      </c>
      <c r="C151" s="2">
        <v>1895</v>
      </c>
      <c r="D151" s="2">
        <v>305</v>
      </c>
      <c r="E151" s="2">
        <v>104967</v>
      </c>
      <c r="F151" s="2">
        <v>3.85</v>
      </c>
      <c r="G151" s="2">
        <v>31853</v>
      </c>
      <c r="H151" s="38">
        <f t="shared" si="2"/>
        <v>1.5147617822744291E-2</v>
      </c>
    </row>
    <row r="152" spans="1:8" ht="15.75" customHeight="1" x14ac:dyDescent="0.3">
      <c r="A152" s="2" t="s">
        <v>127</v>
      </c>
      <c r="B152" s="2" t="s">
        <v>14</v>
      </c>
      <c r="C152" s="2">
        <v>362</v>
      </c>
      <c r="D152" s="2">
        <v>399</v>
      </c>
      <c r="E152" s="2">
        <v>145608</v>
      </c>
      <c r="F152" s="2">
        <v>7.3</v>
      </c>
      <c r="G152" s="2">
        <v>37636</v>
      </c>
      <c r="H152" s="38">
        <f t="shared" si="2"/>
        <v>-2.5410691720235154E-4</v>
      </c>
    </row>
    <row r="153" spans="1:8" ht="15.75" customHeight="1" x14ac:dyDescent="0.3">
      <c r="A153" s="2" t="s">
        <v>127</v>
      </c>
      <c r="B153" s="2" t="s">
        <v>27</v>
      </c>
      <c r="C153" s="2">
        <v>1662</v>
      </c>
      <c r="D153" s="2">
        <v>487</v>
      </c>
      <c r="E153" s="2">
        <v>105980</v>
      </c>
      <c r="F153" s="2">
        <v>9.08</v>
      </c>
      <c r="G153" s="2">
        <v>22996</v>
      </c>
      <c r="H153" s="38">
        <f t="shared" si="2"/>
        <v>1.1086997546706926E-2</v>
      </c>
    </row>
    <row r="154" spans="1:8" ht="15.75" customHeight="1" x14ac:dyDescent="0.3">
      <c r="A154" s="2" t="s">
        <v>147</v>
      </c>
      <c r="B154" s="2" t="s">
        <v>33</v>
      </c>
      <c r="C154" s="2">
        <v>1440</v>
      </c>
      <c r="D154" s="2">
        <v>65</v>
      </c>
      <c r="E154" s="2">
        <v>126524</v>
      </c>
      <c r="F154" s="2">
        <v>4.34</v>
      </c>
      <c r="G154" s="2">
        <v>49772</v>
      </c>
      <c r="H154" s="38">
        <f t="shared" si="2"/>
        <v>1.0867503398564699E-2</v>
      </c>
    </row>
    <row r="155" spans="1:8" ht="15.75" customHeight="1" x14ac:dyDescent="0.3">
      <c r="A155" s="2" t="s">
        <v>147</v>
      </c>
      <c r="B155" s="2" t="s">
        <v>43</v>
      </c>
      <c r="C155" s="2">
        <v>1884</v>
      </c>
      <c r="D155" s="2">
        <v>177</v>
      </c>
      <c r="E155" s="2">
        <v>230448</v>
      </c>
      <c r="F155" s="2">
        <v>7.8</v>
      </c>
      <c r="G155" s="2">
        <v>22713</v>
      </c>
      <c r="H155" s="38">
        <f t="shared" si="2"/>
        <v>7.4073109768798169E-3</v>
      </c>
    </row>
    <row r="156" spans="1:8" ht="15.75" customHeight="1" x14ac:dyDescent="0.3">
      <c r="A156" s="2" t="s">
        <v>147</v>
      </c>
      <c r="B156" s="2" t="s">
        <v>14</v>
      </c>
      <c r="C156" s="2">
        <v>861</v>
      </c>
      <c r="D156" s="2">
        <v>153</v>
      </c>
      <c r="E156" s="2">
        <v>317007</v>
      </c>
      <c r="F156" s="2">
        <v>3.85</v>
      </c>
      <c r="G156" s="2">
        <v>8718</v>
      </c>
      <c r="H156" s="38">
        <f t="shared" si="2"/>
        <v>2.2333891680625349E-3</v>
      </c>
    </row>
    <row r="157" spans="1:8" ht="15.75" customHeight="1" x14ac:dyDescent="0.3">
      <c r="A157" s="2" t="s">
        <v>147</v>
      </c>
      <c r="B157" s="2" t="s">
        <v>27</v>
      </c>
      <c r="C157" s="2">
        <v>1063</v>
      </c>
      <c r="D157" s="2">
        <v>47</v>
      </c>
      <c r="E157" s="2">
        <v>464239</v>
      </c>
      <c r="F157" s="2">
        <v>6.58</v>
      </c>
      <c r="G157" s="2">
        <v>39031</v>
      </c>
      <c r="H157" s="38">
        <f t="shared" si="2"/>
        <v>2.1885278918832756E-3</v>
      </c>
    </row>
    <row r="158" spans="1:8" ht="15.75" customHeight="1" x14ac:dyDescent="0.3">
      <c r="A158" s="2" t="s">
        <v>197</v>
      </c>
      <c r="B158" s="2" t="s">
        <v>33</v>
      </c>
      <c r="C158" s="2">
        <v>1371</v>
      </c>
      <c r="D158" s="2">
        <v>56</v>
      </c>
      <c r="E158" s="2">
        <v>257579</v>
      </c>
      <c r="F158" s="2">
        <v>8.6199999999999992</v>
      </c>
      <c r="G158" s="2">
        <v>33799</v>
      </c>
      <c r="H158" s="38">
        <f t="shared" si="2"/>
        <v>5.1052298518124532E-3</v>
      </c>
    </row>
    <row r="159" spans="1:8" ht="15.75" customHeight="1" x14ac:dyDescent="0.3">
      <c r="A159" s="2" t="s">
        <v>197</v>
      </c>
      <c r="B159" s="2" t="s">
        <v>43</v>
      </c>
      <c r="C159" s="2">
        <v>345</v>
      </c>
      <c r="D159" s="2">
        <v>464</v>
      </c>
      <c r="E159" s="2">
        <v>366881</v>
      </c>
      <c r="F159" s="2">
        <v>4.55</v>
      </c>
      <c r="G159" s="2">
        <v>20553</v>
      </c>
      <c r="H159" s="38">
        <f t="shared" si="2"/>
        <v>-3.2435585380545735E-4</v>
      </c>
    </row>
    <row r="160" spans="1:8" ht="15.75" customHeight="1" x14ac:dyDescent="0.3">
      <c r="A160" s="2" t="s">
        <v>197</v>
      </c>
      <c r="B160" s="2" t="s">
        <v>14</v>
      </c>
      <c r="C160" s="2">
        <v>946</v>
      </c>
      <c r="D160" s="2">
        <v>47</v>
      </c>
      <c r="E160" s="2">
        <v>466575</v>
      </c>
      <c r="F160" s="2">
        <v>8.33</v>
      </c>
      <c r="G160" s="2">
        <v>10002</v>
      </c>
      <c r="H160" s="38">
        <f t="shared" si="2"/>
        <v>1.9268070513850934E-3</v>
      </c>
    </row>
    <row r="161" spans="1:8" ht="15.75" customHeight="1" x14ac:dyDescent="0.3">
      <c r="A161" s="2" t="s">
        <v>197</v>
      </c>
      <c r="B161" s="2" t="s">
        <v>27</v>
      </c>
      <c r="C161" s="2">
        <v>510</v>
      </c>
      <c r="D161" s="2">
        <v>195</v>
      </c>
      <c r="E161" s="2">
        <v>224534</v>
      </c>
      <c r="F161" s="2">
        <v>9.4</v>
      </c>
      <c r="G161" s="2">
        <v>30987</v>
      </c>
      <c r="H161" s="38">
        <f t="shared" si="2"/>
        <v>1.4029055733207443E-3</v>
      </c>
    </row>
    <row r="162" spans="1:8" ht="15.75" customHeight="1" x14ac:dyDescent="0.3">
      <c r="A162" s="2" t="s">
        <v>586</v>
      </c>
      <c r="B162" s="2" t="s">
        <v>33</v>
      </c>
      <c r="C162" s="2">
        <v>393</v>
      </c>
      <c r="D162" s="2">
        <v>181</v>
      </c>
      <c r="E162" s="2">
        <v>462142</v>
      </c>
      <c r="F162" s="2">
        <v>7.23</v>
      </c>
      <c r="G162" s="2">
        <v>6296</v>
      </c>
      <c r="H162" s="38">
        <f t="shared" si="2"/>
        <v>4.5873346287504706E-4</v>
      </c>
    </row>
    <row r="163" spans="1:8" ht="15.75" customHeight="1" x14ac:dyDescent="0.3">
      <c r="A163" s="2" t="s">
        <v>586</v>
      </c>
      <c r="B163" s="2" t="s">
        <v>43</v>
      </c>
      <c r="C163" s="2">
        <v>1098</v>
      </c>
      <c r="D163" s="2">
        <v>190</v>
      </c>
      <c r="E163" s="2">
        <v>340842</v>
      </c>
      <c r="F163" s="2">
        <v>9.39</v>
      </c>
      <c r="G163" s="2">
        <v>21539</v>
      </c>
      <c r="H163" s="38">
        <f t="shared" si="2"/>
        <v>2.6639909400836752E-3</v>
      </c>
    </row>
    <row r="164" spans="1:8" ht="15.75" customHeight="1" x14ac:dyDescent="0.3">
      <c r="A164" s="2" t="s">
        <v>586</v>
      </c>
      <c r="B164" s="2" t="s">
        <v>14</v>
      </c>
      <c r="C164" s="2">
        <v>1399</v>
      </c>
      <c r="D164" s="2">
        <v>49</v>
      </c>
      <c r="E164" s="2">
        <v>12471</v>
      </c>
      <c r="F164" s="2">
        <v>5.12</v>
      </c>
      <c r="G164" s="2">
        <v>14722</v>
      </c>
      <c r="H164" s="38">
        <f t="shared" si="2"/>
        <v>0.10825114265095021</v>
      </c>
    </row>
    <row r="165" spans="1:8" ht="15.75" customHeight="1" x14ac:dyDescent="0.3">
      <c r="A165" s="2" t="s">
        <v>586</v>
      </c>
      <c r="B165" s="2" t="s">
        <v>27</v>
      </c>
      <c r="C165" s="2">
        <v>1658</v>
      </c>
      <c r="D165" s="2">
        <v>416</v>
      </c>
      <c r="E165" s="2">
        <v>98397</v>
      </c>
      <c r="F165" s="2">
        <v>6.11</v>
      </c>
      <c r="G165" s="2">
        <v>11383</v>
      </c>
      <c r="H165" s="38">
        <f t="shared" si="2"/>
        <v>1.2622336046830695E-2</v>
      </c>
    </row>
    <row r="166" spans="1:8" ht="15.75" customHeight="1" x14ac:dyDescent="0.3">
      <c r="A166" s="2" t="s">
        <v>587</v>
      </c>
      <c r="B166" s="2" t="s">
        <v>33</v>
      </c>
      <c r="C166" s="2">
        <v>1102</v>
      </c>
      <c r="D166" s="2">
        <v>422</v>
      </c>
      <c r="E166" s="2">
        <v>410330</v>
      </c>
      <c r="F166" s="2">
        <v>7.74</v>
      </c>
      <c r="G166" s="2">
        <v>9480</v>
      </c>
      <c r="H166" s="38">
        <f t="shared" si="2"/>
        <v>1.6572027392586454E-3</v>
      </c>
    </row>
    <row r="167" spans="1:8" ht="15.75" customHeight="1" x14ac:dyDescent="0.3">
      <c r="A167" s="2" t="s">
        <v>587</v>
      </c>
      <c r="B167" s="2" t="s">
        <v>43</v>
      </c>
      <c r="C167" s="2">
        <v>1358</v>
      </c>
      <c r="D167" s="2">
        <v>242</v>
      </c>
      <c r="E167" s="2">
        <v>342129</v>
      </c>
      <c r="F167" s="2">
        <v>4.9400000000000004</v>
      </c>
      <c r="G167" s="2">
        <v>29116</v>
      </c>
      <c r="H167" s="38">
        <f t="shared" si="2"/>
        <v>3.2619275185675578E-3</v>
      </c>
    </row>
    <row r="168" spans="1:8" ht="15.75" customHeight="1" x14ac:dyDescent="0.3">
      <c r="A168" s="2" t="s">
        <v>587</v>
      </c>
      <c r="B168" s="2" t="s">
        <v>14</v>
      </c>
      <c r="C168" s="2">
        <v>1077</v>
      </c>
      <c r="D168" s="2">
        <v>216</v>
      </c>
      <c r="E168" s="2">
        <v>12447</v>
      </c>
      <c r="F168" s="2">
        <v>1.8</v>
      </c>
      <c r="G168" s="2">
        <v>14068</v>
      </c>
      <c r="H168" s="38">
        <f t="shared" si="2"/>
        <v>6.9173294769824048E-2</v>
      </c>
    </row>
    <row r="169" spans="1:8" ht="15.75" customHeight="1" x14ac:dyDescent="0.3">
      <c r="A169" s="2" t="s">
        <v>587</v>
      </c>
      <c r="B169" s="2" t="s">
        <v>27</v>
      </c>
      <c r="C169" s="2">
        <v>1596</v>
      </c>
      <c r="D169" s="2">
        <v>211</v>
      </c>
      <c r="E169" s="2">
        <v>17380</v>
      </c>
      <c r="F169" s="2">
        <v>8.64</v>
      </c>
      <c r="G169" s="2">
        <v>35801</v>
      </c>
      <c r="H169" s="38">
        <f t="shared" si="2"/>
        <v>7.9689298043728429E-2</v>
      </c>
    </row>
    <row r="170" spans="1:8" ht="15.75" customHeight="1" x14ac:dyDescent="0.3">
      <c r="A170" s="2" t="s">
        <v>234</v>
      </c>
      <c r="B170" s="2" t="s">
        <v>33</v>
      </c>
      <c r="C170" s="2">
        <v>490</v>
      </c>
      <c r="D170" s="2">
        <v>29</v>
      </c>
      <c r="E170" s="2">
        <v>364810</v>
      </c>
      <c r="F170" s="2">
        <v>1.53</v>
      </c>
      <c r="G170" s="2">
        <v>49077</v>
      </c>
      <c r="H170" s="38">
        <f t="shared" si="2"/>
        <v>1.2636715002329981E-3</v>
      </c>
    </row>
    <row r="171" spans="1:8" ht="15.75" customHeight="1" x14ac:dyDescent="0.3">
      <c r="A171" s="2" t="s">
        <v>234</v>
      </c>
      <c r="B171" s="2" t="s">
        <v>43</v>
      </c>
      <c r="C171" s="2">
        <v>609</v>
      </c>
      <c r="D171" s="2">
        <v>135</v>
      </c>
      <c r="E171" s="2">
        <v>373606</v>
      </c>
      <c r="F171" s="2">
        <v>8.52</v>
      </c>
      <c r="G171" s="2">
        <v>21453</v>
      </c>
      <c r="H171" s="38">
        <f t="shared" si="2"/>
        <v>1.268716241173857E-3</v>
      </c>
    </row>
    <row r="172" spans="1:8" ht="15.75" customHeight="1" x14ac:dyDescent="0.3">
      <c r="A172" s="2" t="s">
        <v>234</v>
      </c>
      <c r="B172" s="2" t="s">
        <v>14</v>
      </c>
      <c r="C172" s="2">
        <v>364</v>
      </c>
      <c r="D172" s="2">
        <v>72</v>
      </c>
      <c r="E172" s="2">
        <v>211090</v>
      </c>
      <c r="F172" s="2">
        <v>5.53</v>
      </c>
      <c r="G172" s="2">
        <v>21061</v>
      </c>
      <c r="H172" s="38">
        <f t="shared" si="2"/>
        <v>1.3832962243592781E-3</v>
      </c>
    </row>
    <row r="173" spans="1:8" ht="15.75" customHeight="1" x14ac:dyDescent="0.3">
      <c r="A173" s="2" t="s">
        <v>234</v>
      </c>
      <c r="B173" s="2" t="s">
        <v>27</v>
      </c>
      <c r="C173" s="2">
        <v>442</v>
      </c>
      <c r="D173" s="2">
        <v>53</v>
      </c>
      <c r="E173" s="2">
        <v>441931</v>
      </c>
      <c r="F173" s="2">
        <v>1.87</v>
      </c>
      <c r="G173" s="2">
        <v>20059</v>
      </c>
      <c r="H173" s="38">
        <f t="shared" si="2"/>
        <v>8.8022790888170322E-4</v>
      </c>
    </row>
    <row r="174" spans="1:8" ht="15.75" customHeight="1" x14ac:dyDescent="0.3">
      <c r="A174" s="2" t="s">
        <v>588</v>
      </c>
      <c r="B174" s="2" t="s">
        <v>33</v>
      </c>
      <c r="C174" s="2">
        <v>1033</v>
      </c>
      <c r="D174" s="2">
        <v>392</v>
      </c>
      <c r="E174" s="2">
        <v>282780</v>
      </c>
      <c r="F174" s="2">
        <v>6.27</v>
      </c>
      <c r="G174" s="2">
        <v>23140</v>
      </c>
      <c r="H174" s="38">
        <f t="shared" si="2"/>
        <v>2.2667798288422093E-3</v>
      </c>
    </row>
    <row r="175" spans="1:8" ht="15.75" customHeight="1" x14ac:dyDescent="0.3">
      <c r="A175" s="2" t="s">
        <v>588</v>
      </c>
      <c r="B175" s="2" t="s">
        <v>43</v>
      </c>
      <c r="C175" s="2">
        <v>988</v>
      </c>
      <c r="D175" s="2">
        <v>474</v>
      </c>
      <c r="E175" s="2">
        <v>370070</v>
      </c>
      <c r="F175" s="2">
        <v>9.4600000000000009</v>
      </c>
      <c r="G175" s="2">
        <v>23461</v>
      </c>
      <c r="H175" s="38">
        <f t="shared" si="2"/>
        <v>1.3889264193260734E-3</v>
      </c>
    </row>
    <row r="176" spans="1:8" ht="15.75" customHeight="1" x14ac:dyDescent="0.3">
      <c r="A176" s="2" t="s">
        <v>588</v>
      </c>
      <c r="B176" s="2" t="s">
        <v>14</v>
      </c>
      <c r="C176" s="2">
        <v>1946</v>
      </c>
      <c r="D176" s="2">
        <v>270</v>
      </c>
      <c r="E176" s="2">
        <v>198350</v>
      </c>
      <c r="F176" s="2">
        <v>7.5</v>
      </c>
      <c r="G176" s="2">
        <v>11805</v>
      </c>
      <c r="H176" s="38">
        <f t="shared" si="2"/>
        <v>8.4497101083942528E-3</v>
      </c>
    </row>
    <row r="177" spans="1:8" ht="15.75" customHeight="1" x14ac:dyDescent="0.3">
      <c r="A177" s="2" t="s">
        <v>588</v>
      </c>
      <c r="B177" s="2" t="s">
        <v>27</v>
      </c>
      <c r="C177" s="2">
        <v>1957</v>
      </c>
      <c r="D177" s="2">
        <v>490</v>
      </c>
      <c r="E177" s="2">
        <v>435726</v>
      </c>
      <c r="F177" s="2">
        <v>4.7300000000000004</v>
      </c>
      <c r="G177" s="2">
        <v>15969</v>
      </c>
      <c r="H177" s="38">
        <f t="shared" si="2"/>
        <v>3.3667947287974553E-3</v>
      </c>
    </row>
    <row r="178" spans="1:8" ht="15.75" customHeight="1" x14ac:dyDescent="0.3">
      <c r="A178" s="2" t="s">
        <v>412</v>
      </c>
      <c r="B178" s="2" t="s">
        <v>33</v>
      </c>
      <c r="C178" s="2">
        <v>559</v>
      </c>
      <c r="D178" s="2">
        <v>392</v>
      </c>
      <c r="E178" s="2">
        <v>78789</v>
      </c>
      <c r="F178" s="2">
        <v>3.19</v>
      </c>
      <c r="G178" s="2">
        <v>2436</v>
      </c>
      <c r="H178" s="38">
        <f t="shared" si="2"/>
        <v>2.1195852212872357E-3</v>
      </c>
    </row>
    <row r="179" spans="1:8" ht="15.75" customHeight="1" x14ac:dyDescent="0.3">
      <c r="A179" s="2" t="s">
        <v>412</v>
      </c>
      <c r="B179" s="2" t="s">
        <v>43</v>
      </c>
      <c r="C179" s="2">
        <v>1307</v>
      </c>
      <c r="D179" s="2">
        <v>278</v>
      </c>
      <c r="E179" s="2">
        <v>98596</v>
      </c>
      <c r="F179" s="2">
        <v>2.4900000000000002</v>
      </c>
      <c r="G179" s="2">
        <v>47603</v>
      </c>
      <c r="H179" s="38">
        <f t="shared" si="2"/>
        <v>1.0436528865268368E-2</v>
      </c>
    </row>
    <row r="180" spans="1:8" ht="15.75" customHeight="1" x14ac:dyDescent="0.3">
      <c r="A180" s="2" t="s">
        <v>412</v>
      </c>
      <c r="B180" s="2" t="s">
        <v>14</v>
      </c>
      <c r="C180" s="2">
        <v>1432</v>
      </c>
      <c r="D180" s="2">
        <v>425</v>
      </c>
      <c r="E180" s="2">
        <v>29589</v>
      </c>
      <c r="F180" s="2">
        <v>4.5</v>
      </c>
      <c r="G180" s="2">
        <v>42964</v>
      </c>
      <c r="H180" s="38">
        <f t="shared" si="2"/>
        <v>3.4032917638311531E-2</v>
      </c>
    </row>
    <row r="181" spans="1:8" ht="15.75" customHeight="1" x14ac:dyDescent="0.3">
      <c r="A181" s="2" t="s">
        <v>412</v>
      </c>
      <c r="B181" s="2" t="s">
        <v>27</v>
      </c>
      <c r="C181" s="2">
        <v>623</v>
      </c>
      <c r="D181" s="2">
        <v>414</v>
      </c>
      <c r="E181" s="2">
        <v>290354</v>
      </c>
      <c r="F181" s="2">
        <v>6.49</v>
      </c>
      <c r="G181" s="2">
        <v>39923</v>
      </c>
      <c r="H181" s="38">
        <f t="shared" si="2"/>
        <v>7.1981098934404211E-4</v>
      </c>
    </row>
    <row r="182" spans="1:8" ht="15.75" customHeight="1" x14ac:dyDescent="0.3">
      <c r="A182" s="2" t="s">
        <v>589</v>
      </c>
      <c r="B182" s="2" t="s">
        <v>33</v>
      </c>
      <c r="C182" s="2">
        <v>198</v>
      </c>
      <c r="D182" s="2">
        <v>358</v>
      </c>
      <c r="E182" s="2">
        <v>66682</v>
      </c>
      <c r="F182" s="2">
        <v>6.73</v>
      </c>
      <c r="G182" s="2">
        <v>2293</v>
      </c>
      <c r="H182" s="38">
        <f t="shared" si="2"/>
        <v>-2.3994481269308059E-3</v>
      </c>
    </row>
    <row r="183" spans="1:8" ht="15.75" customHeight="1" x14ac:dyDescent="0.3">
      <c r="A183" s="2" t="s">
        <v>589</v>
      </c>
      <c r="B183" s="2" t="s">
        <v>43</v>
      </c>
      <c r="C183" s="2">
        <v>198</v>
      </c>
      <c r="D183" s="2">
        <v>373</v>
      </c>
      <c r="E183" s="2">
        <v>70707</v>
      </c>
      <c r="F183" s="2">
        <v>4.83</v>
      </c>
      <c r="G183" s="2">
        <v>25920</v>
      </c>
      <c r="H183" s="38">
        <f t="shared" si="2"/>
        <v>-2.4750024750024749E-3</v>
      </c>
    </row>
    <row r="184" spans="1:8" ht="15.75" customHeight="1" x14ac:dyDescent="0.3">
      <c r="A184" s="2" t="s">
        <v>589</v>
      </c>
      <c r="B184" s="2" t="s">
        <v>14</v>
      </c>
      <c r="C184" s="2">
        <v>353</v>
      </c>
      <c r="D184" s="2">
        <v>300</v>
      </c>
      <c r="E184" s="2">
        <v>142507</v>
      </c>
      <c r="F184" s="2">
        <v>5.3</v>
      </c>
      <c r="G184" s="2">
        <v>11035</v>
      </c>
      <c r="H184" s="38">
        <f t="shared" si="2"/>
        <v>3.7191155522184875E-4</v>
      </c>
    </row>
    <row r="185" spans="1:8" ht="15.75" customHeight="1" x14ac:dyDescent="0.3">
      <c r="A185" s="2" t="s">
        <v>589</v>
      </c>
      <c r="B185" s="2" t="s">
        <v>27</v>
      </c>
      <c r="C185" s="2">
        <v>520</v>
      </c>
      <c r="D185" s="2">
        <v>375</v>
      </c>
      <c r="E185" s="2">
        <v>369525</v>
      </c>
      <c r="F185" s="2">
        <v>6.54</v>
      </c>
      <c r="G185" s="2">
        <v>20733</v>
      </c>
      <c r="H185" s="38">
        <f t="shared" si="2"/>
        <v>3.9239564305527366E-4</v>
      </c>
    </row>
    <row r="186" spans="1:8" ht="15.75" customHeight="1" x14ac:dyDescent="0.3">
      <c r="A186" s="2" t="s">
        <v>590</v>
      </c>
      <c r="B186" s="2" t="s">
        <v>33</v>
      </c>
      <c r="C186" s="2">
        <v>961</v>
      </c>
      <c r="D186" s="2">
        <v>358</v>
      </c>
      <c r="E186" s="2">
        <v>62942</v>
      </c>
      <c r="F186" s="2">
        <v>6.8</v>
      </c>
      <c r="G186" s="2">
        <v>18693</v>
      </c>
      <c r="H186" s="38">
        <f t="shared" si="2"/>
        <v>9.5802484827301332E-3</v>
      </c>
    </row>
    <row r="187" spans="1:8" ht="15.75" customHeight="1" x14ac:dyDescent="0.3">
      <c r="A187" s="2" t="s">
        <v>590</v>
      </c>
      <c r="B187" s="2" t="s">
        <v>43</v>
      </c>
      <c r="C187" s="2">
        <v>1375</v>
      </c>
      <c r="D187" s="2">
        <v>330</v>
      </c>
      <c r="E187" s="2">
        <v>377382</v>
      </c>
      <c r="F187" s="2">
        <v>2.6</v>
      </c>
      <c r="G187" s="2">
        <v>7875</v>
      </c>
      <c r="H187" s="38">
        <f t="shared" si="2"/>
        <v>2.7690774864725927E-3</v>
      </c>
    </row>
    <row r="188" spans="1:8" ht="15.75" customHeight="1" x14ac:dyDescent="0.3">
      <c r="A188" s="2" t="s">
        <v>590</v>
      </c>
      <c r="B188" s="2" t="s">
        <v>14</v>
      </c>
      <c r="C188" s="2">
        <v>1147</v>
      </c>
      <c r="D188" s="2">
        <v>388</v>
      </c>
      <c r="E188" s="2">
        <v>333851</v>
      </c>
      <c r="F188" s="2">
        <v>2.44</v>
      </c>
      <c r="G188" s="2">
        <v>8471</v>
      </c>
      <c r="H188" s="38">
        <f t="shared" si="2"/>
        <v>2.2734693021737242E-3</v>
      </c>
    </row>
    <row r="189" spans="1:8" ht="15.75" customHeight="1" x14ac:dyDescent="0.3">
      <c r="A189" s="2" t="s">
        <v>590</v>
      </c>
      <c r="B189" s="2" t="s">
        <v>27</v>
      </c>
      <c r="C189" s="2">
        <v>1707</v>
      </c>
      <c r="D189" s="2">
        <v>74</v>
      </c>
      <c r="E189" s="2">
        <v>270958</v>
      </c>
      <c r="F189" s="2">
        <v>3.09</v>
      </c>
      <c r="G189" s="2">
        <v>14090</v>
      </c>
      <c r="H189" s="38">
        <f t="shared" si="2"/>
        <v>6.0267642955734836E-3</v>
      </c>
    </row>
    <row r="190" spans="1:8" ht="15.75" customHeight="1" x14ac:dyDescent="0.3">
      <c r="A190" s="2" t="s">
        <v>364</v>
      </c>
      <c r="B190" s="2" t="s">
        <v>33</v>
      </c>
      <c r="C190" s="2">
        <v>1693</v>
      </c>
      <c r="D190" s="2">
        <v>154</v>
      </c>
      <c r="E190" s="2">
        <v>445944</v>
      </c>
      <c r="F190" s="2">
        <v>5.69</v>
      </c>
      <c r="G190" s="2">
        <v>14216</v>
      </c>
      <c r="H190" s="38">
        <f t="shared" si="2"/>
        <v>3.4511059684624078E-3</v>
      </c>
    </row>
    <row r="191" spans="1:8" ht="15.75" customHeight="1" x14ac:dyDescent="0.3">
      <c r="A191" s="2" t="s">
        <v>364</v>
      </c>
      <c r="B191" s="2" t="s">
        <v>43</v>
      </c>
      <c r="C191" s="2">
        <v>833</v>
      </c>
      <c r="D191" s="2">
        <v>380</v>
      </c>
      <c r="E191" s="2">
        <v>224830</v>
      </c>
      <c r="F191" s="2">
        <v>3.86</v>
      </c>
      <c r="G191" s="2">
        <v>3582</v>
      </c>
      <c r="H191" s="38">
        <f t="shared" si="2"/>
        <v>2.014855668727483E-3</v>
      </c>
    </row>
    <row r="192" spans="1:8" ht="15.75" customHeight="1" x14ac:dyDescent="0.3">
      <c r="A192" s="2" t="s">
        <v>364</v>
      </c>
      <c r="B192" s="2" t="s">
        <v>14</v>
      </c>
      <c r="C192" s="2">
        <v>1222</v>
      </c>
      <c r="D192" s="2">
        <v>274</v>
      </c>
      <c r="E192" s="2">
        <v>487289</v>
      </c>
      <c r="F192" s="2">
        <v>3.16</v>
      </c>
      <c r="G192" s="2">
        <v>32500</v>
      </c>
      <c r="H192" s="38">
        <f t="shared" si="2"/>
        <v>1.9454574184929272E-3</v>
      </c>
    </row>
    <row r="193" spans="1:8" ht="15.75" customHeight="1" x14ac:dyDescent="0.3">
      <c r="A193" s="2" t="s">
        <v>364</v>
      </c>
      <c r="B193" s="2" t="s">
        <v>27</v>
      </c>
      <c r="C193" s="2">
        <v>777</v>
      </c>
      <c r="D193" s="2">
        <v>140</v>
      </c>
      <c r="E193" s="2">
        <v>11435</v>
      </c>
      <c r="F193" s="2">
        <v>1.6</v>
      </c>
      <c r="G193" s="2">
        <v>6832</v>
      </c>
      <c r="H193" s="38">
        <f t="shared" si="2"/>
        <v>5.5706165282028861E-2</v>
      </c>
    </row>
    <row r="194" spans="1:8" ht="15.75" customHeight="1" x14ac:dyDescent="0.3">
      <c r="A194" s="2" t="s">
        <v>79</v>
      </c>
      <c r="B194" s="2" t="s">
        <v>33</v>
      </c>
      <c r="C194" s="2">
        <v>1957</v>
      </c>
      <c r="D194" s="2">
        <v>76</v>
      </c>
      <c r="E194" s="2">
        <v>447902</v>
      </c>
      <c r="F194" s="2">
        <v>6.09</v>
      </c>
      <c r="G194" s="2">
        <v>33381</v>
      </c>
      <c r="H194" s="38">
        <f t="shared" si="2"/>
        <v>4.1995793722733989E-3</v>
      </c>
    </row>
    <row r="195" spans="1:8" ht="15.75" customHeight="1" x14ac:dyDescent="0.3">
      <c r="A195" s="2" t="s">
        <v>79</v>
      </c>
      <c r="B195" s="2" t="s">
        <v>43</v>
      </c>
      <c r="C195" s="2">
        <v>405</v>
      </c>
      <c r="D195" s="2">
        <v>66</v>
      </c>
      <c r="E195" s="2">
        <v>418696</v>
      </c>
      <c r="F195" s="2">
        <v>5.59</v>
      </c>
      <c r="G195" s="2">
        <v>48419</v>
      </c>
      <c r="H195" s="38">
        <f t="shared" ref="H195:H201" si="3">(C195-D195)/E195</f>
        <v>8.0965664826031301E-4</v>
      </c>
    </row>
    <row r="196" spans="1:8" ht="15.75" customHeight="1" x14ac:dyDescent="0.3">
      <c r="A196" s="2" t="s">
        <v>79</v>
      </c>
      <c r="B196" s="2" t="s">
        <v>14</v>
      </c>
      <c r="C196" s="2">
        <v>1581</v>
      </c>
      <c r="D196" s="2">
        <v>71</v>
      </c>
      <c r="E196" s="2">
        <v>484364</v>
      </c>
      <c r="F196" s="2">
        <v>3.55</v>
      </c>
      <c r="G196" s="2">
        <v>16149</v>
      </c>
      <c r="H196" s="38">
        <f t="shared" si="3"/>
        <v>3.1174901520344203E-3</v>
      </c>
    </row>
    <row r="197" spans="1:8" ht="15.75" customHeight="1" x14ac:dyDescent="0.3">
      <c r="A197" s="2" t="s">
        <v>79</v>
      </c>
      <c r="B197" s="2" t="s">
        <v>27</v>
      </c>
      <c r="C197" s="2">
        <v>1035</v>
      </c>
      <c r="D197" s="2">
        <v>171</v>
      </c>
      <c r="E197" s="2">
        <v>148477</v>
      </c>
      <c r="F197" s="2">
        <v>5.21</v>
      </c>
      <c r="G197" s="2">
        <v>7541</v>
      </c>
      <c r="H197" s="38">
        <f t="shared" si="3"/>
        <v>5.8190830903102836E-3</v>
      </c>
    </row>
    <row r="198" spans="1:8" ht="15.75" customHeight="1" x14ac:dyDescent="0.3">
      <c r="A198" s="2" t="s">
        <v>28</v>
      </c>
      <c r="B198" s="2" t="s">
        <v>33</v>
      </c>
      <c r="C198" s="2">
        <v>1765</v>
      </c>
      <c r="D198" s="2">
        <v>109</v>
      </c>
      <c r="E198" s="2">
        <v>468301</v>
      </c>
      <c r="F198" s="2">
        <v>1.82</v>
      </c>
      <c r="G198" s="2">
        <v>20042</v>
      </c>
      <c r="H198" s="38">
        <f t="shared" si="3"/>
        <v>3.5361871958419907E-3</v>
      </c>
    </row>
    <row r="199" spans="1:8" ht="15.75" customHeight="1" x14ac:dyDescent="0.3">
      <c r="A199" s="2" t="s">
        <v>28</v>
      </c>
      <c r="B199" s="2" t="s">
        <v>43</v>
      </c>
      <c r="C199" s="2">
        <v>837</v>
      </c>
      <c r="D199" s="2">
        <v>430</v>
      </c>
      <c r="E199" s="2">
        <v>364820</v>
      </c>
      <c r="F199" s="2">
        <v>4</v>
      </c>
      <c r="G199" s="2">
        <v>49400</v>
      </c>
      <c r="H199" s="38">
        <f t="shared" si="3"/>
        <v>1.1156186612576065E-3</v>
      </c>
    </row>
    <row r="200" spans="1:8" ht="15.75" customHeight="1" x14ac:dyDescent="0.3">
      <c r="A200" s="2" t="s">
        <v>28</v>
      </c>
      <c r="B200" s="2" t="s">
        <v>14</v>
      </c>
      <c r="C200" s="2">
        <v>337</v>
      </c>
      <c r="D200" s="2">
        <v>68</v>
      </c>
      <c r="E200" s="2">
        <v>456298</v>
      </c>
      <c r="F200" s="2">
        <v>7.57</v>
      </c>
      <c r="G200" s="2">
        <v>4007</v>
      </c>
      <c r="H200" s="38">
        <f t="shared" si="3"/>
        <v>5.8952701962314107E-4</v>
      </c>
    </row>
    <row r="201" spans="1:8" ht="15.75" customHeight="1" x14ac:dyDescent="0.3">
      <c r="A201" s="2" t="s">
        <v>28</v>
      </c>
      <c r="B201" s="2" t="s">
        <v>27</v>
      </c>
      <c r="C201" s="2">
        <v>119</v>
      </c>
      <c r="D201" s="2">
        <v>456</v>
      </c>
      <c r="E201" s="2">
        <v>82558</v>
      </c>
      <c r="F201" s="2">
        <v>6.81</v>
      </c>
      <c r="G201" s="2">
        <v>12174</v>
      </c>
      <c r="H201" s="38">
        <f t="shared" si="3"/>
        <v>-4.0819787301048958E-3</v>
      </c>
    </row>
    <row r="202" spans="1:8" ht="15.75" customHeight="1" x14ac:dyDescent="0.3"/>
    <row r="203" spans="1:8" ht="15.75" customHeight="1" x14ac:dyDescent="0.3"/>
    <row r="204" spans="1:8" ht="15.75" customHeight="1" x14ac:dyDescent="0.3"/>
    <row r="205" spans="1:8" ht="15.75" customHeight="1" x14ac:dyDescent="0.3"/>
    <row r="206" spans="1:8" ht="15.75" customHeight="1" x14ac:dyDescent="0.3"/>
    <row r="207" spans="1:8" ht="15.75" customHeight="1" x14ac:dyDescent="0.3"/>
    <row r="208" spans="1: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23916B-EE08-4F20-8A45-EDBD0BB615BC}">
  <dimension ref="A1:Q301"/>
  <sheetViews>
    <sheetView workbookViewId="0"/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41.55468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t="s">
        <v>621</v>
      </c>
    </row>
    <row r="2" spans="1:17" x14ac:dyDescent="0.3">
      <c r="A2" t="s">
        <v>13</v>
      </c>
      <c r="B2" t="s">
        <v>14</v>
      </c>
      <c r="C2" s="5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</row>
    <row r="3" spans="1:17" x14ac:dyDescent="0.3">
      <c r="A3" t="s">
        <v>20</v>
      </c>
      <c r="B3" t="s">
        <v>14</v>
      </c>
      <c r="C3" s="5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</row>
    <row r="4" spans="1:17" x14ac:dyDescent="0.3">
      <c r="A4" t="s">
        <v>26</v>
      </c>
      <c r="B4" t="s">
        <v>27</v>
      </c>
      <c r="C4" s="5">
        <v>45789</v>
      </c>
      <c r="D4" t="s">
        <v>16</v>
      </c>
      <c r="E4" t="s">
        <v>29</v>
      </c>
      <c r="F4">
        <v>2795</v>
      </c>
      <c r="G4">
        <v>105</v>
      </c>
      <c r="H4">
        <v>49</v>
      </c>
      <c r="I4">
        <v>53105</v>
      </c>
      <c r="J4">
        <v>52307</v>
      </c>
      <c r="K4">
        <v>204</v>
      </c>
      <c r="L4" t="s">
        <v>30</v>
      </c>
      <c r="O4" t="s">
        <v>31</v>
      </c>
      <c r="P4" t="s">
        <v>31</v>
      </c>
    </row>
    <row r="5" spans="1:17" x14ac:dyDescent="0.3">
      <c r="A5" t="s">
        <v>32</v>
      </c>
      <c r="B5" t="s">
        <v>33</v>
      </c>
      <c r="C5" s="5">
        <v>45516</v>
      </c>
      <c r="D5" t="s">
        <v>35</v>
      </c>
      <c r="E5" t="s">
        <v>36</v>
      </c>
      <c r="F5">
        <v>2404</v>
      </c>
      <c r="G5">
        <v>363</v>
      </c>
      <c r="H5">
        <v>138</v>
      </c>
      <c r="I5">
        <v>19232</v>
      </c>
      <c r="J5">
        <v>18636</v>
      </c>
      <c r="K5">
        <v>128</v>
      </c>
      <c r="L5" t="s">
        <v>37</v>
      </c>
      <c r="O5" t="s">
        <v>38</v>
      </c>
      <c r="P5" t="s">
        <v>38</v>
      </c>
    </row>
    <row r="6" spans="1:17" x14ac:dyDescent="0.3">
      <c r="A6" t="s">
        <v>39</v>
      </c>
      <c r="B6" t="s">
        <v>27</v>
      </c>
      <c r="C6" s="5">
        <v>45469</v>
      </c>
      <c r="D6" t="s">
        <v>16</v>
      </c>
      <c r="E6" t="s">
        <v>29</v>
      </c>
      <c r="F6">
        <v>3557</v>
      </c>
      <c r="G6">
        <v>687</v>
      </c>
      <c r="H6">
        <v>424</v>
      </c>
      <c r="I6">
        <v>71140</v>
      </c>
      <c r="J6">
        <v>70701</v>
      </c>
      <c r="K6">
        <v>224</v>
      </c>
      <c r="L6" t="s">
        <v>37</v>
      </c>
      <c r="M6" t="s">
        <v>30</v>
      </c>
      <c r="O6" t="s">
        <v>19</v>
      </c>
      <c r="P6" t="s">
        <v>19</v>
      </c>
    </row>
    <row r="7" spans="1:17" x14ac:dyDescent="0.3">
      <c r="A7" t="s">
        <v>42</v>
      </c>
      <c r="B7" t="s">
        <v>43</v>
      </c>
      <c r="C7" s="5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  <c r="P7" t="s">
        <v>25</v>
      </c>
    </row>
    <row r="8" spans="1:17" x14ac:dyDescent="0.3">
      <c r="A8" t="s">
        <v>47</v>
      </c>
      <c r="B8" t="s">
        <v>14</v>
      </c>
      <c r="C8" s="5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  <c r="P8" t="s">
        <v>25</v>
      </c>
    </row>
    <row r="9" spans="1:17" x14ac:dyDescent="0.3">
      <c r="A9" t="s">
        <v>50</v>
      </c>
      <c r="B9" t="s">
        <v>27</v>
      </c>
      <c r="C9" s="5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  <c r="P9" t="s">
        <v>38</v>
      </c>
    </row>
    <row r="10" spans="1:17" x14ac:dyDescent="0.3">
      <c r="A10" t="s">
        <v>54</v>
      </c>
      <c r="B10" t="s">
        <v>43</v>
      </c>
      <c r="C10" s="5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</row>
    <row r="11" spans="1:17" x14ac:dyDescent="0.3">
      <c r="A11" t="s">
        <v>57</v>
      </c>
      <c r="B11" t="s">
        <v>43</v>
      </c>
      <c r="C11" s="5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</row>
    <row r="12" spans="1:17" x14ac:dyDescent="0.3">
      <c r="A12" t="s">
        <v>60</v>
      </c>
      <c r="B12" t="s">
        <v>33</v>
      </c>
      <c r="C12" s="5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</row>
    <row r="13" spans="1:17" x14ac:dyDescent="0.3">
      <c r="A13" t="s">
        <v>63</v>
      </c>
      <c r="B13" t="s">
        <v>43</v>
      </c>
      <c r="C13" s="5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</row>
    <row r="14" spans="1:17" x14ac:dyDescent="0.3">
      <c r="A14" t="s">
        <v>66</v>
      </c>
      <c r="B14" t="s">
        <v>27</v>
      </c>
      <c r="C14" s="5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</row>
    <row r="15" spans="1:17" x14ac:dyDescent="0.3">
      <c r="A15" t="s">
        <v>69</v>
      </c>
      <c r="B15" t="s">
        <v>43</v>
      </c>
      <c r="C15" s="5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</row>
    <row r="16" spans="1:17" x14ac:dyDescent="0.3">
      <c r="A16" t="s">
        <v>72</v>
      </c>
      <c r="B16" t="s">
        <v>43</v>
      </c>
      <c r="C16" s="5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</row>
    <row r="17" spans="1:16" x14ac:dyDescent="0.3">
      <c r="A17" t="s">
        <v>76</v>
      </c>
      <c r="B17" t="s">
        <v>43</v>
      </c>
      <c r="C17" s="5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</row>
    <row r="18" spans="1:16" x14ac:dyDescent="0.3">
      <c r="A18" t="s">
        <v>78</v>
      </c>
      <c r="B18" t="s">
        <v>43</v>
      </c>
      <c r="C18" s="5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</row>
    <row r="19" spans="1:16" x14ac:dyDescent="0.3">
      <c r="A19" t="s">
        <v>80</v>
      </c>
      <c r="B19" t="s">
        <v>33</v>
      </c>
      <c r="C19" s="5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</row>
    <row r="20" spans="1:16" x14ac:dyDescent="0.3">
      <c r="A20" t="s">
        <v>83</v>
      </c>
      <c r="B20" t="s">
        <v>33</v>
      </c>
      <c r="C20" s="5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</row>
    <row r="21" spans="1:16" x14ac:dyDescent="0.3">
      <c r="A21" t="s">
        <v>86</v>
      </c>
      <c r="B21" t="s">
        <v>33</v>
      </c>
      <c r="C21" s="5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</row>
    <row r="22" spans="1:16" x14ac:dyDescent="0.3">
      <c r="A22" t="s">
        <v>89</v>
      </c>
      <c r="B22" t="s">
        <v>33</v>
      </c>
      <c r="C22" s="5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</row>
    <row r="23" spans="1:16" x14ac:dyDescent="0.3">
      <c r="A23" t="s">
        <v>91</v>
      </c>
      <c r="B23" t="s">
        <v>43</v>
      </c>
      <c r="C23" s="5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</row>
    <row r="24" spans="1:16" x14ac:dyDescent="0.3">
      <c r="A24" t="s">
        <v>93</v>
      </c>
      <c r="B24" t="s">
        <v>43</v>
      </c>
      <c r="C24" s="5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</row>
    <row r="25" spans="1:16" x14ac:dyDescent="0.3">
      <c r="A25" t="s">
        <v>96</v>
      </c>
      <c r="B25" t="s">
        <v>43</v>
      </c>
      <c r="C25" s="5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</row>
    <row r="26" spans="1:16" x14ac:dyDescent="0.3">
      <c r="A26" t="s">
        <v>98</v>
      </c>
      <c r="B26" t="s">
        <v>14</v>
      </c>
      <c r="C26" s="5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</row>
    <row r="27" spans="1:16" x14ac:dyDescent="0.3">
      <c r="A27" t="s">
        <v>100</v>
      </c>
      <c r="B27" t="s">
        <v>27</v>
      </c>
      <c r="C27" s="5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</row>
    <row r="28" spans="1:16" x14ac:dyDescent="0.3">
      <c r="A28" t="s">
        <v>102</v>
      </c>
      <c r="B28" t="s">
        <v>27</v>
      </c>
      <c r="C28" s="5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</row>
    <row r="29" spans="1:16" x14ac:dyDescent="0.3">
      <c r="A29" t="s">
        <v>105</v>
      </c>
      <c r="B29" t="s">
        <v>33</v>
      </c>
      <c r="C29" s="5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</row>
    <row r="30" spans="1:16" x14ac:dyDescent="0.3">
      <c r="A30" t="s">
        <v>107</v>
      </c>
      <c r="B30" t="s">
        <v>33</v>
      </c>
      <c r="C30" s="5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</row>
    <row r="31" spans="1:16" x14ac:dyDescent="0.3">
      <c r="A31" t="s">
        <v>109</v>
      </c>
      <c r="B31" t="s">
        <v>33</v>
      </c>
      <c r="C31" s="5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</row>
    <row r="32" spans="1:16" x14ac:dyDescent="0.3">
      <c r="A32" t="s">
        <v>111</v>
      </c>
      <c r="B32" t="s">
        <v>33</v>
      </c>
      <c r="C32" s="5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</row>
    <row r="33" spans="1:16" x14ac:dyDescent="0.3">
      <c r="A33" t="s">
        <v>114</v>
      </c>
      <c r="B33" t="s">
        <v>14</v>
      </c>
      <c r="C33" s="5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</row>
    <row r="34" spans="1:16" x14ac:dyDescent="0.3">
      <c r="A34" t="s">
        <v>116</v>
      </c>
      <c r="B34" t="s">
        <v>43</v>
      </c>
      <c r="C34" s="5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</row>
    <row r="35" spans="1:16" x14ac:dyDescent="0.3">
      <c r="A35" t="s">
        <v>118</v>
      </c>
      <c r="B35" t="s">
        <v>43</v>
      </c>
      <c r="C35" s="5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</row>
    <row r="36" spans="1:16" x14ac:dyDescent="0.3">
      <c r="A36" t="s">
        <v>120</v>
      </c>
      <c r="B36" t="s">
        <v>33</v>
      </c>
      <c r="C36" s="5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</row>
    <row r="37" spans="1:16" x14ac:dyDescent="0.3">
      <c r="A37" t="s">
        <v>122</v>
      </c>
      <c r="B37" t="s">
        <v>33</v>
      </c>
      <c r="C37" s="5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</row>
    <row r="38" spans="1:16" x14ac:dyDescent="0.3">
      <c r="A38" t="s">
        <v>124</v>
      </c>
      <c r="B38" t="s">
        <v>43</v>
      </c>
      <c r="C38" s="5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</row>
    <row r="39" spans="1:16" x14ac:dyDescent="0.3">
      <c r="A39" t="s">
        <v>126</v>
      </c>
      <c r="B39" t="s">
        <v>27</v>
      </c>
      <c r="C39" s="5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</row>
    <row r="40" spans="1:16" x14ac:dyDescent="0.3">
      <c r="A40" t="s">
        <v>128</v>
      </c>
      <c r="B40" t="s">
        <v>43</v>
      </c>
      <c r="C40" s="5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</row>
    <row r="41" spans="1:16" x14ac:dyDescent="0.3">
      <c r="A41" t="s">
        <v>130</v>
      </c>
      <c r="B41" t="s">
        <v>14</v>
      </c>
      <c r="C41" s="5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</row>
    <row r="42" spans="1:16" x14ac:dyDescent="0.3">
      <c r="A42" t="s">
        <v>133</v>
      </c>
      <c r="B42" t="s">
        <v>33</v>
      </c>
      <c r="C42" s="5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</row>
    <row r="43" spans="1:16" x14ac:dyDescent="0.3">
      <c r="A43" t="s">
        <v>135</v>
      </c>
      <c r="B43" t="s">
        <v>27</v>
      </c>
      <c r="C43" s="5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</row>
    <row r="44" spans="1:16" x14ac:dyDescent="0.3">
      <c r="A44" t="s">
        <v>137</v>
      </c>
      <c r="B44" t="s">
        <v>33</v>
      </c>
      <c r="C44" s="5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</row>
    <row r="45" spans="1:16" x14ac:dyDescent="0.3">
      <c r="A45" t="s">
        <v>139</v>
      </c>
      <c r="B45" t="s">
        <v>14</v>
      </c>
      <c r="C45" s="5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</row>
    <row r="46" spans="1:16" x14ac:dyDescent="0.3">
      <c r="A46" t="s">
        <v>141</v>
      </c>
      <c r="B46" t="s">
        <v>43</v>
      </c>
      <c r="C46" s="5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</row>
    <row r="47" spans="1:16" x14ac:dyDescent="0.3">
      <c r="A47" t="s">
        <v>143</v>
      </c>
      <c r="B47" t="s">
        <v>14</v>
      </c>
      <c r="C47" s="5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</row>
    <row r="48" spans="1:16" x14ac:dyDescent="0.3">
      <c r="A48" t="s">
        <v>146</v>
      </c>
      <c r="B48" t="s">
        <v>14</v>
      </c>
      <c r="C48" s="5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</row>
    <row r="49" spans="1:17" x14ac:dyDescent="0.3">
      <c r="A49" t="s">
        <v>148</v>
      </c>
      <c r="B49" t="s">
        <v>14</v>
      </c>
      <c r="C49" s="5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</row>
    <row r="50" spans="1:17" x14ac:dyDescent="0.3">
      <c r="A50" t="s">
        <v>150</v>
      </c>
      <c r="B50" t="s">
        <v>14</v>
      </c>
      <c r="C50" s="5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</row>
    <row r="51" spans="1:17" x14ac:dyDescent="0.3">
      <c r="A51" t="s">
        <v>152</v>
      </c>
      <c r="B51" t="s">
        <v>27</v>
      </c>
      <c r="C51" s="5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</row>
    <row r="52" spans="1:17" x14ac:dyDescent="0.3">
      <c r="A52" t="s">
        <v>155</v>
      </c>
      <c r="B52" t="s">
        <v>43</v>
      </c>
      <c r="C52" s="5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</row>
    <row r="53" spans="1:17" x14ac:dyDescent="0.3">
      <c r="A53" t="s">
        <v>157</v>
      </c>
      <c r="B53" t="s">
        <v>43</v>
      </c>
      <c r="C53" s="5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</row>
    <row r="54" spans="1:17" x14ac:dyDescent="0.3">
      <c r="A54" t="s">
        <v>159</v>
      </c>
      <c r="B54" t="s">
        <v>27</v>
      </c>
      <c r="C54" s="5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</row>
    <row r="55" spans="1:17" x14ac:dyDescent="0.3">
      <c r="A55" t="s">
        <v>161</v>
      </c>
      <c r="B55" t="s">
        <v>27</v>
      </c>
      <c r="C55" s="5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</row>
    <row r="56" spans="1:17" x14ac:dyDescent="0.3">
      <c r="A56" t="s">
        <v>163</v>
      </c>
      <c r="B56" t="s">
        <v>43</v>
      </c>
      <c r="C56" s="5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</row>
    <row r="57" spans="1:17" x14ac:dyDescent="0.3">
      <c r="A57" t="s">
        <v>165</v>
      </c>
      <c r="B57" t="s">
        <v>43</v>
      </c>
      <c r="C57" s="5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</row>
    <row r="58" spans="1:17" x14ac:dyDescent="0.3">
      <c r="A58" t="s">
        <v>167</v>
      </c>
      <c r="B58" t="s">
        <v>14</v>
      </c>
      <c r="C58" s="5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</row>
    <row r="59" spans="1:17" x14ac:dyDescent="0.3">
      <c r="A59" t="s">
        <v>169</v>
      </c>
      <c r="B59" t="s">
        <v>33</v>
      </c>
      <c r="C59" s="5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</row>
    <row r="60" spans="1:17" x14ac:dyDescent="0.3">
      <c r="A60" t="s">
        <v>171</v>
      </c>
      <c r="B60" t="s">
        <v>33</v>
      </c>
      <c r="C60" s="5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</row>
    <row r="61" spans="1:17" x14ac:dyDescent="0.3">
      <c r="A61" t="s">
        <v>173</v>
      </c>
      <c r="B61" t="s">
        <v>33</v>
      </c>
      <c r="C61" s="5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t="s">
        <v>25</v>
      </c>
    </row>
    <row r="62" spans="1:17" x14ac:dyDescent="0.3">
      <c r="A62" t="s">
        <v>176</v>
      </c>
      <c r="B62" t="s">
        <v>14</v>
      </c>
      <c r="C62" s="5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</row>
    <row r="63" spans="1:17" x14ac:dyDescent="0.3">
      <c r="A63" t="s">
        <v>178</v>
      </c>
      <c r="B63" t="s">
        <v>14</v>
      </c>
      <c r="C63" s="5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</row>
    <row r="64" spans="1:17" x14ac:dyDescent="0.3">
      <c r="A64" t="s">
        <v>180</v>
      </c>
      <c r="B64" t="s">
        <v>14</v>
      </c>
      <c r="C64" s="5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</row>
    <row r="65" spans="1:16" x14ac:dyDescent="0.3">
      <c r="A65" t="s">
        <v>181</v>
      </c>
      <c r="B65" t="s">
        <v>43</v>
      </c>
      <c r="C65" s="5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</row>
    <row r="66" spans="1:16" x14ac:dyDescent="0.3">
      <c r="A66" t="s">
        <v>183</v>
      </c>
      <c r="B66" t="s">
        <v>33</v>
      </c>
      <c r="C66" s="5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</row>
    <row r="67" spans="1:16" x14ac:dyDescent="0.3">
      <c r="A67" t="s">
        <v>185</v>
      </c>
      <c r="B67" t="s">
        <v>14</v>
      </c>
      <c r="C67" s="5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</row>
    <row r="68" spans="1:16" x14ac:dyDescent="0.3">
      <c r="A68" t="s">
        <v>187</v>
      </c>
      <c r="B68" t="s">
        <v>43</v>
      </c>
      <c r="C68" s="5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</row>
    <row r="69" spans="1:16" x14ac:dyDescent="0.3">
      <c r="A69" t="s">
        <v>189</v>
      </c>
      <c r="B69" t="s">
        <v>33</v>
      </c>
      <c r="C69" s="5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</row>
    <row r="70" spans="1:16" x14ac:dyDescent="0.3">
      <c r="A70" t="s">
        <v>191</v>
      </c>
      <c r="B70" t="s">
        <v>14</v>
      </c>
      <c r="C70" s="5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</row>
    <row r="71" spans="1:16" x14ac:dyDescent="0.3">
      <c r="A71" t="s">
        <v>192</v>
      </c>
      <c r="B71" t="s">
        <v>43</v>
      </c>
      <c r="C71" s="5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</row>
    <row r="72" spans="1:16" x14ac:dyDescent="0.3">
      <c r="A72" t="s">
        <v>194</v>
      </c>
      <c r="B72" t="s">
        <v>27</v>
      </c>
      <c r="C72" s="5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</row>
    <row r="73" spans="1:16" x14ac:dyDescent="0.3">
      <c r="A73" t="s">
        <v>196</v>
      </c>
      <c r="B73" t="s">
        <v>27</v>
      </c>
      <c r="C73" s="5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</row>
    <row r="74" spans="1:16" x14ac:dyDescent="0.3">
      <c r="A74" t="s">
        <v>198</v>
      </c>
      <c r="B74" t="s">
        <v>43</v>
      </c>
      <c r="C74" s="5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</row>
    <row r="75" spans="1:16" x14ac:dyDescent="0.3">
      <c r="A75" t="s">
        <v>200</v>
      </c>
      <c r="B75" t="s">
        <v>27</v>
      </c>
      <c r="C75" s="5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</row>
    <row r="76" spans="1:16" x14ac:dyDescent="0.3">
      <c r="A76" t="s">
        <v>202</v>
      </c>
      <c r="B76" t="s">
        <v>33</v>
      </c>
      <c r="C76" s="5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</row>
    <row r="77" spans="1:16" x14ac:dyDescent="0.3">
      <c r="A77" t="s">
        <v>204</v>
      </c>
      <c r="B77" t="s">
        <v>14</v>
      </c>
      <c r="C77" s="5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</row>
    <row r="78" spans="1:16" x14ac:dyDescent="0.3">
      <c r="A78" t="s">
        <v>206</v>
      </c>
      <c r="B78" t="s">
        <v>43</v>
      </c>
      <c r="C78" s="5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</row>
    <row r="79" spans="1:16" x14ac:dyDescent="0.3">
      <c r="A79" t="s">
        <v>207</v>
      </c>
      <c r="B79" t="s">
        <v>14</v>
      </c>
      <c r="C79" s="5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</row>
    <row r="80" spans="1:16" x14ac:dyDescent="0.3">
      <c r="A80" t="s">
        <v>208</v>
      </c>
      <c r="B80" t="s">
        <v>33</v>
      </c>
      <c r="C80" s="5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</row>
    <row r="81" spans="1:17" x14ac:dyDescent="0.3">
      <c r="A81" t="s">
        <v>210</v>
      </c>
      <c r="B81" t="s">
        <v>33</v>
      </c>
      <c r="C81" s="5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</row>
    <row r="82" spans="1:17" x14ac:dyDescent="0.3">
      <c r="A82" t="s">
        <v>211</v>
      </c>
      <c r="B82" t="s">
        <v>33</v>
      </c>
      <c r="C82" s="5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</row>
    <row r="83" spans="1:17" x14ac:dyDescent="0.3">
      <c r="A83" t="s">
        <v>213</v>
      </c>
      <c r="B83" t="s">
        <v>33</v>
      </c>
      <c r="C83" s="5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t="s">
        <v>25</v>
      </c>
    </row>
    <row r="84" spans="1:17" x14ac:dyDescent="0.3">
      <c r="A84" t="s">
        <v>217</v>
      </c>
      <c r="B84" t="s">
        <v>27</v>
      </c>
      <c r="C84" s="5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</row>
    <row r="85" spans="1:17" x14ac:dyDescent="0.3">
      <c r="A85" t="s">
        <v>220</v>
      </c>
      <c r="B85" t="s">
        <v>43</v>
      </c>
      <c r="C85" s="5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</row>
    <row r="86" spans="1:17" x14ac:dyDescent="0.3">
      <c r="A86" t="s">
        <v>222</v>
      </c>
      <c r="B86" t="s">
        <v>33</v>
      </c>
      <c r="C86" s="5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</row>
    <row r="87" spans="1:17" x14ac:dyDescent="0.3">
      <c r="A87" t="s">
        <v>223</v>
      </c>
      <c r="B87" t="s">
        <v>27</v>
      </c>
      <c r="C87" s="5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</row>
    <row r="88" spans="1:17" x14ac:dyDescent="0.3">
      <c r="A88" t="s">
        <v>225</v>
      </c>
      <c r="B88" t="s">
        <v>14</v>
      </c>
      <c r="C88" s="5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</row>
    <row r="89" spans="1:17" x14ac:dyDescent="0.3">
      <c r="A89" t="s">
        <v>227</v>
      </c>
      <c r="B89" t="s">
        <v>43</v>
      </c>
      <c r="C89" s="5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</row>
    <row r="90" spans="1:17" x14ac:dyDescent="0.3">
      <c r="A90" t="s">
        <v>229</v>
      </c>
      <c r="B90" t="s">
        <v>14</v>
      </c>
      <c r="C90" s="5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</row>
    <row r="91" spans="1:17" x14ac:dyDescent="0.3">
      <c r="A91" t="s">
        <v>231</v>
      </c>
      <c r="B91" t="s">
        <v>33</v>
      </c>
      <c r="C91" s="5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</row>
    <row r="92" spans="1:17" x14ac:dyDescent="0.3">
      <c r="A92" t="s">
        <v>233</v>
      </c>
      <c r="B92" t="s">
        <v>43</v>
      </c>
      <c r="C92" s="5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</row>
    <row r="93" spans="1:17" x14ac:dyDescent="0.3">
      <c r="A93" t="s">
        <v>235</v>
      </c>
      <c r="B93" t="s">
        <v>14</v>
      </c>
      <c r="C93" s="5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</row>
    <row r="94" spans="1:17" x14ac:dyDescent="0.3">
      <c r="A94" t="s">
        <v>236</v>
      </c>
      <c r="B94" t="s">
        <v>33</v>
      </c>
      <c r="C94" s="5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</row>
    <row r="95" spans="1:17" x14ac:dyDescent="0.3">
      <c r="A95" t="s">
        <v>238</v>
      </c>
      <c r="B95" t="s">
        <v>33</v>
      </c>
      <c r="C95" s="5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</row>
    <row r="96" spans="1:17" x14ac:dyDescent="0.3">
      <c r="A96" t="s">
        <v>239</v>
      </c>
      <c r="B96" t="s">
        <v>33</v>
      </c>
      <c r="C96" s="5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</row>
    <row r="97" spans="1:16" x14ac:dyDescent="0.3">
      <c r="A97" t="s">
        <v>241</v>
      </c>
      <c r="B97" t="s">
        <v>14</v>
      </c>
      <c r="C97" s="5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</row>
    <row r="98" spans="1:16" x14ac:dyDescent="0.3">
      <c r="A98" t="s">
        <v>243</v>
      </c>
      <c r="B98" t="s">
        <v>33</v>
      </c>
      <c r="C98" s="5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</row>
    <row r="99" spans="1:16" x14ac:dyDescent="0.3">
      <c r="A99" t="s">
        <v>245</v>
      </c>
      <c r="B99" t="s">
        <v>14</v>
      </c>
      <c r="C99" s="5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</row>
    <row r="100" spans="1:16" x14ac:dyDescent="0.3">
      <c r="A100" t="s">
        <v>246</v>
      </c>
      <c r="B100" t="s">
        <v>27</v>
      </c>
      <c r="C100" s="5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</row>
    <row r="101" spans="1:16" x14ac:dyDescent="0.3">
      <c r="A101" t="s">
        <v>248</v>
      </c>
      <c r="B101" t="s">
        <v>27</v>
      </c>
      <c r="C101" s="5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</row>
    <row r="102" spans="1:16" x14ac:dyDescent="0.3">
      <c r="A102" t="s">
        <v>250</v>
      </c>
      <c r="B102" t="s">
        <v>27</v>
      </c>
      <c r="C102" s="5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</row>
    <row r="103" spans="1:16" x14ac:dyDescent="0.3">
      <c r="A103" t="s">
        <v>251</v>
      </c>
      <c r="B103" t="s">
        <v>14</v>
      </c>
      <c r="C103" s="5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</row>
    <row r="104" spans="1:16" x14ac:dyDescent="0.3">
      <c r="A104" t="s">
        <v>253</v>
      </c>
      <c r="B104" t="s">
        <v>43</v>
      </c>
      <c r="C104" s="5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</row>
    <row r="105" spans="1:16" x14ac:dyDescent="0.3">
      <c r="A105" t="s">
        <v>255</v>
      </c>
      <c r="B105" t="s">
        <v>27</v>
      </c>
      <c r="C105" s="5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</row>
    <row r="106" spans="1:16" x14ac:dyDescent="0.3">
      <c r="A106" t="s">
        <v>257</v>
      </c>
      <c r="B106" t="s">
        <v>33</v>
      </c>
      <c r="C106" s="5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</row>
    <row r="107" spans="1:16" x14ac:dyDescent="0.3">
      <c r="A107" t="s">
        <v>259</v>
      </c>
      <c r="B107" t="s">
        <v>33</v>
      </c>
      <c r="C107" s="5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</row>
    <row r="108" spans="1:16" x14ac:dyDescent="0.3">
      <c r="A108" t="s">
        <v>261</v>
      </c>
      <c r="B108" t="s">
        <v>27</v>
      </c>
      <c r="C108" s="5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</row>
    <row r="109" spans="1:16" x14ac:dyDescent="0.3">
      <c r="A109" t="s">
        <v>263</v>
      </c>
      <c r="B109" t="s">
        <v>14</v>
      </c>
      <c r="C109" s="5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</row>
    <row r="110" spans="1:16" x14ac:dyDescent="0.3">
      <c r="A110" t="s">
        <v>265</v>
      </c>
      <c r="B110" t="s">
        <v>14</v>
      </c>
      <c r="C110" s="5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</row>
    <row r="111" spans="1:16" x14ac:dyDescent="0.3">
      <c r="A111" t="s">
        <v>267</v>
      </c>
      <c r="B111" t="s">
        <v>33</v>
      </c>
      <c r="C111" s="5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</row>
    <row r="112" spans="1:16" x14ac:dyDescent="0.3">
      <c r="A112" t="s">
        <v>269</v>
      </c>
      <c r="B112" t="s">
        <v>27</v>
      </c>
      <c r="C112" s="5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</row>
    <row r="113" spans="1:16" x14ac:dyDescent="0.3">
      <c r="A113" t="s">
        <v>271</v>
      </c>
      <c r="B113" t="s">
        <v>14</v>
      </c>
      <c r="C113" s="5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</row>
    <row r="114" spans="1:16" x14ac:dyDescent="0.3">
      <c r="A114" t="s">
        <v>273</v>
      </c>
      <c r="B114" t="s">
        <v>14</v>
      </c>
      <c r="C114" s="5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</row>
    <row r="115" spans="1:16" x14ac:dyDescent="0.3">
      <c r="A115" t="s">
        <v>275</v>
      </c>
      <c r="B115" t="s">
        <v>14</v>
      </c>
      <c r="C115" s="5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</row>
    <row r="116" spans="1:16" x14ac:dyDescent="0.3">
      <c r="A116" t="s">
        <v>277</v>
      </c>
      <c r="B116" t="s">
        <v>14</v>
      </c>
      <c r="C116" s="5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</row>
    <row r="117" spans="1:16" x14ac:dyDescent="0.3">
      <c r="A117" t="s">
        <v>279</v>
      </c>
      <c r="B117" t="s">
        <v>27</v>
      </c>
      <c r="C117" s="5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</row>
    <row r="118" spans="1:16" x14ac:dyDescent="0.3">
      <c r="A118" t="s">
        <v>281</v>
      </c>
      <c r="B118" t="s">
        <v>14</v>
      </c>
      <c r="C118" s="5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</row>
    <row r="119" spans="1:16" x14ac:dyDescent="0.3">
      <c r="A119" t="s">
        <v>283</v>
      </c>
      <c r="B119" t="s">
        <v>43</v>
      </c>
      <c r="C119" s="5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</row>
    <row r="120" spans="1:16" x14ac:dyDescent="0.3">
      <c r="A120" t="s">
        <v>284</v>
      </c>
      <c r="B120" t="s">
        <v>33</v>
      </c>
      <c r="C120" s="5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</row>
    <row r="121" spans="1:16" x14ac:dyDescent="0.3">
      <c r="A121" t="s">
        <v>286</v>
      </c>
      <c r="B121" t="s">
        <v>43</v>
      </c>
      <c r="C121" s="5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</row>
    <row r="122" spans="1:16" x14ac:dyDescent="0.3">
      <c r="A122" t="s">
        <v>287</v>
      </c>
      <c r="B122" t="s">
        <v>33</v>
      </c>
      <c r="C122" s="5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</row>
    <row r="123" spans="1:16" x14ac:dyDescent="0.3">
      <c r="A123" t="s">
        <v>288</v>
      </c>
      <c r="B123" t="s">
        <v>33</v>
      </c>
      <c r="C123" s="5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</row>
    <row r="124" spans="1:16" x14ac:dyDescent="0.3">
      <c r="A124" t="s">
        <v>289</v>
      </c>
      <c r="B124" t="s">
        <v>33</v>
      </c>
      <c r="C124" s="5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</row>
    <row r="125" spans="1:16" x14ac:dyDescent="0.3">
      <c r="A125" t="s">
        <v>290</v>
      </c>
      <c r="B125" t="s">
        <v>27</v>
      </c>
      <c r="C125" s="5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</row>
    <row r="126" spans="1:16" x14ac:dyDescent="0.3">
      <c r="A126" t="s">
        <v>292</v>
      </c>
      <c r="B126" t="s">
        <v>14</v>
      </c>
      <c r="C126" s="5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</row>
    <row r="127" spans="1:16" x14ac:dyDescent="0.3">
      <c r="A127" t="s">
        <v>294</v>
      </c>
      <c r="B127" t="s">
        <v>33</v>
      </c>
      <c r="C127" s="5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</row>
    <row r="128" spans="1:16" x14ac:dyDescent="0.3">
      <c r="A128" t="s">
        <v>295</v>
      </c>
      <c r="B128" t="s">
        <v>43</v>
      </c>
      <c r="C128" s="5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</row>
    <row r="129" spans="1:16" x14ac:dyDescent="0.3">
      <c r="A129" t="s">
        <v>296</v>
      </c>
      <c r="B129" t="s">
        <v>14</v>
      </c>
      <c r="C129" s="5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</row>
    <row r="130" spans="1:16" x14ac:dyDescent="0.3">
      <c r="A130" t="s">
        <v>297</v>
      </c>
      <c r="B130" t="s">
        <v>14</v>
      </c>
      <c r="C130" s="5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</row>
    <row r="131" spans="1:16" x14ac:dyDescent="0.3">
      <c r="A131" t="s">
        <v>298</v>
      </c>
      <c r="B131" t="s">
        <v>27</v>
      </c>
      <c r="C131" s="5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</row>
    <row r="132" spans="1:16" x14ac:dyDescent="0.3">
      <c r="A132" t="s">
        <v>300</v>
      </c>
      <c r="B132" t="s">
        <v>33</v>
      </c>
      <c r="C132" s="5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</row>
    <row r="133" spans="1:16" x14ac:dyDescent="0.3">
      <c r="A133" t="s">
        <v>301</v>
      </c>
      <c r="B133" t="s">
        <v>33</v>
      </c>
      <c r="C133" s="5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</row>
    <row r="134" spans="1:16" x14ac:dyDescent="0.3">
      <c r="A134" t="s">
        <v>302</v>
      </c>
      <c r="B134" t="s">
        <v>43</v>
      </c>
      <c r="C134" s="5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</row>
    <row r="135" spans="1:16" x14ac:dyDescent="0.3">
      <c r="A135" t="s">
        <v>304</v>
      </c>
      <c r="B135" t="s">
        <v>14</v>
      </c>
      <c r="C135" s="5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</row>
    <row r="136" spans="1:16" x14ac:dyDescent="0.3">
      <c r="A136" t="s">
        <v>306</v>
      </c>
      <c r="B136" t="s">
        <v>43</v>
      </c>
      <c r="C136" s="5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</row>
    <row r="137" spans="1:16" x14ac:dyDescent="0.3">
      <c r="A137" t="s">
        <v>308</v>
      </c>
      <c r="B137" t="s">
        <v>33</v>
      </c>
      <c r="C137" s="5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</row>
    <row r="138" spans="1:16" x14ac:dyDescent="0.3">
      <c r="A138" t="s">
        <v>310</v>
      </c>
      <c r="B138" t="s">
        <v>43</v>
      </c>
      <c r="C138" s="5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</row>
    <row r="139" spans="1:16" x14ac:dyDescent="0.3">
      <c r="A139" t="s">
        <v>311</v>
      </c>
      <c r="B139" t="s">
        <v>14</v>
      </c>
      <c r="C139" s="5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</row>
    <row r="140" spans="1:16" x14ac:dyDescent="0.3">
      <c r="A140" t="s">
        <v>312</v>
      </c>
      <c r="B140" t="s">
        <v>27</v>
      </c>
      <c r="C140" s="5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</row>
    <row r="141" spans="1:16" x14ac:dyDescent="0.3">
      <c r="A141" t="s">
        <v>314</v>
      </c>
      <c r="B141" t="s">
        <v>43</v>
      </c>
      <c r="C141" s="5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</row>
    <row r="142" spans="1:16" x14ac:dyDescent="0.3">
      <c r="A142" t="s">
        <v>317</v>
      </c>
      <c r="B142" t="s">
        <v>14</v>
      </c>
      <c r="C142" s="5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</row>
    <row r="143" spans="1:16" x14ac:dyDescent="0.3">
      <c r="A143" t="s">
        <v>319</v>
      </c>
      <c r="B143" t="s">
        <v>27</v>
      </c>
      <c r="C143" s="5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</row>
    <row r="144" spans="1:16" x14ac:dyDescent="0.3">
      <c r="A144" t="s">
        <v>320</v>
      </c>
      <c r="B144" t="s">
        <v>27</v>
      </c>
      <c r="C144" s="5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</row>
    <row r="145" spans="1:16" x14ac:dyDescent="0.3">
      <c r="A145" t="s">
        <v>321</v>
      </c>
      <c r="B145" t="s">
        <v>27</v>
      </c>
      <c r="C145" s="5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</row>
    <row r="146" spans="1:16" x14ac:dyDescent="0.3">
      <c r="A146" t="s">
        <v>322</v>
      </c>
      <c r="B146" t="s">
        <v>33</v>
      </c>
      <c r="C146" s="5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</row>
    <row r="147" spans="1:16" x14ac:dyDescent="0.3">
      <c r="A147" t="s">
        <v>323</v>
      </c>
      <c r="B147" t="s">
        <v>27</v>
      </c>
      <c r="C147" s="5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</row>
    <row r="148" spans="1:16" x14ac:dyDescent="0.3">
      <c r="A148" t="s">
        <v>326</v>
      </c>
      <c r="B148" t="s">
        <v>33</v>
      </c>
      <c r="C148" s="5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</row>
    <row r="149" spans="1:16" x14ac:dyDescent="0.3">
      <c r="A149" t="s">
        <v>327</v>
      </c>
      <c r="B149" t="s">
        <v>33</v>
      </c>
      <c r="C149" s="5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</row>
    <row r="150" spans="1:16" x14ac:dyDescent="0.3">
      <c r="A150" t="s">
        <v>328</v>
      </c>
      <c r="B150" t="s">
        <v>14</v>
      </c>
      <c r="C150" s="5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</row>
    <row r="151" spans="1:16" x14ac:dyDescent="0.3">
      <c r="A151" t="s">
        <v>330</v>
      </c>
      <c r="B151" t="s">
        <v>27</v>
      </c>
      <c r="C151" s="5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</row>
    <row r="152" spans="1:16" x14ac:dyDescent="0.3">
      <c r="A152" t="s">
        <v>332</v>
      </c>
      <c r="B152" t="s">
        <v>33</v>
      </c>
      <c r="C152" s="5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</row>
    <row r="153" spans="1:16" x14ac:dyDescent="0.3">
      <c r="A153" t="s">
        <v>333</v>
      </c>
      <c r="B153" t="s">
        <v>43</v>
      </c>
      <c r="C153" s="5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</row>
    <row r="154" spans="1:16" x14ac:dyDescent="0.3">
      <c r="A154" t="s">
        <v>335</v>
      </c>
      <c r="B154" t="s">
        <v>14</v>
      </c>
      <c r="C154" s="5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</row>
    <row r="155" spans="1:16" x14ac:dyDescent="0.3">
      <c r="A155" t="s">
        <v>337</v>
      </c>
      <c r="B155" t="s">
        <v>33</v>
      </c>
      <c r="C155" s="5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</row>
    <row r="156" spans="1:16" x14ac:dyDescent="0.3">
      <c r="A156" t="s">
        <v>338</v>
      </c>
      <c r="B156" t="s">
        <v>27</v>
      </c>
      <c r="C156" s="5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</row>
    <row r="157" spans="1:16" x14ac:dyDescent="0.3">
      <c r="A157" t="s">
        <v>340</v>
      </c>
      <c r="B157" t="s">
        <v>43</v>
      </c>
      <c r="C157" s="5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</row>
    <row r="158" spans="1:16" x14ac:dyDescent="0.3">
      <c r="A158" t="s">
        <v>342</v>
      </c>
      <c r="B158" t="s">
        <v>27</v>
      </c>
      <c r="C158" s="5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</row>
    <row r="159" spans="1:16" x14ac:dyDescent="0.3">
      <c r="A159" t="s">
        <v>344</v>
      </c>
      <c r="B159" t="s">
        <v>33</v>
      </c>
      <c r="C159" s="5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</row>
    <row r="160" spans="1:16" x14ac:dyDescent="0.3">
      <c r="A160" t="s">
        <v>346</v>
      </c>
      <c r="B160" t="s">
        <v>43</v>
      </c>
      <c r="C160" s="5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</row>
    <row r="161" spans="1:16" x14ac:dyDescent="0.3">
      <c r="A161" t="s">
        <v>347</v>
      </c>
      <c r="B161" t="s">
        <v>14</v>
      </c>
      <c r="C161" s="5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</row>
    <row r="162" spans="1:16" x14ac:dyDescent="0.3">
      <c r="A162" t="s">
        <v>349</v>
      </c>
      <c r="B162" t="s">
        <v>14</v>
      </c>
      <c r="C162" s="5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</row>
    <row r="163" spans="1:16" x14ac:dyDescent="0.3">
      <c r="A163" t="s">
        <v>351</v>
      </c>
      <c r="B163" t="s">
        <v>43</v>
      </c>
      <c r="C163" s="5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</row>
    <row r="164" spans="1:16" x14ac:dyDescent="0.3">
      <c r="A164" t="s">
        <v>353</v>
      </c>
      <c r="B164" t="s">
        <v>33</v>
      </c>
      <c r="C164" s="5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</row>
    <row r="165" spans="1:16" x14ac:dyDescent="0.3">
      <c r="A165" t="s">
        <v>355</v>
      </c>
      <c r="B165" t="s">
        <v>27</v>
      </c>
      <c r="C165" s="5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</row>
    <row r="166" spans="1:16" x14ac:dyDescent="0.3">
      <c r="A166" t="s">
        <v>356</v>
      </c>
      <c r="B166" t="s">
        <v>14</v>
      </c>
      <c r="C166" s="5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</row>
    <row r="167" spans="1:16" x14ac:dyDescent="0.3">
      <c r="A167" t="s">
        <v>357</v>
      </c>
      <c r="B167" t="s">
        <v>14</v>
      </c>
      <c r="C167" s="5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</row>
    <row r="168" spans="1:16" x14ac:dyDescent="0.3">
      <c r="A168" t="s">
        <v>358</v>
      </c>
      <c r="B168" t="s">
        <v>33</v>
      </c>
      <c r="C168" s="5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</row>
    <row r="169" spans="1:16" x14ac:dyDescent="0.3">
      <c r="A169" t="s">
        <v>359</v>
      </c>
      <c r="B169" t="s">
        <v>43</v>
      </c>
      <c r="C169" s="5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</row>
    <row r="170" spans="1:16" x14ac:dyDescent="0.3">
      <c r="A170" t="s">
        <v>361</v>
      </c>
      <c r="B170" t="s">
        <v>27</v>
      </c>
      <c r="C170" s="5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</row>
    <row r="171" spans="1:16" x14ac:dyDescent="0.3">
      <c r="A171" t="s">
        <v>363</v>
      </c>
      <c r="B171" t="s">
        <v>14</v>
      </c>
      <c r="C171" s="5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</row>
    <row r="172" spans="1:16" x14ac:dyDescent="0.3">
      <c r="A172" t="s">
        <v>365</v>
      </c>
      <c r="B172" t="s">
        <v>27</v>
      </c>
      <c r="C172" s="5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</row>
    <row r="173" spans="1:16" x14ac:dyDescent="0.3">
      <c r="A173" t="s">
        <v>367</v>
      </c>
      <c r="B173" t="s">
        <v>43</v>
      </c>
      <c r="C173" s="5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</row>
    <row r="174" spans="1:16" x14ac:dyDescent="0.3">
      <c r="A174" t="s">
        <v>369</v>
      </c>
      <c r="B174" t="s">
        <v>14</v>
      </c>
      <c r="C174" s="5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</row>
    <row r="175" spans="1:16" x14ac:dyDescent="0.3">
      <c r="A175" t="s">
        <v>371</v>
      </c>
      <c r="B175" t="s">
        <v>43</v>
      </c>
      <c r="C175" s="5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</row>
    <row r="176" spans="1:16" x14ac:dyDescent="0.3">
      <c r="A176" t="s">
        <v>372</v>
      </c>
      <c r="B176" t="s">
        <v>33</v>
      </c>
      <c r="C176" s="5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</row>
    <row r="177" spans="1:16" x14ac:dyDescent="0.3">
      <c r="A177" t="s">
        <v>374</v>
      </c>
      <c r="B177" t="s">
        <v>43</v>
      </c>
      <c r="C177" s="5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</row>
    <row r="178" spans="1:16" x14ac:dyDescent="0.3">
      <c r="A178" t="s">
        <v>376</v>
      </c>
      <c r="B178" t="s">
        <v>33</v>
      </c>
      <c r="C178" s="5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</row>
    <row r="179" spans="1:16" x14ac:dyDescent="0.3">
      <c r="A179" t="s">
        <v>378</v>
      </c>
      <c r="B179" t="s">
        <v>33</v>
      </c>
      <c r="C179" s="5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</row>
    <row r="180" spans="1:16" x14ac:dyDescent="0.3">
      <c r="A180" t="s">
        <v>379</v>
      </c>
      <c r="B180" t="s">
        <v>43</v>
      </c>
      <c r="C180" s="5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</row>
    <row r="181" spans="1:16" x14ac:dyDescent="0.3">
      <c r="A181" t="s">
        <v>380</v>
      </c>
      <c r="B181" t="s">
        <v>27</v>
      </c>
      <c r="C181" s="5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</row>
    <row r="182" spans="1:16" x14ac:dyDescent="0.3">
      <c r="A182" t="s">
        <v>381</v>
      </c>
      <c r="B182" t="s">
        <v>27</v>
      </c>
      <c r="C182" s="5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</row>
    <row r="183" spans="1:16" x14ac:dyDescent="0.3">
      <c r="A183" t="s">
        <v>383</v>
      </c>
      <c r="B183" t="s">
        <v>43</v>
      </c>
      <c r="C183" s="5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</row>
    <row r="184" spans="1:16" x14ac:dyDescent="0.3">
      <c r="A184" t="s">
        <v>384</v>
      </c>
      <c r="B184" t="s">
        <v>33</v>
      </c>
      <c r="C184" s="5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</row>
    <row r="185" spans="1:16" x14ac:dyDescent="0.3">
      <c r="A185" t="s">
        <v>386</v>
      </c>
      <c r="B185" t="s">
        <v>14</v>
      </c>
      <c r="C185" s="5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</row>
    <row r="186" spans="1:16" x14ac:dyDescent="0.3">
      <c r="A186" t="s">
        <v>388</v>
      </c>
      <c r="B186" t="s">
        <v>33</v>
      </c>
      <c r="C186" s="5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</row>
    <row r="187" spans="1:16" x14ac:dyDescent="0.3">
      <c r="A187" t="s">
        <v>390</v>
      </c>
      <c r="B187" t="s">
        <v>43</v>
      </c>
      <c r="C187" s="5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</row>
    <row r="188" spans="1:16" x14ac:dyDescent="0.3">
      <c r="A188" t="s">
        <v>391</v>
      </c>
      <c r="B188" t="s">
        <v>14</v>
      </c>
      <c r="C188" s="5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</row>
    <row r="189" spans="1:16" x14ac:dyDescent="0.3">
      <c r="A189" t="s">
        <v>393</v>
      </c>
      <c r="B189" t="s">
        <v>27</v>
      </c>
      <c r="C189" s="5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</row>
    <row r="190" spans="1:16" x14ac:dyDescent="0.3">
      <c r="A190" t="s">
        <v>394</v>
      </c>
      <c r="B190" t="s">
        <v>43</v>
      </c>
      <c r="C190" s="5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</row>
    <row r="191" spans="1:16" x14ac:dyDescent="0.3">
      <c r="A191" t="s">
        <v>395</v>
      </c>
      <c r="B191" t="s">
        <v>27</v>
      </c>
      <c r="C191" s="5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</row>
    <row r="192" spans="1:16" x14ac:dyDescent="0.3">
      <c r="A192" t="s">
        <v>397</v>
      </c>
      <c r="B192" t="s">
        <v>27</v>
      </c>
      <c r="C192" s="5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</row>
    <row r="193" spans="1:17" x14ac:dyDescent="0.3">
      <c r="A193" t="s">
        <v>398</v>
      </c>
      <c r="B193" t="s">
        <v>33</v>
      </c>
      <c r="C193" s="5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</row>
    <row r="194" spans="1:17" x14ac:dyDescent="0.3">
      <c r="A194" t="s">
        <v>400</v>
      </c>
      <c r="B194" t="s">
        <v>14</v>
      </c>
      <c r="C194" s="5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</row>
    <row r="195" spans="1:17" x14ac:dyDescent="0.3">
      <c r="A195" t="s">
        <v>402</v>
      </c>
      <c r="B195" t="s">
        <v>27</v>
      </c>
      <c r="C195" s="5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</row>
    <row r="196" spans="1:17" x14ac:dyDescent="0.3">
      <c r="A196" t="s">
        <v>403</v>
      </c>
      <c r="B196" t="s">
        <v>33</v>
      </c>
      <c r="C196" s="5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t="s">
        <v>25</v>
      </c>
    </row>
    <row r="197" spans="1:17" x14ac:dyDescent="0.3">
      <c r="A197" t="s">
        <v>405</v>
      </c>
      <c r="B197" t="s">
        <v>33</v>
      </c>
      <c r="C197" s="5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</row>
    <row r="198" spans="1:17" x14ac:dyDescent="0.3">
      <c r="A198" t="s">
        <v>407</v>
      </c>
      <c r="B198" t="s">
        <v>14</v>
      </c>
      <c r="C198" s="5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</row>
    <row r="199" spans="1:17" x14ac:dyDescent="0.3">
      <c r="A199" t="s">
        <v>408</v>
      </c>
      <c r="B199" t="s">
        <v>14</v>
      </c>
      <c r="C199" s="5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</row>
    <row r="200" spans="1:17" x14ac:dyDescent="0.3">
      <c r="A200" t="s">
        <v>410</v>
      </c>
      <c r="B200" t="s">
        <v>27</v>
      </c>
      <c r="C200" s="5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</row>
    <row r="201" spans="1:17" x14ac:dyDescent="0.3">
      <c r="A201" t="s">
        <v>411</v>
      </c>
      <c r="B201" t="s">
        <v>43</v>
      </c>
      <c r="C201" s="5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</row>
    <row r="202" spans="1:17" x14ac:dyDescent="0.3">
      <c r="A202" t="s">
        <v>413</v>
      </c>
      <c r="B202" t="s">
        <v>14</v>
      </c>
      <c r="C202" s="5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</row>
    <row r="203" spans="1:17" x14ac:dyDescent="0.3">
      <c r="A203" t="s">
        <v>415</v>
      </c>
      <c r="B203" t="s">
        <v>43</v>
      </c>
      <c r="C203" s="5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</row>
    <row r="204" spans="1:17" x14ac:dyDescent="0.3">
      <c r="A204" t="s">
        <v>417</v>
      </c>
      <c r="B204" t="s">
        <v>33</v>
      </c>
      <c r="C204" s="5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</row>
    <row r="205" spans="1:17" x14ac:dyDescent="0.3">
      <c r="A205" t="s">
        <v>419</v>
      </c>
      <c r="B205" t="s">
        <v>33</v>
      </c>
      <c r="C205" s="5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</row>
    <row r="206" spans="1:17" x14ac:dyDescent="0.3">
      <c r="A206" t="s">
        <v>420</v>
      </c>
      <c r="B206" t="s">
        <v>14</v>
      </c>
      <c r="C206" s="5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</row>
    <row r="207" spans="1:17" x14ac:dyDescent="0.3">
      <c r="A207" t="s">
        <v>422</v>
      </c>
      <c r="B207" t="s">
        <v>14</v>
      </c>
      <c r="C207" s="5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</row>
    <row r="208" spans="1:17" x14ac:dyDescent="0.3">
      <c r="A208" t="s">
        <v>423</v>
      </c>
      <c r="B208" t="s">
        <v>14</v>
      </c>
      <c r="C208" s="5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</row>
    <row r="209" spans="1:16" x14ac:dyDescent="0.3">
      <c r="A209" t="s">
        <v>425</v>
      </c>
      <c r="B209" t="s">
        <v>27</v>
      </c>
      <c r="C209" s="5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</row>
    <row r="210" spans="1:16" x14ac:dyDescent="0.3">
      <c r="A210" t="s">
        <v>426</v>
      </c>
      <c r="B210" t="s">
        <v>14</v>
      </c>
      <c r="C210" s="5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</row>
    <row r="211" spans="1:16" x14ac:dyDescent="0.3">
      <c r="A211" t="s">
        <v>428</v>
      </c>
      <c r="B211" t="s">
        <v>27</v>
      </c>
      <c r="C211" s="5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</row>
    <row r="212" spans="1:16" x14ac:dyDescent="0.3">
      <c r="A212" t="s">
        <v>429</v>
      </c>
      <c r="B212" t="s">
        <v>14</v>
      </c>
      <c r="C212" s="5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</row>
    <row r="213" spans="1:16" x14ac:dyDescent="0.3">
      <c r="A213" t="s">
        <v>431</v>
      </c>
      <c r="B213" t="s">
        <v>27</v>
      </c>
      <c r="C213" s="5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</row>
    <row r="214" spans="1:16" x14ac:dyDescent="0.3">
      <c r="A214" t="s">
        <v>432</v>
      </c>
      <c r="B214" t="s">
        <v>43</v>
      </c>
      <c r="C214" s="5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</row>
    <row r="215" spans="1:16" x14ac:dyDescent="0.3">
      <c r="A215" t="s">
        <v>434</v>
      </c>
      <c r="B215" t="s">
        <v>33</v>
      </c>
      <c r="C215" s="5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</row>
    <row r="216" spans="1:16" x14ac:dyDescent="0.3">
      <c r="A216" t="s">
        <v>435</v>
      </c>
      <c r="B216" t="s">
        <v>43</v>
      </c>
      <c r="C216" s="5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</row>
    <row r="217" spans="1:16" x14ac:dyDescent="0.3">
      <c r="A217" t="s">
        <v>437</v>
      </c>
      <c r="B217" t="s">
        <v>27</v>
      </c>
      <c r="C217" s="5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</row>
    <row r="218" spans="1:16" x14ac:dyDescent="0.3">
      <c r="A218" t="s">
        <v>438</v>
      </c>
      <c r="B218" t="s">
        <v>43</v>
      </c>
      <c r="C218" s="5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</row>
    <row r="219" spans="1:16" x14ac:dyDescent="0.3">
      <c r="A219" t="s">
        <v>439</v>
      </c>
      <c r="B219" t="s">
        <v>43</v>
      </c>
      <c r="C219" s="5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</row>
    <row r="220" spans="1:16" x14ac:dyDescent="0.3">
      <c r="A220" t="s">
        <v>440</v>
      </c>
      <c r="B220" t="s">
        <v>14</v>
      </c>
      <c r="C220" s="5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</row>
    <row r="221" spans="1:16" x14ac:dyDescent="0.3">
      <c r="A221" t="s">
        <v>441</v>
      </c>
      <c r="B221" t="s">
        <v>33</v>
      </c>
      <c r="C221" s="5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</row>
    <row r="222" spans="1:16" x14ac:dyDescent="0.3">
      <c r="A222" t="s">
        <v>442</v>
      </c>
      <c r="B222" t="s">
        <v>43</v>
      </c>
      <c r="C222" s="5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</row>
    <row r="223" spans="1:16" x14ac:dyDescent="0.3">
      <c r="A223" t="s">
        <v>443</v>
      </c>
      <c r="B223" t="s">
        <v>43</v>
      </c>
      <c r="C223" s="5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</row>
    <row r="224" spans="1:16" x14ac:dyDescent="0.3">
      <c r="A224" t="s">
        <v>446</v>
      </c>
      <c r="B224" t="s">
        <v>14</v>
      </c>
      <c r="C224" s="5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</row>
    <row r="225" spans="1:17" x14ac:dyDescent="0.3">
      <c r="A225" t="s">
        <v>447</v>
      </c>
      <c r="B225" t="s">
        <v>43</v>
      </c>
      <c r="C225" s="5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</row>
    <row r="226" spans="1:17" x14ac:dyDescent="0.3">
      <c r="A226" t="s">
        <v>449</v>
      </c>
      <c r="B226" t="s">
        <v>14</v>
      </c>
      <c r="C226" s="5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</row>
    <row r="227" spans="1:17" x14ac:dyDescent="0.3">
      <c r="A227" t="s">
        <v>450</v>
      </c>
      <c r="B227" t="s">
        <v>33</v>
      </c>
      <c r="C227" s="5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</row>
    <row r="228" spans="1:17" x14ac:dyDescent="0.3">
      <c r="A228" t="s">
        <v>452</v>
      </c>
      <c r="B228" t="s">
        <v>33</v>
      </c>
      <c r="C228" s="5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</row>
    <row r="229" spans="1:17" x14ac:dyDescent="0.3">
      <c r="A229" t="s">
        <v>454</v>
      </c>
      <c r="B229" t="s">
        <v>33</v>
      </c>
      <c r="C229" s="5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</row>
    <row r="230" spans="1:17" x14ac:dyDescent="0.3">
      <c r="A230" t="s">
        <v>456</v>
      </c>
      <c r="B230" t="s">
        <v>33</v>
      </c>
      <c r="C230" s="5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</row>
    <row r="231" spans="1:17" x14ac:dyDescent="0.3">
      <c r="A231" t="s">
        <v>457</v>
      </c>
      <c r="B231" t="s">
        <v>43</v>
      </c>
      <c r="C231" s="5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</row>
    <row r="232" spans="1:17" x14ac:dyDescent="0.3">
      <c r="A232" t="s">
        <v>458</v>
      </c>
      <c r="B232" t="s">
        <v>33</v>
      </c>
      <c r="C232" s="5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</row>
    <row r="233" spans="1:17" x14ac:dyDescent="0.3">
      <c r="A233" t="s">
        <v>459</v>
      </c>
      <c r="B233" t="s">
        <v>14</v>
      </c>
      <c r="C233" s="5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</row>
    <row r="234" spans="1:17" x14ac:dyDescent="0.3">
      <c r="A234" t="s">
        <v>461</v>
      </c>
      <c r="B234" t="s">
        <v>43</v>
      </c>
      <c r="C234" s="5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</row>
    <row r="235" spans="1:17" x14ac:dyDescent="0.3">
      <c r="A235" t="s">
        <v>462</v>
      </c>
      <c r="B235" t="s">
        <v>43</v>
      </c>
      <c r="C235" s="5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</row>
    <row r="236" spans="1:17" x14ac:dyDescent="0.3">
      <c r="A236" t="s">
        <v>464</v>
      </c>
      <c r="B236" t="s">
        <v>43</v>
      </c>
      <c r="C236" s="5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</row>
    <row r="237" spans="1:17" x14ac:dyDescent="0.3">
      <c r="A237" t="s">
        <v>465</v>
      </c>
      <c r="B237" t="s">
        <v>43</v>
      </c>
      <c r="C237" s="5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t="s">
        <v>19</v>
      </c>
    </row>
    <row r="238" spans="1:17" x14ac:dyDescent="0.3">
      <c r="A238" t="s">
        <v>467</v>
      </c>
      <c r="B238" t="s">
        <v>33</v>
      </c>
      <c r="C238" s="5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</row>
    <row r="239" spans="1:17" x14ac:dyDescent="0.3">
      <c r="A239" t="s">
        <v>468</v>
      </c>
      <c r="B239" t="s">
        <v>14</v>
      </c>
      <c r="C239" s="5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</row>
    <row r="240" spans="1:17" x14ac:dyDescent="0.3">
      <c r="A240" t="s">
        <v>470</v>
      </c>
      <c r="B240" t="s">
        <v>27</v>
      </c>
      <c r="C240" s="5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</row>
    <row r="241" spans="1:17" x14ac:dyDescent="0.3">
      <c r="A241" t="s">
        <v>471</v>
      </c>
      <c r="B241" t="s">
        <v>14</v>
      </c>
      <c r="C241" s="5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t="s">
        <v>25</v>
      </c>
    </row>
    <row r="242" spans="1:17" x14ac:dyDescent="0.3">
      <c r="A242" t="s">
        <v>472</v>
      </c>
      <c r="B242" t="s">
        <v>43</v>
      </c>
      <c r="C242" s="5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</row>
    <row r="243" spans="1:17" x14ac:dyDescent="0.3">
      <c r="A243" t="s">
        <v>474</v>
      </c>
      <c r="B243" t="s">
        <v>43</v>
      </c>
      <c r="C243" s="5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</row>
    <row r="244" spans="1:17" x14ac:dyDescent="0.3">
      <c r="A244" t="s">
        <v>475</v>
      </c>
      <c r="B244" t="s">
        <v>14</v>
      </c>
      <c r="C244" s="5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</row>
    <row r="245" spans="1:17" x14ac:dyDescent="0.3">
      <c r="A245" t="s">
        <v>477</v>
      </c>
      <c r="B245" t="s">
        <v>27</v>
      </c>
      <c r="C245" s="5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</row>
    <row r="246" spans="1:17" x14ac:dyDescent="0.3">
      <c r="A246" t="s">
        <v>479</v>
      </c>
      <c r="B246" t="s">
        <v>43</v>
      </c>
      <c r="C246" s="5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</row>
    <row r="247" spans="1:17" x14ac:dyDescent="0.3">
      <c r="A247" t="s">
        <v>481</v>
      </c>
      <c r="B247" t="s">
        <v>43</v>
      </c>
      <c r="C247" s="5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</row>
    <row r="248" spans="1:17" x14ac:dyDescent="0.3">
      <c r="A248" t="s">
        <v>483</v>
      </c>
      <c r="B248" t="s">
        <v>43</v>
      </c>
      <c r="C248" s="5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t="s">
        <v>38</v>
      </c>
    </row>
    <row r="249" spans="1:17" x14ac:dyDescent="0.3">
      <c r="A249" t="s">
        <v>486</v>
      </c>
      <c r="B249" t="s">
        <v>43</v>
      </c>
      <c r="C249" s="5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</row>
    <row r="250" spans="1:17" x14ac:dyDescent="0.3">
      <c r="A250" t="s">
        <v>487</v>
      </c>
      <c r="B250" t="s">
        <v>14</v>
      </c>
      <c r="C250" s="5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</row>
    <row r="251" spans="1:17" x14ac:dyDescent="0.3">
      <c r="A251" t="s">
        <v>488</v>
      </c>
      <c r="B251" t="s">
        <v>43</v>
      </c>
      <c r="C251" s="5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</row>
    <row r="252" spans="1:17" x14ac:dyDescent="0.3">
      <c r="A252" t="s">
        <v>489</v>
      </c>
      <c r="B252" t="s">
        <v>33</v>
      </c>
      <c r="C252" s="5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</row>
    <row r="253" spans="1:17" x14ac:dyDescent="0.3">
      <c r="A253" t="s">
        <v>491</v>
      </c>
      <c r="B253" t="s">
        <v>43</v>
      </c>
      <c r="C253" s="5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</row>
    <row r="254" spans="1:17" x14ac:dyDescent="0.3">
      <c r="A254" t="s">
        <v>492</v>
      </c>
      <c r="B254" t="s">
        <v>14</v>
      </c>
      <c r="C254" s="5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</row>
    <row r="255" spans="1:17" x14ac:dyDescent="0.3">
      <c r="A255" t="s">
        <v>494</v>
      </c>
      <c r="B255" t="s">
        <v>14</v>
      </c>
      <c r="C255" s="5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</row>
    <row r="256" spans="1:17" x14ac:dyDescent="0.3">
      <c r="A256" t="s">
        <v>496</v>
      </c>
      <c r="B256" t="s">
        <v>43</v>
      </c>
      <c r="C256" s="5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</row>
    <row r="257" spans="1:17" x14ac:dyDescent="0.3">
      <c r="A257" t="s">
        <v>497</v>
      </c>
      <c r="B257" t="s">
        <v>27</v>
      </c>
      <c r="C257" s="5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</row>
    <row r="258" spans="1:17" x14ac:dyDescent="0.3">
      <c r="A258" t="s">
        <v>498</v>
      </c>
      <c r="B258" t="s">
        <v>43</v>
      </c>
      <c r="C258" s="5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t="s">
        <v>38</v>
      </c>
    </row>
    <row r="259" spans="1:17" x14ac:dyDescent="0.3">
      <c r="A259" t="s">
        <v>500</v>
      </c>
      <c r="B259" t="s">
        <v>33</v>
      </c>
      <c r="C259" s="5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</row>
    <row r="260" spans="1:17" x14ac:dyDescent="0.3">
      <c r="A260" t="s">
        <v>502</v>
      </c>
      <c r="B260" t="s">
        <v>43</v>
      </c>
      <c r="C260" s="5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</row>
    <row r="261" spans="1:17" x14ac:dyDescent="0.3">
      <c r="A261" t="s">
        <v>503</v>
      </c>
      <c r="B261" t="s">
        <v>33</v>
      </c>
      <c r="C261" s="5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t="s">
        <v>38</v>
      </c>
    </row>
    <row r="262" spans="1:17" x14ac:dyDescent="0.3">
      <c r="A262" t="s">
        <v>506</v>
      </c>
      <c r="B262" t="s">
        <v>33</v>
      </c>
      <c r="C262" s="5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</row>
    <row r="263" spans="1:17" x14ac:dyDescent="0.3">
      <c r="A263" t="s">
        <v>508</v>
      </c>
      <c r="B263" t="s">
        <v>27</v>
      </c>
      <c r="C263" s="5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</row>
    <row r="264" spans="1:17" x14ac:dyDescent="0.3">
      <c r="A264" t="s">
        <v>509</v>
      </c>
      <c r="B264" t="s">
        <v>33</v>
      </c>
      <c r="C264" s="5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</row>
    <row r="265" spans="1:17" x14ac:dyDescent="0.3">
      <c r="A265" t="s">
        <v>511</v>
      </c>
      <c r="B265" t="s">
        <v>14</v>
      </c>
      <c r="C265" s="5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</row>
    <row r="266" spans="1:17" x14ac:dyDescent="0.3">
      <c r="A266" t="s">
        <v>513</v>
      </c>
      <c r="B266" t="s">
        <v>14</v>
      </c>
      <c r="C266" s="5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</row>
    <row r="267" spans="1:17" x14ac:dyDescent="0.3">
      <c r="A267" t="s">
        <v>515</v>
      </c>
      <c r="B267" t="s">
        <v>43</v>
      </c>
      <c r="C267" s="5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</row>
    <row r="268" spans="1:17" x14ac:dyDescent="0.3">
      <c r="A268" t="s">
        <v>516</v>
      </c>
      <c r="B268" t="s">
        <v>14</v>
      </c>
      <c r="C268" s="5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</row>
    <row r="269" spans="1:17" x14ac:dyDescent="0.3">
      <c r="A269" t="s">
        <v>517</v>
      </c>
      <c r="B269" t="s">
        <v>33</v>
      </c>
      <c r="C269" s="5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</row>
    <row r="270" spans="1:17" x14ac:dyDescent="0.3">
      <c r="A270" t="s">
        <v>519</v>
      </c>
      <c r="B270" t="s">
        <v>33</v>
      </c>
      <c r="C270" s="5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</row>
    <row r="271" spans="1:17" x14ac:dyDescent="0.3">
      <c r="A271" t="s">
        <v>521</v>
      </c>
      <c r="B271" t="s">
        <v>27</v>
      </c>
      <c r="C271" s="5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</row>
    <row r="272" spans="1:17" x14ac:dyDescent="0.3">
      <c r="A272" t="s">
        <v>522</v>
      </c>
      <c r="B272" t="s">
        <v>33</v>
      </c>
      <c r="C272" s="5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</row>
    <row r="273" spans="1:17" x14ac:dyDescent="0.3">
      <c r="A273" t="s">
        <v>524</v>
      </c>
      <c r="B273" t="s">
        <v>33</v>
      </c>
      <c r="C273" s="5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</row>
    <row r="274" spans="1:17" x14ac:dyDescent="0.3">
      <c r="A274" t="s">
        <v>525</v>
      </c>
      <c r="B274" t="s">
        <v>27</v>
      </c>
      <c r="C274" s="5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</row>
    <row r="275" spans="1:17" x14ac:dyDescent="0.3">
      <c r="A275" t="s">
        <v>527</v>
      </c>
      <c r="B275" t="s">
        <v>14</v>
      </c>
      <c r="C275" s="5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</row>
    <row r="276" spans="1:17" x14ac:dyDescent="0.3">
      <c r="A276" t="s">
        <v>528</v>
      </c>
      <c r="B276" t="s">
        <v>43</v>
      </c>
      <c r="C276" s="5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</row>
    <row r="277" spans="1:17" x14ac:dyDescent="0.3">
      <c r="A277" t="s">
        <v>529</v>
      </c>
      <c r="B277" t="s">
        <v>14</v>
      </c>
      <c r="C277" s="5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</row>
    <row r="278" spans="1:17" x14ac:dyDescent="0.3">
      <c r="A278" t="s">
        <v>531</v>
      </c>
      <c r="B278" t="s">
        <v>43</v>
      </c>
      <c r="C278" s="5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</row>
    <row r="279" spans="1:17" x14ac:dyDescent="0.3">
      <c r="A279" t="s">
        <v>532</v>
      </c>
      <c r="B279" t="s">
        <v>14</v>
      </c>
      <c r="C279" s="5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</row>
    <row r="280" spans="1:17" x14ac:dyDescent="0.3">
      <c r="A280" t="s">
        <v>534</v>
      </c>
      <c r="B280" t="s">
        <v>27</v>
      </c>
      <c r="C280" s="5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</row>
    <row r="281" spans="1:17" x14ac:dyDescent="0.3">
      <c r="A281" t="s">
        <v>535</v>
      </c>
      <c r="B281" t="s">
        <v>27</v>
      </c>
      <c r="C281" s="5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t="s">
        <v>25</v>
      </c>
    </row>
    <row r="282" spans="1:17" x14ac:dyDescent="0.3">
      <c r="A282" t="s">
        <v>536</v>
      </c>
      <c r="B282" t="s">
        <v>27</v>
      </c>
      <c r="C282" s="5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</row>
    <row r="283" spans="1:17" x14ac:dyDescent="0.3">
      <c r="A283" t="s">
        <v>538</v>
      </c>
      <c r="B283" t="s">
        <v>33</v>
      </c>
      <c r="C283" s="5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</row>
    <row r="284" spans="1:17" x14ac:dyDescent="0.3">
      <c r="A284" t="s">
        <v>540</v>
      </c>
      <c r="B284" t="s">
        <v>14</v>
      </c>
      <c r="C284" s="5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</row>
    <row r="285" spans="1:17" x14ac:dyDescent="0.3">
      <c r="A285" t="s">
        <v>542</v>
      </c>
      <c r="B285" t="s">
        <v>14</v>
      </c>
      <c r="C285" s="5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</row>
    <row r="286" spans="1:17" x14ac:dyDescent="0.3">
      <c r="A286" t="s">
        <v>543</v>
      </c>
      <c r="B286" t="s">
        <v>27</v>
      </c>
      <c r="C286" s="5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</row>
    <row r="287" spans="1:17" x14ac:dyDescent="0.3">
      <c r="A287" t="s">
        <v>544</v>
      </c>
      <c r="B287" t="s">
        <v>27</v>
      </c>
      <c r="C287" s="5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</row>
    <row r="288" spans="1:17" x14ac:dyDescent="0.3">
      <c r="A288" t="s">
        <v>546</v>
      </c>
      <c r="B288" t="s">
        <v>33</v>
      </c>
      <c r="C288" s="5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</row>
    <row r="289" spans="1:17" x14ac:dyDescent="0.3">
      <c r="A289" t="s">
        <v>547</v>
      </c>
      <c r="B289" t="s">
        <v>27</v>
      </c>
      <c r="C289" s="5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</row>
    <row r="290" spans="1:17" x14ac:dyDescent="0.3">
      <c r="A290" t="s">
        <v>549</v>
      </c>
      <c r="B290" t="s">
        <v>43</v>
      </c>
      <c r="C290" s="5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</row>
    <row r="291" spans="1:17" x14ac:dyDescent="0.3">
      <c r="A291" t="s">
        <v>550</v>
      </c>
      <c r="B291" t="s">
        <v>33</v>
      </c>
      <c r="C291" s="5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</row>
    <row r="292" spans="1:17" x14ac:dyDescent="0.3">
      <c r="A292" t="s">
        <v>552</v>
      </c>
      <c r="B292" t="s">
        <v>43</v>
      </c>
      <c r="C292" s="5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</row>
    <row r="293" spans="1:17" x14ac:dyDescent="0.3">
      <c r="A293" t="s">
        <v>553</v>
      </c>
      <c r="B293" t="s">
        <v>43</v>
      </c>
      <c r="C293" s="5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</row>
    <row r="294" spans="1:17" x14ac:dyDescent="0.3">
      <c r="A294" t="s">
        <v>555</v>
      </c>
      <c r="B294" t="s">
        <v>43</v>
      </c>
      <c r="C294" s="5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</row>
    <row r="295" spans="1:17" x14ac:dyDescent="0.3">
      <c r="A295" t="s">
        <v>557</v>
      </c>
      <c r="B295" t="s">
        <v>43</v>
      </c>
      <c r="C295" s="5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</row>
    <row r="296" spans="1:17" x14ac:dyDescent="0.3">
      <c r="A296" t="s">
        <v>559</v>
      </c>
      <c r="B296" t="s">
        <v>14</v>
      </c>
      <c r="C296" s="5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t="s">
        <v>25</v>
      </c>
    </row>
    <row r="297" spans="1:17" x14ac:dyDescent="0.3">
      <c r="A297" t="s">
        <v>560</v>
      </c>
      <c r="B297" t="s">
        <v>14</v>
      </c>
      <c r="C297" s="5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</row>
    <row r="298" spans="1:17" x14ac:dyDescent="0.3">
      <c r="A298" t="s">
        <v>562</v>
      </c>
      <c r="B298" t="s">
        <v>14</v>
      </c>
      <c r="C298" s="5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</row>
    <row r="299" spans="1:17" x14ac:dyDescent="0.3">
      <c r="A299" t="s">
        <v>564</v>
      </c>
      <c r="B299" t="s">
        <v>43</v>
      </c>
      <c r="C299" s="5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</row>
    <row r="300" spans="1:17" x14ac:dyDescent="0.3">
      <c r="A300" t="s">
        <v>565</v>
      </c>
      <c r="B300" t="s">
        <v>43</v>
      </c>
      <c r="C300" s="5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</row>
    <row r="301" spans="1:17" x14ac:dyDescent="0.3">
      <c r="A301" t="s">
        <v>566</v>
      </c>
      <c r="B301" t="s">
        <v>14</v>
      </c>
      <c r="C301" s="5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t="s">
        <v>38</v>
      </c>
    </row>
  </sheetData>
  <pageMargins left="0.7" right="0.7" top="0.75" bottom="0.75" header="0.3" footer="0.3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45AABC-3EED-46C2-BE27-CCF21B660188}">
  <dimension ref="A1:Q301"/>
  <sheetViews>
    <sheetView workbookViewId="0"/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26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t="s">
        <v>620</v>
      </c>
    </row>
    <row r="2" spans="1:17" x14ac:dyDescent="0.3">
      <c r="A2" t="s">
        <v>13</v>
      </c>
      <c r="B2" t="s">
        <v>14</v>
      </c>
      <c r="C2" s="5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  <c r="Q2" t="s">
        <v>25</v>
      </c>
    </row>
    <row r="3" spans="1:17" x14ac:dyDescent="0.3">
      <c r="A3" t="s">
        <v>20</v>
      </c>
      <c r="B3" t="s">
        <v>14</v>
      </c>
      <c r="C3" s="5">
        <v>45750</v>
      </c>
      <c r="D3" t="s">
        <v>22</v>
      </c>
      <c r="E3" t="s">
        <v>23</v>
      </c>
      <c r="F3">
        <v>4054</v>
      </c>
      <c r="G3">
        <v>389</v>
      </c>
      <c r="H3">
        <v>493</v>
      </c>
      <c r="I3">
        <v>64864</v>
      </c>
      <c r="J3">
        <v>64383</v>
      </c>
      <c r="K3">
        <v>117</v>
      </c>
      <c r="L3" t="s">
        <v>30</v>
      </c>
      <c r="M3" t="s">
        <v>616</v>
      </c>
      <c r="O3" t="s">
        <v>25</v>
      </c>
      <c r="P3" t="s">
        <v>25</v>
      </c>
      <c r="Q3" t="s">
        <v>38</v>
      </c>
    </row>
    <row r="4" spans="1:17" x14ac:dyDescent="0.3">
      <c r="A4" t="s">
        <v>39</v>
      </c>
      <c r="B4" t="s">
        <v>27</v>
      </c>
      <c r="C4" s="5">
        <v>45469</v>
      </c>
      <c r="D4" t="s">
        <v>16</v>
      </c>
      <c r="E4" t="s">
        <v>29</v>
      </c>
      <c r="F4">
        <v>3557</v>
      </c>
      <c r="G4">
        <v>687</v>
      </c>
      <c r="H4">
        <v>424</v>
      </c>
      <c r="I4">
        <v>71140</v>
      </c>
      <c r="J4">
        <v>70701</v>
      </c>
      <c r="K4">
        <v>224</v>
      </c>
      <c r="L4" t="s">
        <v>37</v>
      </c>
      <c r="M4" t="s">
        <v>30</v>
      </c>
      <c r="O4" t="s">
        <v>19</v>
      </c>
      <c r="P4" t="s">
        <v>19</v>
      </c>
      <c r="Q4" t="s">
        <v>19</v>
      </c>
    </row>
    <row r="5" spans="1:17" x14ac:dyDescent="0.3">
      <c r="A5" t="s">
        <v>26</v>
      </c>
      <c r="B5" t="s">
        <v>27</v>
      </c>
      <c r="C5" s="5">
        <v>45789</v>
      </c>
      <c r="D5" t="s">
        <v>16</v>
      </c>
      <c r="E5" t="s">
        <v>29</v>
      </c>
      <c r="F5">
        <v>2795</v>
      </c>
      <c r="G5">
        <v>105</v>
      </c>
      <c r="H5">
        <v>49</v>
      </c>
      <c r="I5">
        <v>53105</v>
      </c>
      <c r="J5">
        <v>52307</v>
      </c>
      <c r="K5">
        <v>204</v>
      </c>
      <c r="L5" t="s">
        <v>30</v>
      </c>
      <c r="O5" t="s">
        <v>31</v>
      </c>
      <c r="P5" t="s">
        <v>31</v>
      </c>
    </row>
    <row r="6" spans="1:17" x14ac:dyDescent="0.3">
      <c r="A6" t="s">
        <v>32</v>
      </c>
      <c r="B6" t="s">
        <v>33</v>
      </c>
      <c r="C6" s="5">
        <v>45516</v>
      </c>
      <c r="D6" t="s">
        <v>35</v>
      </c>
      <c r="E6" t="s">
        <v>36</v>
      </c>
      <c r="F6">
        <v>2404</v>
      </c>
      <c r="G6">
        <v>363</v>
      </c>
      <c r="H6">
        <v>138</v>
      </c>
      <c r="I6">
        <v>19232</v>
      </c>
      <c r="J6">
        <v>18636</v>
      </c>
      <c r="K6">
        <v>128</v>
      </c>
      <c r="L6" t="s">
        <v>37</v>
      </c>
      <c r="O6" t="s">
        <v>38</v>
      </c>
      <c r="P6" t="s">
        <v>38</v>
      </c>
    </row>
    <row r="7" spans="1:17" x14ac:dyDescent="0.3">
      <c r="A7" t="s">
        <v>42</v>
      </c>
      <c r="B7" t="s">
        <v>43</v>
      </c>
      <c r="C7" s="5">
        <v>45596</v>
      </c>
      <c r="D7" t="s">
        <v>45</v>
      </c>
      <c r="E7" t="s">
        <v>46</v>
      </c>
      <c r="F7">
        <v>2945</v>
      </c>
      <c r="G7">
        <v>930</v>
      </c>
      <c r="H7">
        <v>355</v>
      </c>
      <c r="I7">
        <v>23560</v>
      </c>
      <c r="J7">
        <v>23275</v>
      </c>
      <c r="K7">
        <v>256</v>
      </c>
      <c r="L7" t="s">
        <v>30</v>
      </c>
      <c r="O7" t="s">
        <v>25</v>
      </c>
      <c r="P7" t="s">
        <v>25</v>
      </c>
    </row>
    <row r="8" spans="1:17" x14ac:dyDescent="0.3">
      <c r="A8" t="s">
        <v>47</v>
      </c>
      <c r="B8" t="s">
        <v>14</v>
      </c>
      <c r="C8" s="5">
        <v>45467</v>
      </c>
      <c r="D8" t="s">
        <v>45</v>
      </c>
      <c r="E8" t="s">
        <v>49</v>
      </c>
      <c r="F8">
        <v>3860</v>
      </c>
      <c r="G8">
        <v>201</v>
      </c>
      <c r="H8">
        <v>279</v>
      </c>
      <c r="I8">
        <v>61760</v>
      </c>
      <c r="J8">
        <v>61660</v>
      </c>
      <c r="K8">
        <v>235</v>
      </c>
      <c r="L8" t="s">
        <v>30</v>
      </c>
      <c r="O8" t="s">
        <v>25</v>
      </c>
      <c r="P8" t="s">
        <v>25</v>
      </c>
    </row>
    <row r="9" spans="1:17" x14ac:dyDescent="0.3">
      <c r="A9" t="s">
        <v>50</v>
      </c>
      <c r="B9" t="s">
        <v>27</v>
      </c>
      <c r="C9" s="5">
        <v>45486</v>
      </c>
      <c r="D9" t="s">
        <v>52</v>
      </c>
      <c r="E9" t="s">
        <v>53</v>
      </c>
      <c r="F9">
        <v>3929</v>
      </c>
      <c r="G9">
        <v>262</v>
      </c>
      <c r="H9">
        <v>278</v>
      </c>
      <c r="I9">
        <v>43219</v>
      </c>
      <c r="J9">
        <v>42841</v>
      </c>
      <c r="K9">
        <v>39</v>
      </c>
      <c r="L9" t="s">
        <v>37</v>
      </c>
      <c r="O9" t="s">
        <v>38</v>
      </c>
      <c r="P9" t="s">
        <v>38</v>
      </c>
    </row>
    <row r="10" spans="1:17" x14ac:dyDescent="0.3">
      <c r="A10" t="s">
        <v>54</v>
      </c>
      <c r="B10" t="s">
        <v>43</v>
      </c>
      <c r="C10" s="5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</row>
    <row r="11" spans="1:17" x14ac:dyDescent="0.3">
      <c r="A11" t="s">
        <v>57</v>
      </c>
      <c r="B11" t="s">
        <v>43</v>
      </c>
      <c r="C11" s="5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</row>
    <row r="12" spans="1:17" x14ac:dyDescent="0.3">
      <c r="A12" t="s">
        <v>60</v>
      </c>
      <c r="B12" t="s">
        <v>33</v>
      </c>
      <c r="C12" s="5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</row>
    <row r="13" spans="1:17" x14ac:dyDescent="0.3">
      <c r="A13" t="s">
        <v>63</v>
      </c>
      <c r="B13" t="s">
        <v>43</v>
      </c>
      <c r="C13" s="5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</row>
    <row r="14" spans="1:17" x14ac:dyDescent="0.3">
      <c r="A14" t="s">
        <v>66</v>
      </c>
      <c r="B14" t="s">
        <v>27</v>
      </c>
      <c r="C14" s="5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</row>
    <row r="15" spans="1:17" x14ac:dyDescent="0.3">
      <c r="A15" t="s">
        <v>69</v>
      </c>
      <c r="B15" t="s">
        <v>43</v>
      </c>
      <c r="C15" s="5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</row>
    <row r="16" spans="1:17" x14ac:dyDescent="0.3">
      <c r="A16" t="s">
        <v>72</v>
      </c>
      <c r="B16" t="s">
        <v>43</v>
      </c>
      <c r="C16" s="5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</row>
    <row r="17" spans="1:17" x14ac:dyDescent="0.3">
      <c r="A17" t="s">
        <v>76</v>
      </c>
      <c r="B17" t="s">
        <v>43</v>
      </c>
      <c r="C17" s="5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</row>
    <row r="18" spans="1:17" x14ac:dyDescent="0.3">
      <c r="A18" t="s">
        <v>78</v>
      </c>
      <c r="B18" t="s">
        <v>43</v>
      </c>
      <c r="C18" s="5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</row>
    <row r="19" spans="1:17" x14ac:dyDescent="0.3">
      <c r="A19" t="s">
        <v>80</v>
      </c>
      <c r="B19" t="s">
        <v>33</v>
      </c>
      <c r="C19" s="5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</row>
    <row r="20" spans="1:17" x14ac:dyDescent="0.3">
      <c r="A20" t="s">
        <v>83</v>
      </c>
      <c r="B20" t="s">
        <v>33</v>
      </c>
      <c r="C20" s="5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</row>
    <row r="21" spans="1:17" x14ac:dyDescent="0.3">
      <c r="A21" t="s">
        <v>86</v>
      </c>
      <c r="B21" t="s">
        <v>33</v>
      </c>
      <c r="C21" s="5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</row>
    <row r="22" spans="1:17" x14ac:dyDescent="0.3">
      <c r="A22" t="s">
        <v>89</v>
      </c>
      <c r="B22" t="s">
        <v>33</v>
      </c>
      <c r="C22" s="5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</row>
    <row r="23" spans="1:17" x14ac:dyDescent="0.3">
      <c r="A23" t="s">
        <v>91</v>
      </c>
      <c r="B23" t="s">
        <v>43</v>
      </c>
      <c r="C23" s="5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</row>
    <row r="24" spans="1:17" x14ac:dyDescent="0.3">
      <c r="A24" t="s">
        <v>93</v>
      </c>
      <c r="B24" t="s">
        <v>43</v>
      </c>
      <c r="C24" s="5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  <c r="Q24" t="s">
        <v>25</v>
      </c>
    </row>
    <row r="25" spans="1:17" x14ac:dyDescent="0.3">
      <c r="A25" t="s">
        <v>96</v>
      </c>
      <c r="B25" t="s">
        <v>43</v>
      </c>
      <c r="C25" s="5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</row>
    <row r="26" spans="1:17" x14ac:dyDescent="0.3">
      <c r="A26" t="s">
        <v>98</v>
      </c>
      <c r="B26" t="s">
        <v>14</v>
      </c>
      <c r="C26" s="5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</row>
    <row r="27" spans="1:17" x14ac:dyDescent="0.3">
      <c r="A27" t="s">
        <v>100</v>
      </c>
      <c r="B27" t="s">
        <v>27</v>
      </c>
      <c r="C27" s="5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</row>
    <row r="28" spans="1:17" x14ac:dyDescent="0.3">
      <c r="A28" t="s">
        <v>102</v>
      </c>
      <c r="B28" t="s">
        <v>27</v>
      </c>
      <c r="C28" s="5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</row>
    <row r="29" spans="1:17" x14ac:dyDescent="0.3">
      <c r="A29" t="s">
        <v>105</v>
      </c>
      <c r="B29" t="s">
        <v>33</v>
      </c>
      <c r="C29" s="5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</row>
    <row r="30" spans="1:17" x14ac:dyDescent="0.3">
      <c r="A30" t="s">
        <v>107</v>
      </c>
      <c r="B30" t="s">
        <v>33</v>
      </c>
      <c r="C30" s="5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</row>
    <row r="31" spans="1:17" x14ac:dyDescent="0.3">
      <c r="A31" t="s">
        <v>109</v>
      </c>
      <c r="B31" t="s">
        <v>33</v>
      </c>
      <c r="C31" s="5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</row>
    <row r="32" spans="1:17" x14ac:dyDescent="0.3">
      <c r="A32" t="s">
        <v>111</v>
      </c>
      <c r="B32" t="s">
        <v>33</v>
      </c>
      <c r="C32" s="5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</row>
    <row r="33" spans="1:16" x14ac:dyDescent="0.3">
      <c r="A33" t="s">
        <v>114</v>
      </c>
      <c r="B33" t="s">
        <v>14</v>
      </c>
      <c r="C33" s="5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</row>
    <row r="34" spans="1:16" x14ac:dyDescent="0.3">
      <c r="A34" t="s">
        <v>116</v>
      </c>
      <c r="B34" t="s">
        <v>43</v>
      </c>
      <c r="C34" s="5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</row>
    <row r="35" spans="1:16" x14ac:dyDescent="0.3">
      <c r="A35" t="s">
        <v>118</v>
      </c>
      <c r="B35" t="s">
        <v>43</v>
      </c>
      <c r="C35" s="5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</row>
    <row r="36" spans="1:16" x14ac:dyDescent="0.3">
      <c r="A36" t="s">
        <v>120</v>
      </c>
      <c r="B36" t="s">
        <v>33</v>
      </c>
      <c r="C36" s="5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</row>
    <row r="37" spans="1:16" x14ac:dyDescent="0.3">
      <c r="A37" t="s">
        <v>122</v>
      </c>
      <c r="B37" t="s">
        <v>33</v>
      </c>
      <c r="C37" s="5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</row>
    <row r="38" spans="1:16" x14ac:dyDescent="0.3">
      <c r="A38" t="s">
        <v>124</v>
      </c>
      <c r="B38" t="s">
        <v>43</v>
      </c>
      <c r="C38" s="5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</row>
    <row r="39" spans="1:16" x14ac:dyDescent="0.3">
      <c r="A39" t="s">
        <v>126</v>
      </c>
      <c r="B39" t="s">
        <v>27</v>
      </c>
      <c r="C39" s="5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</row>
    <row r="40" spans="1:16" x14ac:dyDescent="0.3">
      <c r="A40" t="s">
        <v>128</v>
      </c>
      <c r="B40" t="s">
        <v>43</v>
      </c>
      <c r="C40" s="5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</row>
    <row r="41" spans="1:16" x14ac:dyDescent="0.3">
      <c r="A41" t="s">
        <v>130</v>
      </c>
      <c r="B41" t="s">
        <v>14</v>
      </c>
      <c r="C41" s="5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</row>
    <row r="42" spans="1:16" x14ac:dyDescent="0.3">
      <c r="A42" t="s">
        <v>133</v>
      </c>
      <c r="B42" t="s">
        <v>33</v>
      </c>
      <c r="C42" s="5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</row>
    <row r="43" spans="1:16" x14ac:dyDescent="0.3">
      <c r="A43" t="s">
        <v>135</v>
      </c>
      <c r="B43" t="s">
        <v>27</v>
      </c>
      <c r="C43" s="5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</row>
    <row r="44" spans="1:16" x14ac:dyDescent="0.3">
      <c r="A44" t="s">
        <v>137</v>
      </c>
      <c r="B44" t="s">
        <v>33</v>
      </c>
      <c r="C44" s="5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</row>
    <row r="45" spans="1:16" x14ac:dyDescent="0.3">
      <c r="A45" t="s">
        <v>139</v>
      </c>
      <c r="B45" t="s">
        <v>14</v>
      </c>
      <c r="C45" s="5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</row>
    <row r="46" spans="1:16" x14ac:dyDescent="0.3">
      <c r="A46" t="s">
        <v>141</v>
      </c>
      <c r="B46" t="s">
        <v>43</v>
      </c>
      <c r="C46" s="5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</row>
    <row r="47" spans="1:16" x14ac:dyDescent="0.3">
      <c r="A47" t="s">
        <v>143</v>
      </c>
      <c r="B47" t="s">
        <v>14</v>
      </c>
      <c r="C47" s="5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</row>
    <row r="48" spans="1:16" x14ac:dyDescent="0.3">
      <c r="A48" t="s">
        <v>146</v>
      </c>
      <c r="B48" t="s">
        <v>14</v>
      </c>
      <c r="C48" s="5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</row>
    <row r="49" spans="1:17" x14ac:dyDescent="0.3">
      <c r="A49" t="s">
        <v>148</v>
      </c>
      <c r="B49" t="s">
        <v>14</v>
      </c>
      <c r="C49" s="5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</row>
    <row r="50" spans="1:17" x14ac:dyDescent="0.3">
      <c r="A50" t="s">
        <v>150</v>
      </c>
      <c r="B50" t="s">
        <v>14</v>
      </c>
      <c r="C50" s="5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</row>
    <row r="51" spans="1:17" x14ac:dyDescent="0.3">
      <c r="A51" t="s">
        <v>152</v>
      </c>
      <c r="B51" t="s">
        <v>27</v>
      </c>
      <c r="C51" s="5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</row>
    <row r="52" spans="1:17" x14ac:dyDescent="0.3">
      <c r="A52" t="s">
        <v>155</v>
      </c>
      <c r="B52" t="s">
        <v>43</v>
      </c>
      <c r="C52" s="5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</row>
    <row r="53" spans="1:17" x14ac:dyDescent="0.3">
      <c r="A53" t="s">
        <v>157</v>
      </c>
      <c r="B53" t="s">
        <v>43</v>
      </c>
      <c r="C53" s="5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</row>
    <row r="54" spans="1:17" x14ac:dyDescent="0.3">
      <c r="A54" t="s">
        <v>159</v>
      </c>
      <c r="B54" t="s">
        <v>27</v>
      </c>
      <c r="C54" s="5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  <c r="Q54" t="s">
        <v>38</v>
      </c>
    </row>
    <row r="55" spans="1:17" x14ac:dyDescent="0.3">
      <c r="A55" t="s">
        <v>161</v>
      </c>
      <c r="B55" t="s">
        <v>27</v>
      </c>
      <c r="C55" s="5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</row>
    <row r="56" spans="1:17" x14ac:dyDescent="0.3">
      <c r="A56" t="s">
        <v>163</v>
      </c>
      <c r="B56" t="s">
        <v>43</v>
      </c>
      <c r="C56" s="5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</row>
    <row r="57" spans="1:17" x14ac:dyDescent="0.3">
      <c r="A57" t="s">
        <v>165</v>
      </c>
      <c r="B57" t="s">
        <v>43</v>
      </c>
      <c r="C57" s="5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</row>
    <row r="58" spans="1:17" x14ac:dyDescent="0.3">
      <c r="A58" t="s">
        <v>167</v>
      </c>
      <c r="B58" t="s">
        <v>14</v>
      </c>
      <c r="C58" s="5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</row>
    <row r="59" spans="1:17" x14ac:dyDescent="0.3">
      <c r="A59" t="s">
        <v>169</v>
      </c>
      <c r="B59" t="s">
        <v>33</v>
      </c>
      <c r="C59" s="5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</row>
    <row r="60" spans="1:17" x14ac:dyDescent="0.3">
      <c r="A60" t="s">
        <v>171</v>
      </c>
      <c r="B60" t="s">
        <v>33</v>
      </c>
      <c r="C60" s="5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</row>
    <row r="61" spans="1:17" x14ac:dyDescent="0.3">
      <c r="A61" t="s">
        <v>173</v>
      </c>
      <c r="B61" t="s">
        <v>33</v>
      </c>
      <c r="C61" s="5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t="s">
        <v>19</v>
      </c>
    </row>
    <row r="62" spans="1:17" x14ac:dyDescent="0.3">
      <c r="A62" t="s">
        <v>176</v>
      </c>
      <c r="B62" t="s">
        <v>14</v>
      </c>
      <c r="C62" s="5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</row>
    <row r="63" spans="1:17" x14ac:dyDescent="0.3">
      <c r="A63" t="s">
        <v>178</v>
      </c>
      <c r="B63" t="s">
        <v>14</v>
      </c>
      <c r="C63" s="5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</row>
    <row r="64" spans="1:17" x14ac:dyDescent="0.3">
      <c r="A64" t="s">
        <v>180</v>
      </c>
      <c r="B64" t="s">
        <v>14</v>
      </c>
      <c r="C64" s="5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</row>
    <row r="65" spans="1:16" x14ac:dyDescent="0.3">
      <c r="A65" t="s">
        <v>181</v>
      </c>
      <c r="B65" t="s">
        <v>43</v>
      </c>
      <c r="C65" s="5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</row>
    <row r="66" spans="1:16" x14ac:dyDescent="0.3">
      <c r="A66" t="s">
        <v>183</v>
      </c>
      <c r="B66" t="s">
        <v>33</v>
      </c>
      <c r="C66" s="5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</row>
    <row r="67" spans="1:16" x14ac:dyDescent="0.3">
      <c r="A67" t="s">
        <v>185</v>
      </c>
      <c r="B67" t="s">
        <v>14</v>
      </c>
      <c r="C67" s="5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</row>
    <row r="68" spans="1:16" x14ac:dyDescent="0.3">
      <c r="A68" t="s">
        <v>187</v>
      </c>
      <c r="B68" t="s">
        <v>43</v>
      </c>
      <c r="C68" s="5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</row>
    <row r="69" spans="1:16" x14ac:dyDescent="0.3">
      <c r="A69" t="s">
        <v>189</v>
      </c>
      <c r="B69" t="s">
        <v>33</v>
      </c>
      <c r="C69" s="5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</row>
    <row r="70" spans="1:16" x14ac:dyDescent="0.3">
      <c r="A70" t="s">
        <v>191</v>
      </c>
      <c r="B70" t="s">
        <v>14</v>
      </c>
      <c r="C70" s="5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</row>
    <row r="71" spans="1:16" x14ac:dyDescent="0.3">
      <c r="A71" t="s">
        <v>192</v>
      </c>
      <c r="B71" t="s">
        <v>43</v>
      </c>
      <c r="C71" s="5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</row>
    <row r="72" spans="1:16" x14ac:dyDescent="0.3">
      <c r="A72" t="s">
        <v>194</v>
      </c>
      <c r="B72" t="s">
        <v>27</v>
      </c>
      <c r="C72" s="5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</row>
    <row r="73" spans="1:16" x14ac:dyDescent="0.3">
      <c r="A73" t="s">
        <v>196</v>
      </c>
      <c r="B73" t="s">
        <v>27</v>
      </c>
      <c r="C73" s="5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</row>
    <row r="74" spans="1:16" x14ac:dyDescent="0.3">
      <c r="A74" t="s">
        <v>198</v>
      </c>
      <c r="B74" t="s">
        <v>43</v>
      </c>
      <c r="C74" s="5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</row>
    <row r="75" spans="1:16" x14ac:dyDescent="0.3">
      <c r="A75" t="s">
        <v>200</v>
      </c>
      <c r="B75" t="s">
        <v>27</v>
      </c>
      <c r="C75" s="5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</row>
    <row r="76" spans="1:16" x14ac:dyDescent="0.3">
      <c r="A76" t="s">
        <v>202</v>
      </c>
      <c r="B76" t="s">
        <v>33</v>
      </c>
      <c r="C76" s="5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</row>
    <row r="77" spans="1:16" x14ac:dyDescent="0.3">
      <c r="A77" t="s">
        <v>204</v>
      </c>
      <c r="B77" t="s">
        <v>14</v>
      </c>
      <c r="C77" s="5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</row>
    <row r="78" spans="1:16" x14ac:dyDescent="0.3">
      <c r="A78" t="s">
        <v>206</v>
      </c>
      <c r="B78" t="s">
        <v>43</v>
      </c>
      <c r="C78" s="5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</row>
    <row r="79" spans="1:16" x14ac:dyDescent="0.3">
      <c r="A79" t="s">
        <v>207</v>
      </c>
      <c r="B79" t="s">
        <v>14</v>
      </c>
      <c r="C79" s="5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</row>
    <row r="80" spans="1:16" x14ac:dyDescent="0.3">
      <c r="A80" t="s">
        <v>208</v>
      </c>
      <c r="B80" t="s">
        <v>33</v>
      </c>
      <c r="C80" s="5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</row>
    <row r="81" spans="1:17" x14ac:dyDescent="0.3">
      <c r="A81" t="s">
        <v>210</v>
      </c>
      <c r="B81" t="s">
        <v>33</v>
      </c>
      <c r="C81" s="5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</row>
    <row r="82" spans="1:17" x14ac:dyDescent="0.3">
      <c r="A82" t="s">
        <v>211</v>
      </c>
      <c r="B82" t="s">
        <v>33</v>
      </c>
      <c r="C82" s="5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</row>
    <row r="83" spans="1:17" x14ac:dyDescent="0.3">
      <c r="A83" t="s">
        <v>213</v>
      </c>
      <c r="B83" t="s">
        <v>33</v>
      </c>
      <c r="C83" s="5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t="s">
        <v>19</v>
      </c>
    </row>
    <row r="84" spans="1:17" x14ac:dyDescent="0.3">
      <c r="A84" t="s">
        <v>217</v>
      </c>
      <c r="B84" t="s">
        <v>27</v>
      </c>
      <c r="C84" s="5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</row>
    <row r="85" spans="1:17" x14ac:dyDescent="0.3">
      <c r="A85" t="s">
        <v>220</v>
      </c>
      <c r="B85" t="s">
        <v>43</v>
      </c>
      <c r="C85" s="5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</row>
    <row r="86" spans="1:17" x14ac:dyDescent="0.3">
      <c r="A86" t="s">
        <v>222</v>
      </c>
      <c r="B86" t="s">
        <v>33</v>
      </c>
      <c r="C86" s="5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</row>
    <row r="87" spans="1:17" x14ac:dyDescent="0.3">
      <c r="A87" t="s">
        <v>223</v>
      </c>
      <c r="B87" t="s">
        <v>27</v>
      </c>
      <c r="C87" s="5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  <c r="Q87" t="s">
        <v>38</v>
      </c>
    </row>
    <row r="88" spans="1:17" x14ac:dyDescent="0.3">
      <c r="A88" t="s">
        <v>225</v>
      </c>
      <c r="B88" t="s">
        <v>14</v>
      </c>
      <c r="C88" s="5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</row>
    <row r="89" spans="1:17" x14ac:dyDescent="0.3">
      <c r="A89" t="s">
        <v>227</v>
      </c>
      <c r="B89" t="s">
        <v>43</v>
      </c>
      <c r="C89" s="5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</row>
    <row r="90" spans="1:17" x14ac:dyDescent="0.3">
      <c r="A90" t="s">
        <v>229</v>
      </c>
      <c r="B90" t="s">
        <v>14</v>
      </c>
      <c r="C90" s="5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</row>
    <row r="91" spans="1:17" x14ac:dyDescent="0.3">
      <c r="A91" t="s">
        <v>231</v>
      </c>
      <c r="B91" t="s">
        <v>33</v>
      </c>
      <c r="C91" s="5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</row>
    <row r="92" spans="1:17" x14ac:dyDescent="0.3">
      <c r="A92" t="s">
        <v>233</v>
      </c>
      <c r="B92" t="s">
        <v>43</v>
      </c>
      <c r="C92" s="5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</row>
    <row r="93" spans="1:17" x14ac:dyDescent="0.3">
      <c r="A93" t="s">
        <v>235</v>
      </c>
      <c r="B93" t="s">
        <v>14</v>
      </c>
      <c r="C93" s="5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</row>
    <row r="94" spans="1:17" x14ac:dyDescent="0.3">
      <c r="A94" t="s">
        <v>236</v>
      </c>
      <c r="B94" t="s">
        <v>33</v>
      </c>
      <c r="C94" s="5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</row>
    <row r="95" spans="1:17" x14ac:dyDescent="0.3">
      <c r="A95" t="s">
        <v>238</v>
      </c>
      <c r="B95" t="s">
        <v>33</v>
      </c>
      <c r="C95" s="5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</row>
    <row r="96" spans="1:17" x14ac:dyDescent="0.3">
      <c r="A96" t="s">
        <v>239</v>
      </c>
      <c r="B96" t="s">
        <v>33</v>
      </c>
      <c r="C96" s="5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</row>
    <row r="97" spans="1:17" x14ac:dyDescent="0.3">
      <c r="A97" t="s">
        <v>241</v>
      </c>
      <c r="B97" t="s">
        <v>14</v>
      </c>
      <c r="C97" s="5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</row>
    <row r="98" spans="1:17" x14ac:dyDescent="0.3">
      <c r="A98" t="s">
        <v>243</v>
      </c>
      <c r="B98" t="s">
        <v>33</v>
      </c>
      <c r="C98" s="5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  <c r="Q98" t="s">
        <v>25</v>
      </c>
    </row>
    <row r="99" spans="1:17" x14ac:dyDescent="0.3">
      <c r="A99" t="s">
        <v>245</v>
      </c>
      <c r="B99" t="s">
        <v>14</v>
      </c>
      <c r="C99" s="5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</row>
    <row r="100" spans="1:17" x14ac:dyDescent="0.3">
      <c r="A100" t="s">
        <v>246</v>
      </c>
      <c r="B100" t="s">
        <v>27</v>
      </c>
      <c r="C100" s="5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</row>
    <row r="101" spans="1:17" x14ac:dyDescent="0.3">
      <c r="A101" t="s">
        <v>248</v>
      </c>
      <c r="B101" t="s">
        <v>27</v>
      </c>
      <c r="C101" s="5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</row>
    <row r="102" spans="1:17" x14ac:dyDescent="0.3">
      <c r="A102" t="s">
        <v>250</v>
      </c>
      <c r="B102" t="s">
        <v>27</v>
      </c>
      <c r="C102" s="5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</row>
    <row r="103" spans="1:17" x14ac:dyDescent="0.3">
      <c r="A103" t="s">
        <v>251</v>
      </c>
      <c r="B103" t="s">
        <v>14</v>
      </c>
      <c r="C103" s="5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</row>
    <row r="104" spans="1:17" x14ac:dyDescent="0.3">
      <c r="A104" t="s">
        <v>253</v>
      </c>
      <c r="B104" t="s">
        <v>43</v>
      </c>
      <c r="C104" s="5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</row>
    <row r="105" spans="1:17" x14ac:dyDescent="0.3">
      <c r="A105" t="s">
        <v>255</v>
      </c>
      <c r="B105" t="s">
        <v>27</v>
      </c>
      <c r="C105" s="5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</row>
    <row r="106" spans="1:17" x14ac:dyDescent="0.3">
      <c r="A106" t="s">
        <v>257</v>
      </c>
      <c r="B106" t="s">
        <v>33</v>
      </c>
      <c r="C106" s="5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</row>
    <row r="107" spans="1:17" x14ac:dyDescent="0.3">
      <c r="A107" t="s">
        <v>259</v>
      </c>
      <c r="B107" t="s">
        <v>33</v>
      </c>
      <c r="C107" s="5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</row>
    <row r="108" spans="1:17" x14ac:dyDescent="0.3">
      <c r="A108" t="s">
        <v>261</v>
      </c>
      <c r="B108" t="s">
        <v>27</v>
      </c>
      <c r="C108" s="5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</row>
    <row r="109" spans="1:17" x14ac:dyDescent="0.3">
      <c r="A109" t="s">
        <v>263</v>
      </c>
      <c r="B109" t="s">
        <v>14</v>
      </c>
      <c r="C109" s="5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</row>
    <row r="110" spans="1:17" x14ac:dyDescent="0.3">
      <c r="A110" t="s">
        <v>265</v>
      </c>
      <c r="B110" t="s">
        <v>14</v>
      </c>
      <c r="C110" s="5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</row>
    <row r="111" spans="1:17" x14ac:dyDescent="0.3">
      <c r="A111" t="s">
        <v>267</v>
      </c>
      <c r="B111" t="s">
        <v>33</v>
      </c>
      <c r="C111" s="5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</row>
    <row r="112" spans="1:17" x14ac:dyDescent="0.3">
      <c r="A112" t="s">
        <v>269</v>
      </c>
      <c r="B112" t="s">
        <v>27</v>
      </c>
      <c r="C112" s="5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</row>
    <row r="113" spans="1:17" x14ac:dyDescent="0.3">
      <c r="A113" t="s">
        <v>271</v>
      </c>
      <c r="B113" t="s">
        <v>14</v>
      </c>
      <c r="C113" s="5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</row>
    <row r="114" spans="1:17" x14ac:dyDescent="0.3">
      <c r="A114" t="s">
        <v>273</v>
      </c>
      <c r="B114" t="s">
        <v>14</v>
      </c>
      <c r="C114" s="5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</row>
    <row r="115" spans="1:17" x14ac:dyDescent="0.3">
      <c r="A115" t="s">
        <v>275</v>
      </c>
      <c r="B115" t="s">
        <v>14</v>
      </c>
      <c r="C115" s="5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</row>
    <row r="116" spans="1:17" x14ac:dyDescent="0.3">
      <c r="A116" t="s">
        <v>277</v>
      </c>
      <c r="B116" t="s">
        <v>14</v>
      </c>
      <c r="C116" s="5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  <c r="Q116" t="s">
        <v>25</v>
      </c>
    </row>
    <row r="117" spans="1:17" x14ac:dyDescent="0.3">
      <c r="A117" t="s">
        <v>279</v>
      </c>
      <c r="B117" t="s">
        <v>27</v>
      </c>
      <c r="C117" s="5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</row>
    <row r="118" spans="1:17" x14ac:dyDescent="0.3">
      <c r="A118" t="s">
        <v>281</v>
      </c>
      <c r="B118" t="s">
        <v>14</v>
      </c>
      <c r="C118" s="5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</row>
    <row r="119" spans="1:17" x14ac:dyDescent="0.3">
      <c r="A119" t="s">
        <v>283</v>
      </c>
      <c r="B119" t="s">
        <v>43</v>
      </c>
      <c r="C119" s="5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</row>
    <row r="120" spans="1:17" x14ac:dyDescent="0.3">
      <c r="A120" t="s">
        <v>284</v>
      </c>
      <c r="B120" t="s">
        <v>33</v>
      </c>
      <c r="C120" s="5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</row>
    <row r="121" spans="1:17" x14ac:dyDescent="0.3">
      <c r="A121" t="s">
        <v>286</v>
      </c>
      <c r="B121" t="s">
        <v>43</v>
      </c>
      <c r="C121" s="5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</row>
    <row r="122" spans="1:17" x14ac:dyDescent="0.3">
      <c r="A122" t="s">
        <v>287</v>
      </c>
      <c r="B122" t="s">
        <v>33</v>
      </c>
      <c r="C122" s="5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</row>
    <row r="123" spans="1:17" x14ac:dyDescent="0.3">
      <c r="A123" t="s">
        <v>288</v>
      </c>
      <c r="B123" t="s">
        <v>33</v>
      </c>
      <c r="C123" s="5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</row>
    <row r="124" spans="1:17" x14ac:dyDescent="0.3">
      <c r="A124" t="s">
        <v>289</v>
      </c>
      <c r="B124" t="s">
        <v>33</v>
      </c>
      <c r="C124" s="5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</row>
    <row r="125" spans="1:17" x14ac:dyDescent="0.3">
      <c r="A125" t="s">
        <v>290</v>
      </c>
      <c r="B125" t="s">
        <v>27</v>
      </c>
      <c r="C125" s="5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</row>
    <row r="126" spans="1:17" x14ac:dyDescent="0.3">
      <c r="A126" t="s">
        <v>292</v>
      </c>
      <c r="B126" t="s">
        <v>14</v>
      </c>
      <c r="C126" s="5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</row>
    <row r="127" spans="1:17" x14ac:dyDescent="0.3">
      <c r="A127" t="s">
        <v>294</v>
      </c>
      <c r="B127" t="s">
        <v>33</v>
      </c>
      <c r="C127" s="5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</row>
    <row r="128" spans="1:17" x14ac:dyDescent="0.3">
      <c r="A128" t="s">
        <v>295</v>
      </c>
      <c r="B128" t="s">
        <v>43</v>
      </c>
      <c r="C128" s="5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</row>
    <row r="129" spans="1:17" x14ac:dyDescent="0.3">
      <c r="A129" t="s">
        <v>296</v>
      </c>
      <c r="B129" t="s">
        <v>14</v>
      </c>
      <c r="C129" s="5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</row>
    <row r="130" spans="1:17" x14ac:dyDescent="0.3">
      <c r="A130" t="s">
        <v>297</v>
      </c>
      <c r="B130" t="s">
        <v>14</v>
      </c>
      <c r="C130" s="5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</row>
    <row r="131" spans="1:17" x14ac:dyDescent="0.3">
      <c r="A131" t="s">
        <v>298</v>
      </c>
      <c r="B131" t="s">
        <v>27</v>
      </c>
      <c r="C131" s="5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</row>
    <row r="132" spans="1:17" x14ac:dyDescent="0.3">
      <c r="A132" t="s">
        <v>300</v>
      </c>
      <c r="B132" t="s">
        <v>33</v>
      </c>
      <c r="C132" s="5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</row>
    <row r="133" spans="1:17" x14ac:dyDescent="0.3">
      <c r="A133" t="s">
        <v>301</v>
      </c>
      <c r="B133" t="s">
        <v>33</v>
      </c>
      <c r="C133" s="5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</row>
    <row r="134" spans="1:17" x14ac:dyDescent="0.3">
      <c r="A134" t="s">
        <v>302</v>
      </c>
      <c r="B134" t="s">
        <v>43</v>
      </c>
      <c r="C134" s="5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</row>
    <row r="135" spans="1:17" x14ac:dyDescent="0.3">
      <c r="A135" t="s">
        <v>304</v>
      </c>
      <c r="B135" t="s">
        <v>14</v>
      </c>
      <c r="C135" s="5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</row>
    <row r="136" spans="1:17" x14ac:dyDescent="0.3">
      <c r="A136" t="s">
        <v>306</v>
      </c>
      <c r="B136" t="s">
        <v>43</v>
      </c>
      <c r="C136" s="5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</row>
    <row r="137" spans="1:17" x14ac:dyDescent="0.3">
      <c r="A137" t="s">
        <v>308</v>
      </c>
      <c r="B137" t="s">
        <v>33</v>
      </c>
      <c r="C137" s="5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</row>
    <row r="138" spans="1:17" x14ac:dyDescent="0.3">
      <c r="A138" t="s">
        <v>310</v>
      </c>
      <c r="B138" t="s">
        <v>43</v>
      </c>
      <c r="C138" s="5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</row>
    <row r="139" spans="1:17" x14ac:dyDescent="0.3">
      <c r="A139" t="s">
        <v>311</v>
      </c>
      <c r="B139" t="s">
        <v>14</v>
      </c>
      <c r="C139" s="5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</row>
    <row r="140" spans="1:17" x14ac:dyDescent="0.3">
      <c r="A140" t="s">
        <v>312</v>
      </c>
      <c r="B140" t="s">
        <v>27</v>
      </c>
      <c r="C140" s="5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</row>
    <row r="141" spans="1:17" x14ac:dyDescent="0.3">
      <c r="A141" t="s">
        <v>314</v>
      </c>
      <c r="B141" t="s">
        <v>43</v>
      </c>
      <c r="C141" s="5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  <c r="Q141" t="s">
        <v>31</v>
      </c>
    </row>
    <row r="142" spans="1:17" x14ac:dyDescent="0.3">
      <c r="A142" t="s">
        <v>317</v>
      </c>
      <c r="B142" t="s">
        <v>14</v>
      </c>
      <c r="C142" s="5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</row>
    <row r="143" spans="1:17" x14ac:dyDescent="0.3">
      <c r="A143" t="s">
        <v>319</v>
      </c>
      <c r="B143" t="s">
        <v>27</v>
      </c>
      <c r="C143" s="5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</row>
    <row r="144" spans="1:17" x14ac:dyDescent="0.3">
      <c r="A144" t="s">
        <v>320</v>
      </c>
      <c r="B144" t="s">
        <v>27</v>
      </c>
      <c r="C144" s="5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</row>
    <row r="145" spans="1:17" x14ac:dyDescent="0.3">
      <c r="A145" t="s">
        <v>321</v>
      </c>
      <c r="B145" t="s">
        <v>27</v>
      </c>
      <c r="C145" s="5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</row>
    <row r="146" spans="1:17" x14ac:dyDescent="0.3">
      <c r="A146" t="s">
        <v>322</v>
      </c>
      <c r="B146" t="s">
        <v>33</v>
      </c>
      <c r="C146" s="5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</row>
    <row r="147" spans="1:17" x14ac:dyDescent="0.3">
      <c r="A147" t="s">
        <v>323</v>
      </c>
      <c r="B147" t="s">
        <v>27</v>
      </c>
      <c r="C147" s="5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  <c r="Q147" t="s">
        <v>25</v>
      </c>
    </row>
    <row r="148" spans="1:17" x14ac:dyDescent="0.3">
      <c r="A148" t="s">
        <v>326</v>
      </c>
      <c r="B148" t="s">
        <v>33</v>
      </c>
      <c r="C148" s="5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</row>
    <row r="149" spans="1:17" x14ac:dyDescent="0.3">
      <c r="A149" t="s">
        <v>327</v>
      </c>
      <c r="B149" t="s">
        <v>33</v>
      </c>
      <c r="C149" s="5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</row>
    <row r="150" spans="1:17" x14ac:dyDescent="0.3">
      <c r="A150" t="s">
        <v>328</v>
      </c>
      <c r="B150" t="s">
        <v>14</v>
      </c>
      <c r="C150" s="5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</row>
    <row r="151" spans="1:17" x14ac:dyDescent="0.3">
      <c r="A151" t="s">
        <v>330</v>
      </c>
      <c r="B151" t="s">
        <v>27</v>
      </c>
      <c r="C151" s="5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</row>
    <row r="152" spans="1:17" x14ac:dyDescent="0.3">
      <c r="A152" t="s">
        <v>332</v>
      </c>
      <c r="B152" t="s">
        <v>33</v>
      </c>
      <c r="C152" s="5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</row>
    <row r="153" spans="1:17" x14ac:dyDescent="0.3">
      <c r="A153" t="s">
        <v>333</v>
      </c>
      <c r="B153" t="s">
        <v>43</v>
      </c>
      <c r="C153" s="5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</row>
    <row r="154" spans="1:17" x14ac:dyDescent="0.3">
      <c r="A154" t="s">
        <v>335</v>
      </c>
      <c r="B154" t="s">
        <v>14</v>
      </c>
      <c r="C154" s="5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</row>
    <row r="155" spans="1:17" x14ac:dyDescent="0.3">
      <c r="A155" t="s">
        <v>337</v>
      </c>
      <c r="B155" t="s">
        <v>33</v>
      </c>
      <c r="C155" s="5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</row>
    <row r="156" spans="1:17" x14ac:dyDescent="0.3">
      <c r="A156" t="s">
        <v>338</v>
      </c>
      <c r="B156" t="s">
        <v>27</v>
      </c>
      <c r="C156" s="5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</row>
    <row r="157" spans="1:17" x14ac:dyDescent="0.3">
      <c r="A157" t="s">
        <v>340</v>
      </c>
      <c r="B157" t="s">
        <v>43</v>
      </c>
      <c r="C157" s="5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</row>
    <row r="158" spans="1:17" x14ac:dyDescent="0.3">
      <c r="A158" t="s">
        <v>342</v>
      </c>
      <c r="B158" t="s">
        <v>27</v>
      </c>
      <c r="C158" s="5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</row>
    <row r="159" spans="1:17" x14ac:dyDescent="0.3">
      <c r="A159" t="s">
        <v>344</v>
      </c>
      <c r="B159" t="s">
        <v>33</v>
      </c>
      <c r="C159" s="5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</row>
    <row r="160" spans="1:17" x14ac:dyDescent="0.3">
      <c r="A160" t="s">
        <v>346</v>
      </c>
      <c r="B160" t="s">
        <v>43</v>
      </c>
      <c r="C160" s="5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</row>
    <row r="161" spans="1:17" x14ac:dyDescent="0.3">
      <c r="A161" t="s">
        <v>347</v>
      </c>
      <c r="B161" t="s">
        <v>14</v>
      </c>
      <c r="C161" s="5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</row>
    <row r="162" spans="1:17" x14ac:dyDescent="0.3">
      <c r="A162" t="s">
        <v>349</v>
      </c>
      <c r="B162" t="s">
        <v>14</v>
      </c>
      <c r="C162" s="5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</row>
    <row r="163" spans="1:17" x14ac:dyDescent="0.3">
      <c r="A163" t="s">
        <v>351</v>
      </c>
      <c r="B163" t="s">
        <v>43</v>
      </c>
      <c r="C163" s="5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</row>
    <row r="164" spans="1:17" x14ac:dyDescent="0.3">
      <c r="A164" t="s">
        <v>353</v>
      </c>
      <c r="B164" t="s">
        <v>33</v>
      </c>
      <c r="C164" s="5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</row>
    <row r="165" spans="1:17" x14ac:dyDescent="0.3">
      <c r="A165" t="s">
        <v>355</v>
      </c>
      <c r="B165" t="s">
        <v>27</v>
      </c>
      <c r="C165" s="5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  <c r="Q165" t="s">
        <v>25</v>
      </c>
    </row>
    <row r="166" spans="1:17" x14ac:dyDescent="0.3">
      <c r="A166" t="s">
        <v>356</v>
      </c>
      <c r="B166" t="s">
        <v>14</v>
      </c>
      <c r="C166" s="5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</row>
    <row r="167" spans="1:17" x14ac:dyDescent="0.3">
      <c r="A167" t="s">
        <v>357</v>
      </c>
      <c r="B167" t="s">
        <v>14</v>
      </c>
      <c r="C167" s="5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</row>
    <row r="168" spans="1:17" x14ac:dyDescent="0.3">
      <c r="A168" t="s">
        <v>358</v>
      </c>
      <c r="B168" t="s">
        <v>33</v>
      </c>
      <c r="C168" s="5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</row>
    <row r="169" spans="1:17" x14ac:dyDescent="0.3">
      <c r="A169" t="s">
        <v>359</v>
      </c>
      <c r="B169" t="s">
        <v>43</v>
      </c>
      <c r="C169" s="5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</row>
    <row r="170" spans="1:17" x14ac:dyDescent="0.3">
      <c r="A170" t="s">
        <v>361</v>
      </c>
      <c r="B170" t="s">
        <v>27</v>
      </c>
      <c r="C170" s="5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</row>
    <row r="171" spans="1:17" x14ac:dyDescent="0.3">
      <c r="A171" t="s">
        <v>363</v>
      </c>
      <c r="B171" t="s">
        <v>14</v>
      </c>
      <c r="C171" s="5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</row>
    <row r="172" spans="1:17" x14ac:dyDescent="0.3">
      <c r="A172" t="s">
        <v>365</v>
      </c>
      <c r="B172" t="s">
        <v>27</v>
      </c>
      <c r="C172" s="5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</row>
    <row r="173" spans="1:17" x14ac:dyDescent="0.3">
      <c r="A173" t="s">
        <v>367</v>
      </c>
      <c r="B173" t="s">
        <v>43</v>
      </c>
      <c r="C173" s="5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</row>
    <row r="174" spans="1:17" x14ac:dyDescent="0.3">
      <c r="A174" t="s">
        <v>369</v>
      </c>
      <c r="B174" t="s">
        <v>14</v>
      </c>
      <c r="C174" s="5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</row>
    <row r="175" spans="1:17" x14ac:dyDescent="0.3">
      <c r="A175" t="s">
        <v>371</v>
      </c>
      <c r="B175" t="s">
        <v>43</v>
      </c>
      <c r="C175" s="5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</row>
    <row r="176" spans="1:17" x14ac:dyDescent="0.3">
      <c r="A176" t="s">
        <v>372</v>
      </c>
      <c r="B176" t="s">
        <v>33</v>
      </c>
      <c r="C176" s="5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</row>
    <row r="177" spans="1:16" x14ac:dyDescent="0.3">
      <c r="A177" t="s">
        <v>374</v>
      </c>
      <c r="B177" t="s">
        <v>43</v>
      </c>
      <c r="C177" s="5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</row>
    <row r="178" spans="1:16" x14ac:dyDescent="0.3">
      <c r="A178" t="s">
        <v>376</v>
      </c>
      <c r="B178" t="s">
        <v>33</v>
      </c>
      <c r="C178" s="5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</row>
    <row r="179" spans="1:16" x14ac:dyDescent="0.3">
      <c r="A179" t="s">
        <v>378</v>
      </c>
      <c r="B179" t="s">
        <v>33</v>
      </c>
      <c r="C179" s="5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</row>
    <row r="180" spans="1:16" x14ac:dyDescent="0.3">
      <c r="A180" t="s">
        <v>379</v>
      </c>
      <c r="B180" t="s">
        <v>43</v>
      </c>
      <c r="C180" s="5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</row>
    <row r="181" spans="1:16" x14ac:dyDescent="0.3">
      <c r="A181" t="s">
        <v>380</v>
      </c>
      <c r="B181" t="s">
        <v>27</v>
      </c>
      <c r="C181" s="5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</row>
    <row r="182" spans="1:16" x14ac:dyDescent="0.3">
      <c r="A182" t="s">
        <v>381</v>
      </c>
      <c r="B182" t="s">
        <v>27</v>
      </c>
      <c r="C182" s="5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</row>
    <row r="183" spans="1:16" x14ac:dyDescent="0.3">
      <c r="A183" t="s">
        <v>383</v>
      </c>
      <c r="B183" t="s">
        <v>43</v>
      </c>
      <c r="C183" s="5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</row>
    <row r="184" spans="1:16" x14ac:dyDescent="0.3">
      <c r="A184" t="s">
        <v>384</v>
      </c>
      <c r="B184" t="s">
        <v>33</v>
      </c>
      <c r="C184" s="5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</row>
    <row r="185" spans="1:16" x14ac:dyDescent="0.3">
      <c r="A185" t="s">
        <v>386</v>
      </c>
      <c r="B185" t="s">
        <v>14</v>
      </c>
      <c r="C185" s="5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</row>
    <row r="186" spans="1:16" x14ac:dyDescent="0.3">
      <c r="A186" t="s">
        <v>388</v>
      </c>
      <c r="B186" t="s">
        <v>33</v>
      </c>
      <c r="C186" s="5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</row>
    <row r="187" spans="1:16" x14ac:dyDescent="0.3">
      <c r="A187" t="s">
        <v>390</v>
      </c>
      <c r="B187" t="s">
        <v>43</v>
      </c>
      <c r="C187" s="5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</row>
    <row r="188" spans="1:16" x14ac:dyDescent="0.3">
      <c r="A188" t="s">
        <v>391</v>
      </c>
      <c r="B188" t="s">
        <v>14</v>
      </c>
      <c r="C188" s="5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</row>
    <row r="189" spans="1:16" x14ac:dyDescent="0.3">
      <c r="A189" t="s">
        <v>393</v>
      </c>
      <c r="B189" t="s">
        <v>27</v>
      </c>
      <c r="C189" s="5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</row>
    <row r="190" spans="1:16" x14ac:dyDescent="0.3">
      <c r="A190" t="s">
        <v>394</v>
      </c>
      <c r="B190" t="s">
        <v>43</v>
      </c>
      <c r="C190" s="5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</row>
    <row r="191" spans="1:16" x14ac:dyDescent="0.3">
      <c r="A191" t="s">
        <v>395</v>
      </c>
      <c r="B191" t="s">
        <v>27</v>
      </c>
      <c r="C191" s="5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</row>
    <row r="192" spans="1:16" x14ac:dyDescent="0.3">
      <c r="A192" t="s">
        <v>397</v>
      </c>
      <c r="B192" t="s">
        <v>27</v>
      </c>
      <c r="C192" s="5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</row>
    <row r="193" spans="1:17" x14ac:dyDescent="0.3">
      <c r="A193" t="s">
        <v>398</v>
      </c>
      <c r="B193" t="s">
        <v>33</v>
      </c>
      <c r="C193" s="5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</row>
    <row r="194" spans="1:17" x14ac:dyDescent="0.3">
      <c r="A194" t="s">
        <v>400</v>
      </c>
      <c r="B194" t="s">
        <v>14</v>
      </c>
      <c r="C194" s="5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</row>
    <row r="195" spans="1:17" x14ac:dyDescent="0.3">
      <c r="A195" t="s">
        <v>402</v>
      </c>
      <c r="B195" t="s">
        <v>27</v>
      </c>
      <c r="C195" s="5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</row>
    <row r="196" spans="1:17" x14ac:dyDescent="0.3">
      <c r="A196" t="s">
        <v>403</v>
      </c>
      <c r="B196" t="s">
        <v>33</v>
      </c>
      <c r="C196" s="5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t="s">
        <v>19</v>
      </c>
    </row>
    <row r="197" spans="1:17" x14ac:dyDescent="0.3">
      <c r="A197" t="s">
        <v>405</v>
      </c>
      <c r="B197" t="s">
        <v>33</v>
      </c>
      <c r="C197" s="5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</row>
    <row r="198" spans="1:17" x14ac:dyDescent="0.3">
      <c r="A198" t="s">
        <v>407</v>
      </c>
      <c r="B198" t="s">
        <v>14</v>
      </c>
      <c r="C198" s="5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</row>
    <row r="199" spans="1:17" x14ac:dyDescent="0.3">
      <c r="A199" t="s">
        <v>408</v>
      </c>
      <c r="B199" t="s">
        <v>14</v>
      </c>
      <c r="C199" s="5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</row>
    <row r="200" spans="1:17" x14ac:dyDescent="0.3">
      <c r="A200" t="s">
        <v>410</v>
      </c>
      <c r="B200" t="s">
        <v>27</v>
      </c>
      <c r="C200" s="5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</row>
    <row r="201" spans="1:17" x14ac:dyDescent="0.3">
      <c r="A201" t="s">
        <v>411</v>
      </c>
      <c r="B201" t="s">
        <v>43</v>
      </c>
      <c r="C201" s="5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</row>
    <row r="202" spans="1:17" x14ac:dyDescent="0.3">
      <c r="A202" t="s">
        <v>413</v>
      </c>
      <c r="B202" t="s">
        <v>14</v>
      </c>
      <c r="C202" s="5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</row>
    <row r="203" spans="1:17" x14ac:dyDescent="0.3">
      <c r="A203" t="s">
        <v>415</v>
      </c>
      <c r="B203" t="s">
        <v>43</v>
      </c>
      <c r="C203" s="5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</row>
    <row r="204" spans="1:17" x14ac:dyDescent="0.3">
      <c r="A204" t="s">
        <v>417</v>
      </c>
      <c r="B204" t="s">
        <v>33</v>
      </c>
      <c r="C204" s="5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</row>
    <row r="205" spans="1:17" x14ac:dyDescent="0.3">
      <c r="A205" t="s">
        <v>419</v>
      </c>
      <c r="B205" t="s">
        <v>33</v>
      </c>
      <c r="C205" s="5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</row>
    <row r="206" spans="1:17" x14ac:dyDescent="0.3">
      <c r="A206" t="s">
        <v>420</v>
      </c>
      <c r="B206" t="s">
        <v>14</v>
      </c>
      <c r="C206" s="5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  <c r="Q206" t="s">
        <v>31</v>
      </c>
    </row>
    <row r="207" spans="1:17" x14ac:dyDescent="0.3">
      <c r="A207" t="s">
        <v>422</v>
      </c>
      <c r="B207" t="s">
        <v>14</v>
      </c>
      <c r="C207" s="5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</row>
    <row r="208" spans="1:17" x14ac:dyDescent="0.3">
      <c r="A208" t="s">
        <v>423</v>
      </c>
      <c r="B208" t="s">
        <v>14</v>
      </c>
      <c r="C208" s="5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  <c r="Q208" t="s">
        <v>31</v>
      </c>
    </row>
    <row r="209" spans="1:17" x14ac:dyDescent="0.3">
      <c r="A209" t="s">
        <v>425</v>
      </c>
      <c r="B209" t="s">
        <v>27</v>
      </c>
      <c r="C209" s="5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</row>
    <row r="210" spans="1:17" x14ac:dyDescent="0.3">
      <c r="A210" t="s">
        <v>426</v>
      </c>
      <c r="B210" t="s">
        <v>14</v>
      </c>
      <c r="C210" s="5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  <c r="Q210" t="s">
        <v>25</v>
      </c>
    </row>
    <row r="211" spans="1:17" x14ac:dyDescent="0.3">
      <c r="A211" t="s">
        <v>428</v>
      </c>
      <c r="B211" t="s">
        <v>27</v>
      </c>
      <c r="C211" s="5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</row>
    <row r="212" spans="1:17" x14ac:dyDescent="0.3">
      <c r="A212" t="s">
        <v>429</v>
      </c>
      <c r="B212" t="s">
        <v>14</v>
      </c>
      <c r="C212" s="5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</row>
    <row r="213" spans="1:17" x14ac:dyDescent="0.3">
      <c r="A213" t="s">
        <v>431</v>
      </c>
      <c r="B213" t="s">
        <v>27</v>
      </c>
      <c r="C213" s="5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</row>
    <row r="214" spans="1:17" x14ac:dyDescent="0.3">
      <c r="A214" t="s">
        <v>432</v>
      </c>
      <c r="B214" t="s">
        <v>43</v>
      </c>
      <c r="C214" s="5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</row>
    <row r="215" spans="1:17" x14ac:dyDescent="0.3">
      <c r="A215" t="s">
        <v>434</v>
      </c>
      <c r="B215" t="s">
        <v>33</v>
      </c>
      <c r="C215" s="5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</row>
    <row r="216" spans="1:17" x14ac:dyDescent="0.3">
      <c r="A216" t="s">
        <v>435</v>
      </c>
      <c r="B216" t="s">
        <v>43</v>
      </c>
      <c r="C216" s="5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</row>
    <row r="217" spans="1:17" x14ac:dyDescent="0.3">
      <c r="A217" t="s">
        <v>437</v>
      </c>
      <c r="B217" t="s">
        <v>27</v>
      </c>
      <c r="C217" s="5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</row>
    <row r="218" spans="1:17" x14ac:dyDescent="0.3">
      <c r="A218" t="s">
        <v>438</v>
      </c>
      <c r="B218" t="s">
        <v>43</v>
      </c>
      <c r="C218" s="5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</row>
    <row r="219" spans="1:17" x14ac:dyDescent="0.3">
      <c r="A219" t="s">
        <v>439</v>
      </c>
      <c r="B219" t="s">
        <v>43</v>
      </c>
      <c r="C219" s="5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</row>
    <row r="220" spans="1:17" x14ac:dyDescent="0.3">
      <c r="A220" t="s">
        <v>440</v>
      </c>
      <c r="B220" t="s">
        <v>14</v>
      </c>
      <c r="C220" s="5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</row>
    <row r="221" spans="1:17" x14ac:dyDescent="0.3">
      <c r="A221" t="s">
        <v>441</v>
      </c>
      <c r="B221" t="s">
        <v>33</v>
      </c>
      <c r="C221" s="5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</row>
    <row r="222" spans="1:17" x14ac:dyDescent="0.3">
      <c r="A222" t="s">
        <v>442</v>
      </c>
      <c r="B222" t="s">
        <v>43</v>
      </c>
      <c r="C222" s="5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</row>
    <row r="223" spans="1:17" x14ac:dyDescent="0.3">
      <c r="A223" t="s">
        <v>443</v>
      </c>
      <c r="B223" t="s">
        <v>43</v>
      </c>
      <c r="C223" s="5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  <c r="Q223" t="s">
        <v>31</v>
      </c>
    </row>
    <row r="224" spans="1:17" x14ac:dyDescent="0.3">
      <c r="A224" t="s">
        <v>446</v>
      </c>
      <c r="B224" t="s">
        <v>14</v>
      </c>
      <c r="C224" s="5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</row>
    <row r="225" spans="1:17" x14ac:dyDescent="0.3">
      <c r="A225" t="s">
        <v>447</v>
      </c>
      <c r="B225" t="s">
        <v>43</v>
      </c>
      <c r="C225" s="5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</row>
    <row r="226" spans="1:17" x14ac:dyDescent="0.3">
      <c r="A226" t="s">
        <v>449</v>
      </c>
      <c r="B226" t="s">
        <v>14</v>
      </c>
      <c r="C226" s="5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</row>
    <row r="227" spans="1:17" x14ac:dyDescent="0.3">
      <c r="A227" t="s">
        <v>450</v>
      </c>
      <c r="B227" t="s">
        <v>33</v>
      </c>
      <c r="C227" s="5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</row>
    <row r="228" spans="1:17" x14ac:dyDescent="0.3">
      <c r="A228" t="s">
        <v>452</v>
      </c>
      <c r="B228" t="s">
        <v>33</v>
      </c>
      <c r="C228" s="5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</row>
    <row r="229" spans="1:17" x14ac:dyDescent="0.3">
      <c r="A229" t="s">
        <v>454</v>
      </c>
      <c r="B229" t="s">
        <v>33</v>
      </c>
      <c r="C229" s="5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</row>
    <row r="230" spans="1:17" x14ac:dyDescent="0.3">
      <c r="A230" t="s">
        <v>456</v>
      </c>
      <c r="B230" t="s">
        <v>33</v>
      </c>
      <c r="C230" s="5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</row>
    <row r="231" spans="1:17" x14ac:dyDescent="0.3">
      <c r="A231" t="s">
        <v>457</v>
      </c>
      <c r="B231" t="s">
        <v>43</v>
      </c>
      <c r="C231" s="5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</row>
    <row r="232" spans="1:17" x14ac:dyDescent="0.3">
      <c r="A232" t="s">
        <v>458</v>
      </c>
      <c r="B232" t="s">
        <v>33</v>
      </c>
      <c r="C232" s="5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</row>
    <row r="233" spans="1:17" x14ac:dyDescent="0.3">
      <c r="A233" t="s">
        <v>459</v>
      </c>
      <c r="B233" t="s">
        <v>14</v>
      </c>
      <c r="C233" s="5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</row>
    <row r="234" spans="1:17" x14ac:dyDescent="0.3">
      <c r="A234" t="s">
        <v>461</v>
      </c>
      <c r="B234" t="s">
        <v>43</v>
      </c>
      <c r="C234" s="5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</row>
    <row r="235" spans="1:17" x14ac:dyDescent="0.3">
      <c r="A235" t="s">
        <v>462</v>
      </c>
      <c r="B235" t="s">
        <v>43</v>
      </c>
      <c r="C235" s="5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</row>
    <row r="236" spans="1:17" x14ac:dyDescent="0.3">
      <c r="A236" t="s">
        <v>464</v>
      </c>
      <c r="B236" t="s">
        <v>43</v>
      </c>
      <c r="C236" s="5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</row>
    <row r="237" spans="1:17" x14ac:dyDescent="0.3">
      <c r="A237" t="s">
        <v>465</v>
      </c>
      <c r="B237" t="s">
        <v>43</v>
      </c>
      <c r="C237" s="5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t="s">
        <v>25</v>
      </c>
    </row>
    <row r="238" spans="1:17" x14ac:dyDescent="0.3">
      <c r="A238" t="s">
        <v>467</v>
      </c>
      <c r="B238" t="s">
        <v>33</v>
      </c>
      <c r="C238" s="5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</row>
    <row r="239" spans="1:17" x14ac:dyDescent="0.3">
      <c r="A239" t="s">
        <v>468</v>
      </c>
      <c r="B239" t="s">
        <v>14</v>
      </c>
      <c r="C239" s="5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</row>
    <row r="240" spans="1:17" x14ac:dyDescent="0.3">
      <c r="A240" t="s">
        <v>470</v>
      </c>
      <c r="B240" t="s">
        <v>27</v>
      </c>
      <c r="C240" s="5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</row>
    <row r="241" spans="1:17" x14ac:dyDescent="0.3">
      <c r="A241" t="s">
        <v>471</v>
      </c>
      <c r="B241" t="s">
        <v>14</v>
      </c>
      <c r="C241" s="5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t="s">
        <v>19</v>
      </c>
    </row>
    <row r="242" spans="1:17" x14ac:dyDescent="0.3">
      <c r="A242" t="s">
        <v>472</v>
      </c>
      <c r="B242" t="s">
        <v>43</v>
      </c>
      <c r="C242" s="5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</row>
    <row r="243" spans="1:17" x14ac:dyDescent="0.3">
      <c r="A243" t="s">
        <v>474</v>
      </c>
      <c r="B243" t="s">
        <v>43</v>
      </c>
      <c r="C243" s="5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</row>
    <row r="244" spans="1:17" x14ac:dyDescent="0.3">
      <c r="A244" t="s">
        <v>475</v>
      </c>
      <c r="B244" t="s">
        <v>14</v>
      </c>
      <c r="C244" s="5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</row>
    <row r="245" spans="1:17" x14ac:dyDescent="0.3">
      <c r="A245" t="s">
        <v>477</v>
      </c>
      <c r="B245" t="s">
        <v>27</v>
      </c>
      <c r="C245" s="5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</row>
    <row r="246" spans="1:17" x14ac:dyDescent="0.3">
      <c r="A246" t="s">
        <v>479</v>
      </c>
      <c r="B246" t="s">
        <v>43</v>
      </c>
      <c r="C246" s="5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</row>
    <row r="247" spans="1:17" x14ac:dyDescent="0.3">
      <c r="A247" t="s">
        <v>481</v>
      </c>
      <c r="B247" t="s">
        <v>43</v>
      </c>
      <c r="C247" s="5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</row>
    <row r="248" spans="1:17" x14ac:dyDescent="0.3">
      <c r="A248" t="s">
        <v>483</v>
      </c>
      <c r="B248" t="s">
        <v>43</v>
      </c>
      <c r="C248" s="5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t="s">
        <v>19</v>
      </c>
    </row>
    <row r="249" spans="1:17" x14ac:dyDescent="0.3">
      <c r="A249" t="s">
        <v>486</v>
      </c>
      <c r="B249" t="s">
        <v>43</v>
      </c>
      <c r="C249" s="5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</row>
    <row r="250" spans="1:17" x14ac:dyDescent="0.3">
      <c r="A250" t="s">
        <v>487</v>
      </c>
      <c r="B250" t="s">
        <v>14</v>
      </c>
      <c r="C250" s="5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</row>
    <row r="251" spans="1:17" x14ac:dyDescent="0.3">
      <c r="A251" t="s">
        <v>488</v>
      </c>
      <c r="B251" t="s">
        <v>43</v>
      </c>
      <c r="C251" s="5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</row>
    <row r="252" spans="1:17" x14ac:dyDescent="0.3">
      <c r="A252" t="s">
        <v>489</v>
      </c>
      <c r="B252" t="s">
        <v>33</v>
      </c>
      <c r="C252" s="5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</row>
    <row r="253" spans="1:17" x14ac:dyDescent="0.3">
      <c r="A253" t="s">
        <v>491</v>
      </c>
      <c r="B253" t="s">
        <v>43</v>
      </c>
      <c r="C253" s="5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</row>
    <row r="254" spans="1:17" x14ac:dyDescent="0.3">
      <c r="A254" t="s">
        <v>492</v>
      </c>
      <c r="B254" t="s">
        <v>14</v>
      </c>
      <c r="C254" s="5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</row>
    <row r="255" spans="1:17" x14ac:dyDescent="0.3">
      <c r="A255" t="s">
        <v>494</v>
      </c>
      <c r="B255" t="s">
        <v>14</v>
      </c>
      <c r="C255" s="5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</row>
    <row r="256" spans="1:17" x14ac:dyDescent="0.3">
      <c r="A256" t="s">
        <v>496</v>
      </c>
      <c r="B256" t="s">
        <v>43</v>
      </c>
      <c r="C256" s="5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</row>
    <row r="257" spans="1:17" x14ac:dyDescent="0.3">
      <c r="A257" t="s">
        <v>497</v>
      </c>
      <c r="B257" t="s">
        <v>27</v>
      </c>
      <c r="C257" s="5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</row>
    <row r="258" spans="1:17" x14ac:dyDescent="0.3">
      <c r="A258" t="s">
        <v>498</v>
      </c>
      <c r="B258" t="s">
        <v>43</v>
      </c>
      <c r="C258" s="5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t="s">
        <v>19</v>
      </c>
    </row>
    <row r="259" spans="1:17" x14ac:dyDescent="0.3">
      <c r="A259" t="s">
        <v>500</v>
      </c>
      <c r="B259" t="s">
        <v>33</v>
      </c>
      <c r="C259" s="5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</row>
    <row r="260" spans="1:17" x14ac:dyDescent="0.3">
      <c r="A260" t="s">
        <v>502</v>
      </c>
      <c r="B260" t="s">
        <v>43</v>
      </c>
      <c r="C260" s="5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</row>
    <row r="261" spans="1:17" x14ac:dyDescent="0.3">
      <c r="A261" t="s">
        <v>503</v>
      </c>
      <c r="B261" t="s">
        <v>33</v>
      </c>
      <c r="C261" s="5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t="s">
        <v>19</v>
      </c>
    </row>
    <row r="262" spans="1:17" x14ac:dyDescent="0.3">
      <c r="A262" t="s">
        <v>506</v>
      </c>
      <c r="B262" t="s">
        <v>33</v>
      </c>
      <c r="C262" s="5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</row>
    <row r="263" spans="1:17" x14ac:dyDescent="0.3">
      <c r="A263" t="s">
        <v>508</v>
      </c>
      <c r="B263" t="s">
        <v>27</v>
      </c>
      <c r="C263" s="5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</row>
    <row r="264" spans="1:17" x14ac:dyDescent="0.3">
      <c r="A264" t="s">
        <v>509</v>
      </c>
      <c r="B264" t="s">
        <v>33</v>
      </c>
      <c r="C264" s="5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</row>
    <row r="265" spans="1:17" x14ac:dyDescent="0.3">
      <c r="A265" t="s">
        <v>511</v>
      </c>
      <c r="B265" t="s">
        <v>14</v>
      </c>
      <c r="C265" s="5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</row>
    <row r="266" spans="1:17" x14ac:dyDescent="0.3">
      <c r="A266" t="s">
        <v>513</v>
      </c>
      <c r="B266" t="s">
        <v>14</v>
      </c>
      <c r="C266" s="5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</row>
    <row r="267" spans="1:17" x14ac:dyDescent="0.3">
      <c r="A267" t="s">
        <v>515</v>
      </c>
      <c r="B267" t="s">
        <v>43</v>
      </c>
      <c r="C267" s="5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</row>
    <row r="268" spans="1:17" x14ac:dyDescent="0.3">
      <c r="A268" t="s">
        <v>516</v>
      </c>
      <c r="B268" t="s">
        <v>14</v>
      </c>
      <c r="C268" s="5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</row>
    <row r="269" spans="1:17" x14ac:dyDescent="0.3">
      <c r="A269" t="s">
        <v>517</v>
      </c>
      <c r="B269" t="s">
        <v>33</v>
      </c>
      <c r="C269" s="5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</row>
    <row r="270" spans="1:17" x14ac:dyDescent="0.3">
      <c r="A270" t="s">
        <v>519</v>
      </c>
      <c r="B270" t="s">
        <v>33</v>
      </c>
      <c r="C270" s="5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</row>
    <row r="271" spans="1:17" x14ac:dyDescent="0.3">
      <c r="A271" t="s">
        <v>521</v>
      </c>
      <c r="B271" t="s">
        <v>27</v>
      </c>
      <c r="C271" s="5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</row>
    <row r="272" spans="1:17" x14ac:dyDescent="0.3">
      <c r="A272" t="s">
        <v>522</v>
      </c>
      <c r="B272" t="s">
        <v>33</v>
      </c>
      <c r="C272" s="5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</row>
    <row r="273" spans="1:17" x14ac:dyDescent="0.3">
      <c r="A273" t="s">
        <v>524</v>
      </c>
      <c r="B273" t="s">
        <v>33</v>
      </c>
      <c r="C273" s="5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</row>
    <row r="274" spans="1:17" x14ac:dyDescent="0.3">
      <c r="A274" t="s">
        <v>525</v>
      </c>
      <c r="B274" t="s">
        <v>27</v>
      </c>
      <c r="C274" s="5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</row>
    <row r="275" spans="1:17" x14ac:dyDescent="0.3">
      <c r="A275" t="s">
        <v>527</v>
      </c>
      <c r="B275" t="s">
        <v>14</v>
      </c>
      <c r="C275" s="5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</row>
    <row r="276" spans="1:17" x14ac:dyDescent="0.3">
      <c r="A276" t="s">
        <v>528</v>
      </c>
      <c r="B276" t="s">
        <v>43</v>
      </c>
      <c r="C276" s="5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</row>
    <row r="277" spans="1:17" x14ac:dyDescent="0.3">
      <c r="A277" t="s">
        <v>529</v>
      </c>
      <c r="B277" t="s">
        <v>14</v>
      </c>
      <c r="C277" s="5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</row>
    <row r="278" spans="1:17" x14ac:dyDescent="0.3">
      <c r="A278" t="s">
        <v>531</v>
      </c>
      <c r="B278" t="s">
        <v>43</v>
      </c>
      <c r="C278" s="5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</row>
    <row r="279" spans="1:17" x14ac:dyDescent="0.3">
      <c r="A279" t="s">
        <v>532</v>
      </c>
      <c r="B279" t="s">
        <v>14</v>
      </c>
      <c r="C279" s="5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</row>
    <row r="280" spans="1:17" x14ac:dyDescent="0.3">
      <c r="A280" t="s">
        <v>534</v>
      </c>
      <c r="B280" t="s">
        <v>27</v>
      </c>
      <c r="C280" s="5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</row>
    <row r="281" spans="1:17" x14ac:dyDescent="0.3">
      <c r="A281" t="s">
        <v>535</v>
      </c>
      <c r="B281" t="s">
        <v>27</v>
      </c>
      <c r="C281" s="5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t="s">
        <v>19</v>
      </c>
    </row>
    <row r="282" spans="1:17" x14ac:dyDescent="0.3">
      <c r="A282" t="s">
        <v>536</v>
      </c>
      <c r="B282" t="s">
        <v>27</v>
      </c>
      <c r="C282" s="5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</row>
    <row r="283" spans="1:17" x14ac:dyDescent="0.3">
      <c r="A283" t="s">
        <v>538</v>
      </c>
      <c r="B283" t="s">
        <v>33</v>
      </c>
      <c r="C283" s="5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</row>
    <row r="284" spans="1:17" x14ac:dyDescent="0.3">
      <c r="A284" t="s">
        <v>540</v>
      </c>
      <c r="B284" t="s">
        <v>14</v>
      </c>
      <c r="C284" s="5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</row>
    <row r="285" spans="1:17" x14ac:dyDescent="0.3">
      <c r="A285" t="s">
        <v>542</v>
      </c>
      <c r="B285" t="s">
        <v>14</v>
      </c>
      <c r="C285" s="5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</row>
    <row r="286" spans="1:17" x14ac:dyDescent="0.3">
      <c r="A286" t="s">
        <v>543</v>
      </c>
      <c r="B286" t="s">
        <v>27</v>
      </c>
      <c r="C286" s="5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</row>
    <row r="287" spans="1:17" x14ac:dyDescent="0.3">
      <c r="A287" t="s">
        <v>544</v>
      </c>
      <c r="B287" t="s">
        <v>27</v>
      </c>
      <c r="C287" s="5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</row>
    <row r="288" spans="1:17" x14ac:dyDescent="0.3">
      <c r="A288" t="s">
        <v>546</v>
      </c>
      <c r="B288" t="s">
        <v>33</v>
      </c>
      <c r="C288" s="5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</row>
    <row r="289" spans="1:17" x14ac:dyDescent="0.3">
      <c r="A289" t="s">
        <v>547</v>
      </c>
      <c r="B289" t="s">
        <v>27</v>
      </c>
      <c r="C289" s="5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</row>
    <row r="290" spans="1:17" x14ac:dyDescent="0.3">
      <c r="A290" t="s">
        <v>549</v>
      </c>
      <c r="B290" t="s">
        <v>43</v>
      </c>
      <c r="C290" s="5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</row>
    <row r="291" spans="1:17" x14ac:dyDescent="0.3">
      <c r="A291" t="s">
        <v>550</v>
      </c>
      <c r="B291" t="s">
        <v>33</v>
      </c>
      <c r="C291" s="5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</row>
    <row r="292" spans="1:17" x14ac:dyDescent="0.3">
      <c r="A292" t="s">
        <v>552</v>
      </c>
      <c r="B292" t="s">
        <v>43</v>
      </c>
      <c r="C292" s="5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</row>
    <row r="293" spans="1:17" x14ac:dyDescent="0.3">
      <c r="A293" t="s">
        <v>553</v>
      </c>
      <c r="B293" t="s">
        <v>43</v>
      </c>
      <c r="C293" s="5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  <c r="Q293" t="s">
        <v>25</v>
      </c>
    </row>
    <row r="294" spans="1:17" x14ac:dyDescent="0.3">
      <c r="A294" t="s">
        <v>555</v>
      </c>
      <c r="B294" t="s">
        <v>43</v>
      </c>
      <c r="C294" s="5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</row>
    <row r="295" spans="1:17" x14ac:dyDescent="0.3">
      <c r="A295" t="s">
        <v>557</v>
      </c>
      <c r="B295" t="s">
        <v>43</v>
      </c>
      <c r="C295" s="5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</row>
    <row r="296" spans="1:17" x14ac:dyDescent="0.3">
      <c r="A296" t="s">
        <v>559</v>
      </c>
      <c r="B296" t="s">
        <v>14</v>
      </c>
      <c r="C296" s="5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t="s">
        <v>19</v>
      </c>
    </row>
    <row r="297" spans="1:17" x14ac:dyDescent="0.3">
      <c r="A297" t="s">
        <v>560</v>
      </c>
      <c r="B297" t="s">
        <v>14</v>
      </c>
      <c r="C297" s="5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  <c r="Q297" t="s">
        <v>31</v>
      </c>
    </row>
    <row r="298" spans="1:17" x14ac:dyDescent="0.3">
      <c r="A298" t="s">
        <v>562</v>
      </c>
      <c r="B298" t="s">
        <v>14</v>
      </c>
      <c r="C298" s="5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</row>
    <row r="299" spans="1:17" x14ac:dyDescent="0.3">
      <c r="A299" t="s">
        <v>564</v>
      </c>
      <c r="B299" t="s">
        <v>43</v>
      </c>
      <c r="C299" s="5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</row>
    <row r="300" spans="1:17" x14ac:dyDescent="0.3">
      <c r="A300" t="s">
        <v>565</v>
      </c>
      <c r="B300" t="s">
        <v>43</v>
      </c>
      <c r="C300" s="5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</row>
    <row r="301" spans="1:17" x14ac:dyDescent="0.3">
      <c r="A301" t="s">
        <v>566</v>
      </c>
      <c r="B301" t="s">
        <v>14</v>
      </c>
      <c r="C301" s="5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t="s">
        <v>19</v>
      </c>
    </row>
  </sheetData>
  <pageMargins left="0.7" right="0.7" top="0.75" bottom="0.75" header="0.3" footer="0.3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1155-BC28-4EC7-807A-83C72E39FC50}">
  <dimension ref="A1:Q301"/>
  <sheetViews>
    <sheetView workbookViewId="0"/>
  </sheetViews>
  <sheetFormatPr defaultRowHeight="14.4" x14ac:dyDescent="0.3"/>
  <cols>
    <col min="1" max="1" width="9.109375" bestFit="1" customWidth="1"/>
    <col min="2" max="2" width="10.5546875" bestFit="1" customWidth="1"/>
    <col min="3" max="3" width="10.33203125" bestFit="1" customWidth="1"/>
    <col min="4" max="4" width="14.5546875" bestFit="1" customWidth="1"/>
    <col min="5" max="5" width="37" bestFit="1" customWidth="1"/>
    <col min="6" max="6" width="7.33203125" bestFit="1" customWidth="1"/>
    <col min="7" max="7" width="8.77734375" bestFit="1" customWidth="1"/>
    <col min="8" max="8" width="12.33203125" bestFit="1" customWidth="1"/>
    <col min="9" max="9" width="13.21875" bestFit="1" customWidth="1"/>
    <col min="10" max="10" width="8.33203125" bestFit="1" customWidth="1"/>
    <col min="11" max="11" width="7.88671875" bestFit="1" customWidth="1"/>
    <col min="12" max="12" width="17.44140625" bestFit="1" customWidth="1"/>
    <col min="13" max="13" width="20.21875" bestFit="1" customWidth="1"/>
    <col min="14" max="14" width="18.44140625" bestFit="1" customWidth="1"/>
    <col min="15" max="15" width="17.77734375" bestFit="1" customWidth="1"/>
    <col min="16" max="16" width="23.21875" bestFit="1" customWidth="1"/>
    <col min="17" max="17" width="26.109375" bestFit="1" customWidth="1"/>
  </cols>
  <sheetData>
    <row r="1" spans="1:1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612</v>
      </c>
      <c r="M1" t="s">
        <v>613</v>
      </c>
      <c r="N1" t="s">
        <v>614</v>
      </c>
      <c r="O1" t="s">
        <v>12</v>
      </c>
      <c r="P1" t="s">
        <v>618</v>
      </c>
      <c r="Q1" t="s">
        <v>622</v>
      </c>
    </row>
    <row r="2" spans="1:17" x14ac:dyDescent="0.3">
      <c r="A2" t="s">
        <v>13</v>
      </c>
      <c r="B2" t="s">
        <v>14</v>
      </c>
      <c r="C2" s="5">
        <v>45649</v>
      </c>
      <c r="D2" t="s">
        <v>16</v>
      </c>
      <c r="E2" t="s">
        <v>17</v>
      </c>
      <c r="F2">
        <v>1461</v>
      </c>
      <c r="G2">
        <v>184</v>
      </c>
      <c r="H2">
        <v>344</v>
      </c>
      <c r="I2">
        <v>21915</v>
      </c>
      <c r="J2">
        <v>21675</v>
      </c>
      <c r="K2">
        <v>15</v>
      </c>
      <c r="L2" t="s">
        <v>62</v>
      </c>
      <c r="M2" t="s">
        <v>615</v>
      </c>
      <c r="O2" t="s">
        <v>19</v>
      </c>
      <c r="P2" t="s">
        <v>19</v>
      </c>
      <c r="Q2" t="s">
        <v>38</v>
      </c>
    </row>
    <row r="3" spans="1:17" x14ac:dyDescent="0.3">
      <c r="A3" t="s">
        <v>32</v>
      </c>
      <c r="B3" t="s">
        <v>33</v>
      </c>
      <c r="C3" s="5">
        <v>45516</v>
      </c>
      <c r="D3" t="s">
        <v>35</v>
      </c>
      <c r="E3" t="s">
        <v>36</v>
      </c>
      <c r="F3">
        <v>2404</v>
      </c>
      <c r="G3">
        <v>363</v>
      </c>
      <c r="H3">
        <v>138</v>
      </c>
      <c r="I3">
        <v>19232</v>
      </c>
      <c r="J3">
        <v>18636</v>
      </c>
      <c r="K3">
        <v>128</v>
      </c>
      <c r="L3" t="s">
        <v>37</v>
      </c>
      <c r="O3" t="s">
        <v>38</v>
      </c>
      <c r="P3" t="s">
        <v>38</v>
      </c>
      <c r="Q3" t="s">
        <v>19</v>
      </c>
    </row>
    <row r="4" spans="1:17" x14ac:dyDescent="0.3">
      <c r="A4" t="s">
        <v>39</v>
      </c>
      <c r="B4" t="s">
        <v>27</v>
      </c>
      <c r="C4" s="5">
        <v>45469</v>
      </c>
      <c r="D4" t="s">
        <v>16</v>
      </c>
      <c r="E4" t="s">
        <v>29</v>
      </c>
      <c r="F4">
        <v>3557</v>
      </c>
      <c r="G4">
        <v>687</v>
      </c>
      <c r="H4">
        <v>424</v>
      </c>
      <c r="I4">
        <v>71140</v>
      </c>
      <c r="J4">
        <v>70701</v>
      </c>
      <c r="K4">
        <v>224</v>
      </c>
      <c r="L4" t="s">
        <v>37</v>
      </c>
      <c r="M4" t="s">
        <v>30</v>
      </c>
      <c r="O4" t="s">
        <v>19</v>
      </c>
      <c r="P4" t="s">
        <v>19</v>
      </c>
      <c r="Q4" t="s">
        <v>19</v>
      </c>
    </row>
    <row r="5" spans="1:17" x14ac:dyDescent="0.3">
      <c r="A5" t="s">
        <v>50</v>
      </c>
      <c r="B5" t="s">
        <v>27</v>
      </c>
      <c r="C5" s="5">
        <v>45486</v>
      </c>
      <c r="D5" t="s">
        <v>52</v>
      </c>
      <c r="E5" t="s">
        <v>53</v>
      </c>
      <c r="F5">
        <v>3929</v>
      </c>
      <c r="G5">
        <v>262</v>
      </c>
      <c r="H5">
        <v>278</v>
      </c>
      <c r="I5">
        <v>43219</v>
      </c>
      <c r="J5">
        <v>42841</v>
      </c>
      <c r="K5">
        <v>39</v>
      </c>
      <c r="L5" t="s">
        <v>37</v>
      </c>
      <c r="O5" t="s">
        <v>38</v>
      </c>
      <c r="P5" t="s">
        <v>38</v>
      </c>
      <c r="Q5" t="s">
        <v>19</v>
      </c>
    </row>
    <row r="6" spans="1:17" x14ac:dyDescent="0.3">
      <c r="A6" t="s">
        <v>20</v>
      </c>
      <c r="B6" t="s">
        <v>14</v>
      </c>
      <c r="C6" s="5">
        <v>45750</v>
      </c>
      <c r="D6" t="s">
        <v>22</v>
      </c>
      <c r="E6" t="s">
        <v>23</v>
      </c>
      <c r="F6">
        <v>4054</v>
      </c>
      <c r="G6">
        <v>389</v>
      </c>
      <c r="H6">
        <v>493</v>
      </c>
      <c r="I6">
        <v>64864</v>
      </c>
      <c r="J6">
        <v>64383</v>
      </c>
      <c r="K6">
        <v>117</v>
      </c>
      <c r="L6" t="s">
        <v>30</v>
      </c>
      <c r="M6" t="s">
        <v>616</v>
      </c>
      <c r="O6" t="s">
        <v>25</v>
      </c>
      <c r="P6" t="s">
        <v>25</v>
      </c>
      <c r="Q6" t="s">
        <v>19</v>
      </c>
    </row>
    <row r="7" spans="1:17" x14ac:dyDescent="0.3">
      <c r="A7" t="s">
        <v>26</v>
      </c>
      <c r="B7" t="s">
        <v>27</v>
      </c>
      <c r="C7" s="5">
        <v>45789</v>
      </c>
      <c r="D7" t="s">
        <v>16</v>
      </c>
      <c r="E7" t="s">
        <v>29</v>
      </c>
      <c r="F7">
        <v>2795</v>
      </c>
      <c r="G7">
        <v>105</v>
      </c>
      <c r="H7">
        <v>49</v>
      </c>
      <c r="I7">
        <v>53105</v>
      </c>
      <c r="J7">
        <v>52307</v>
      </c>
      <c r="K7">
        <v>204</v>
      </c>
      <c r="L7" t="s">
        <v>30</v>
      </c>
      <c r="O7" t="s">
        <v>31</v>
      </c>
      <c r="P7" t="s">
        <v>31</v>
      </c>
      <c r="Q7" t="s">
        <v>19</v>
      </c>
    </row>
    <row r="8" spans="1:17" x14ac:dyDescent="0.3">
      <c r="A8" t="s">
        <v>42</v>
      </c>
      <c r="B8" t="s">
        <v>43</v>
      </c>
      <c r="C8" s="5">
        <v>45596</v>
      </c>
      <c r="D8" t="s">
        <v>45</v>
      </c>
      <c r="E8" t="s">
        <v>46</v>
      </c>
      <c r="F8">
        <v>2945</v>
      </c>
      <c r="G8">
        <v>930</v>
      </c>
      <c r="H8">
        <v>355</v>
      </c>
      <c r="I8">
        <v>23560</v>
      </c>
      <c r="J8">
        <v>23275</v>
      </c>
      <c r="K8">
        <v>256</v>
      </c>
      <c r="L8" t="s">
        <v>30</v>
      </c>
      <c r="O8" t="s">
        <v>25</v>
      </c>
      <c r="P8" t="s">
        <v>25</v>
      </c>
      <c r="Q8" t="s">
        <v>19</v>
      </c>
    </row>
    <row r="9" spans="1:17" x14ac:dyDescent="0.3">
      <c r="A9" t="s">
        <v>47</v>
      </c>
      <c r="B9" t="s">
        <v>14</v>
      </c>
      <c r="C9" s="5">
        <v>45467</v>
      </c>
      <c r="D9" t="s">
        <v>45</v>
      </c>
      <c r="E9" t="s">
        <v>49</v>
      </c>
      <c r="F9">
        <v>3860</v>
      </c>
      <c r="G9">
        <v>201</v>
      </c>
      <c r="H9">
        <v>279</v>
      </c>
      <c r="I9">
        <v>61760</v>
      </c>
      <c r="J9">
        <v>61660</v>
      </c>
      <c r="K9">
        <v>235</v>
      </c>
      <c r="L9" t="s">
        <v>30</v>
      </c>
      <c r="O9" t="s">
        <v>25</v>
      </c>
      <c r="P9" t="s">
        <v>25</v>
      </c>
      <c r="Q9" t="s">
        <v>19</v>
      </c>
    </row>
    <row r="10" spans="1:17" x14ac:dyDescent="0.3">
      <c r="A10" t="s">
        <v>54</v>
      </c>
      <c r="B10" t="s">
        <v>43</v>
      </c>
      <c r="C10" s="5">
        <v>45534</v>
      </c>
      <c r="D10" t="s">
        <v>22</v>
      </c>
      <c r="E10" t="s">
        <v>56</v>
      </c>
      <c r="F10">
        <v>3784</v>
      </c>
      <c r="G10">
        <v>808</v>
      </c>
      <c r="H10">
        <v>404</v>
      </c>
      <c r="I10">
        <v>56760</v>
      </c>
      <c r="J10">
        <v>56343</v>
      </c>
      <c r="K10">
        <v>131</v>
      </c>
      <c r="L10" t="s">
        <v>30</v>
      </c>
      <c r="O10" t="s">
        <v>25</v>
      </c>
      <c r="P10" t="s">
        <v>25</v>
      </c>
      <c r="Q10" t="s">
        <v>19</v>
      </c>
    </row>
    <row r="11" spans="1:17" x14ac:dyDescent="0.3">
      <c r="A11" t="s">
        <v>57</v>
      </c>
      <c r="B11" t="s">
        <v>43</v>
      </c>
      <c r="C11" s="5">
        <v>45727</v>
      </c>
      <c r="D11" t="s">
        <v>52</v>
      </c>
      <c r="E11" t="s">
        <v>59</v>
      </c>
      <c r="F11">
        <v>4241</v>
      </c>
      <c r="G11">
        <v>902</v>
      </c>
      <c r="H11">
        <v>47</v>
      </c>
      <c r="I11">
        <v>72097</v>
      </c>
      <c r="J11">
        <v>71598</v>
      </c>
      <c r="K11">
        <v>167</v>
      </c>
      <c r="L11" t="s">
        <v>30</v>
      </c>
      <c r="O11" t="s">
        <v>25</v>
      </c>
      <c r="P11" t="s">
        <v>25</v>
      </c>
      <c r="Q11" t="s">
        <v>19</v>
      </c>
    </row>
    <row r="12" spans="1:17" x14ac:dyDescent="0.3">
      <c r="A12" t="s">
        <v>60</v>
      </c>
      <c r="B12" t="s">
        <v>33</v>
      </c>
      <c r="C12" s="5">
        <v>45690</v>
      </c>
      <c r="D12" t="s">
        <v>35</v>
      </c>
      <c r="E12" t="s">
        <v>36</v>
      </c>
      <c r="F12">
        <v>1792</v>
      </c>
      <c r="G12">
        <v>614</v>
      </c>
      <c r="H12">
        <v>497</v>
      </c>
      <c r="I12">
        <v>25088</v>
      </c>
      <c r="J12">
        <v>24675</v>
      </c>
      <c r="K12">
        <v>65</v>
      </c>
      <c r="L12" t="s">
        <v>62</v>
      </c>
      <c r="O12" t="s">
        <v>38</v>
      </c>
      <c r="P12" t="s">
        <v>38</v>
      </c>
      <c r="Q12" t="s">
        <v>38</v>
      </c>
    </row>
    <row r="13" spans="1:17" x14ac:dyDescent="0.3">
      <c r="A13" t="s">
        <v>63</v>
      </c>
      <c r="B13" t="s">
        <v>43</v>
      </c>
      <c r="C13" s="5">
        <v>45494</v>
      </c>
      <c r="D13" t="s">
        <v>16</v>
      </c>
      <c r="E13" t="s">
        <v>65</v>
      </c>
      <c r="F13">
        <v>1946</v>
      </c>
      <c r="G13">
        <v>686</v>
      </c>
      <c r="H13">
        <v>377</v>
      </c>
      <c r="I13">
        <v>23352</v>
      </c>
      <c r="J13">
        <v>22982</v>
      </c>
      <c r="K13">
        <v>213</v>
      </c>
      <c r="L13" t="s">
        <v>62</v>
      </c>
      <c r="O13" t="s">
        <v>31</v>
      </c>
      <c r="P13" t="s">
        <v>31</v>
      </c>
      <c r="Q13" t="s">
        <v>38</v>
      </c>
    </row>
    <row r="14" spans="1:17" x14ac:dyDescent="0.3">
      <c r="A14" t="s">
        <v>66</v>
      </c>
      <c r="B14" t="s">
        <v>27</v>
      </c>
      <c r="C14" s="5">
        <v>45614</v>
      </c>
      <c r="D14" t="s">
        <v>45</v>
      </c>
      <c r="E14" t="s">
        <v>68</v>
      </c>
      <c r="F14">
        <v>1171</v>
      </c>
      <c r="G14">
        <v>286</v>
      </c>
      <c r="H14">
        <v>231</v>
      </c>
      <c r="I14">
        <v>22249</v>
      </c>
      <c r="J14">
        <v>21282</v>
      </c>
      <c r="K14">
        <v>114</v>
      </c>
      <c r="L14" t="s">
        <v>37</v>
      </c>
      <c r="O14" t="s">
        <v>19</v>
      </c>
      <c r="P14" t="s">
        <v>19</v>
      </c>
      <c r="Q14" t="s">
        <v>19</v>
      </c>
    </row>
    <row r="15" spans="1:17" x14ac:dyDescent="0.3">
      <c r="A15" t="s">
        <v>69</v>
      </c>
      <c r="B15" t="s">
        <v>43</v>
      </c>
      <c r="C15" s="5">
        <v>45704</v>
      </c>
      <c r="D15" t="s">
        <v>35</v>
      </c>
      <c r="E15" t="s">
        <v>71</v>
      </c>
      <c r="F15">
        <v>4242</v>
      </c>
      <c r="G15">
        <v>555</v>
      </c>
      <c r="H15">
        <v>131</v>
      </c>
      <c r="I15">
        <v>33936</v>
      </c>
      <c r="J15">
        <v>33802</v>
      </c>
      <c r="K15">
        <v>265</v>
      </c>
      <c r="L15" t="s">
        <v>62</v>
      </c>
      <c r="P15" t="s">
        <v>38</v>
      </c>
      <c r="Q15" t="s">
        <v>38</v>
      </c>
    </row>
    <row r="16" spans="1:17" x14ac:dyDescent="0.3">
      <c r="A16" t="s">
        <v>72</v>
      </c>
      <c r="B16" t="s">
        <v>43</v>
      </c>
      <c r="C16" s="5">
        <v>45589</v>
      </c>
      <c r="D16" t="s">
        <v>74</v>
      </c>
      <c r="E16" t="s">
        <v>75</v>
      </c>
      <c r="F16">
        <v>3888</v>
      </c>
      <c r="G16">
        <v>604</v>
      </c>
      <c r="H16">
        <v>128</v>
      </c>
      <c r="I16">
        <v>77760</v>
      </c>
      <c r="J16">
        <v>77167</v>
      </c>
      <c r="K16">
        <v>20</v>
      </c>
      <c r="L16" t="s">
        <v>62</v>
      </c>
      <c r="O16" t="s">
        <v>19</v>
      </c>
      <c r="P16" t="s">
        <v>19</v>
      </c>
      <c r="Q16" t="s">
        <v>38</v>
      </c>
    </row>
    <row r="17" spans="1:17" x14ac:dyDescent="0.3">
      <c r="A17" t="s">
        <v>76</v>
      </c>
      <c r="B17" t="s">
        <v>43</v>
      </c>
      <c r="C17" s="5">
        <v>45530</v>
      </c>
      <c r="D17" t="s">
        <v>22</v>
      </c>
      <c r="E17" t="s">
        <v>56</v>
      </c>
      <c r="F17">
        <v>3452</v>
      </c>
      <c r="G17">
        <v>377</v>
      </c>
      <c r="H17">
        <v>360</v>
      </c>
      <c r="I17">
        <v>55232</v>
      </c>
      <c r="J17">
        <v>55075</v>
      </c>
      <c r="K17">
        <v>87</v>
      </c>
      <c r="L17" t="s">
        <v>62</v>
      </c>
      <c r="O17" t="s">
        <v>31</v>
      </c>
      <c r="P17" t="s">
        <v>31</v>
      </c>
      <c r="Q17" t="s">
        <v>38</v>
      </c>
    </row>
    <row r="18" spans="1:17" x14ac:dyDescent="0.3">
      <c r="A18" t="s">
        <v>78</v>
      </c>
      <c r="B18" t="s">
        <v>43</v>
      </c>
      <c r="C18" s="5">
        <v>45782</v>
      </c>
      <c r="D18" t="s">
        <v>22</v>
      </c>
      <c r="E18" t="s">
        <v>56</v>
      </c>
      <c r="F18">
        <v>4441</v>
      </c>
      <c r="G18">
        <v>511</v>
      </c>
      <c r="H18">
        <v>70</v>
      </c>
      <c r="I18">
        <v>53292</v>
      </c>
      <c r="J18">
        <v>53082</v>
      </c>
      <c r="K18">
        <v>159</v>
      </c>
      <c r="L18" t="s">
        <v>37</v>
      </c>
      <c r="O18" t="s">
        <v>38</v>
      </c>
      <c r="P18" t="s">
        <v>38</v>
      </c>
      <c r="Q18" t="s">
        <v>19</v>
      </c>
    </row>
    <row r="19" spans="1:17" x14ac:dyDescent="0.3">
      <c r="A19" t="s">
        <v>80</v>
      </c>
      <c r="B19" t="s">
        <v>33</v>
      </c>
      <c r="C19" s="5">
        <v>45523</v>
      </c>
      <c r="D19" t="s">
        <v>16</v>
      </c>
      <c r="E19" t="s">
        <v>82</v>
      </c>
      <c r="F19">
        <v>3000</v>
      </c>
      <c r="G19">
        <v>382</v>
      </c>
      <c r="H19">
        <v>325</v>
      </c>
      <c r="I19">
        <v>36000</v>
      </c>
      <c r="J19">
        <v>35819</v>
      </c>
      <c r="K19">
        <v>19</v>
      </c>
      <c r="L19" t="s">
        <v>62</v>
      </c>
      <c r="O19" t="s">
        <v>19</v>
      </c>
      <c r="P19" t="s">
        <v>19</v>
      </c>
      <c r="Q19" t="s">
        <v>38</v>
      </c>
    </row>
    <row r="20" spans="1:17" x14ac:dyDescent="0.3">
      <c r="A20" t="s">
        <v>83</v>
      </c>
      <c r="B20" t="s">
        <v>33</v>
      </c>
      <c r="C20" s="5">
        <v>45466</v>
      </c>
      <c r="D20" t="s">
        <v>74</v>
      </c>
      <c r="E20" t="s">
        <v>85</v>
      </c>
      <c r="F20">
        <v>1071</v>
      </c>
      <c r="G20">
        <v>519</v>
      </c>
      <c r="H20">
        <v>22</v>
      </c>
      <c r="I20">
        <v>16065</v>
      </c>
      <c r="J20">
        <v>15865</v>
      </c>
      <c r="K20">
        <v>103</v>
      </c>
      <c r="L20" t="s">
        <v>30</v>
      </c>
      <c r="O20" t="s">
        <v>38</v>
      </c>
      <c r="P20" t="s">
        <v>38</v>
      </c>
      <c r="Q20" t="s">
        <v>19</v>
      </c>
    </row>
    <row r="21" spans="1:17" x14ac:dyDescent="0.3">
      <c r="A21" t="s">
        <v>86</v>
      </c>
      <c r="B21" t="s">
        <v>33</v>
      </c>
      <c r="C21" s="5">
        <v>45544</v>
      </c>
      <c r="D21" t="s">
        <v>45</v>
      </c>
      <c r="E21" t="s">
        <v>88</v>
      </c>
      <c r="F21">
        <v>4054</v>
      </c>
      <c r="G21">
        <v>488</v>
      </c>
      <c r="H21">
        <v>373</v>
      </c>
      <c r="I21">
        <v>77026</v>
      </c>
      <c r="J21">
        <v>76881</v>
      </c>
      <c r="K21">
        <v>25</v>
      </c>
      <c r="L21" t="s">
        <v>30</v>
      </c>
      <c r="O21" t="s">
        <v>19</v>
      </c>
      <c r="P21" t="s">
        <v>19</v>
      </c>
      <c r="Q21" t="s">
        <v>19</v>
      </c>
    </row>
    <row r="22" spans="1:17" x14ac:dyDescent="0.3">
      <c r="A22" t="s">
        <v>89</v>
      </c>
      <c r="B22" t="s">
        <v>33</v>
      </c>
      <c r="C22" s="5">
        <v>45661</v>
      </c>
      <c r="D22" t="s">
        <v>16</v>
      </c>
      <c r="E22" t="s">
        <v>82</v>
      </c>
      <c r="F22">
        <v>4838</v>
      </c>
      <c r="G22">
        <v>640</v>
      </c>
      <c r="H22">
        <v>128</v>
      </c>
      <c r="I22">
        <v>72570</v>
      </c>
      <c r="J22">
        <v>72396</v>
      </c>
      <c r="K22">
        <v>83</v>
      </c>
      <c r="L22" t="s">
        <v>62</v>
      </c>
      <c r="O22" t="s">
        <v>38</v>
      </c>
      <c r="P22" t="s">
        <v>38</v>
      </c>
      <c r="Q22" t="s">
        <v>38</v>
      </c>
    </row>
    <row r="23" spans="1:17" x14ac:dyDescent="0.3">
      <c r="A23" t="s">
        <v>91</v>
      </c>
      <c r="B23" t="s">
        <v>43</v>
      </c>
      <c r="C23" s="5">
        <v>45715</v>
      </c>
      <c r="D23" t="s">
        <v>22</v>
      </c>
      <c r="E23" t="s">
        <v>56</v>
      </c>
      <c r="F23">
        <v>1570</v>
      </c>
      <c r="G23">
        <v>187</v>
      </c>
      <c r="H23">
        <v>260</v>
      </c>
      <c r="I23">
        <v>25120</v>
      </c>
      <c r="J23">
        <v>24613</v>
      </c>
      <c r="K23">
        <v>133</v>
      </c>
      <c r="L23" t="s">
        <v>30</v>
      </c>
      <c r="O23" t="s">
        <v>38</v>
      </c>
      <c r="P23" t="s">
        <v>38</v>
      </c>
      <c r="Q23" t="s">
        <v>19</v>
      </c>
    </row>
    <row r="24" spans="1:17" x14ac:dyDescent="0.3">
      <c r="A24" t="s">
        <v>93</v>
      </c>
      <c r="B24" t="s">
        <v>43</v>
      </c>
      <c r="C24" s="5">
        <v>45602</v>
      </c>
      <c r="D24" t="s">
        <v>74</v>
      </c>
      <c r="E24" t="s">
        <v>75</v>
      </c>
      <c r="F24">
        <v>1606</v>
      </c>
      <c r="G24">
        <v>547</v>
      </c>
      <c r="H24">
        <v>316</v>
      </c>
      <c r="I24">
        <v>32120</v>
      </c>
      <c r="J24">
        <v>31736</v>
      </c>
      <c r="K24">
        <v>225</v>
      </c>
      <c r="L24" t="s">
        <v>30</v>
      </c>
      <c r="M24" t="s">
        <v>615</v>
      </c>
      <c r="O24" t="s">
        <v>25</v>
      </c>
      <c r="P24" t="s">
        <v>25</v>
      </c>
      <c r="Q24" t="s">
        <v>19</v>
      </c>
    </row>
    <row r="25" spans="1:17" x14ac:dyDescent="0.3">
      <c r="A25" t="s">
        <v>96</v>
      </c>
      <c r="B25" t="s">
        <v>43</v>
      </c>
      <c r="C25" s="5">
        <v>45680</v>
      </c>
      <c r="D25" t="s">
        <v>74</v>
      </c>
      <c r="E25" t="s">
        <v>75</v>
      </c>
      <c r="F25">
        <v>3961</v>
      </c>
      <c r="G25">
        <v>761</v>
      </c>
      <c r="H25">
        <v>131</v>
      </c>
      <c r="I25">
        <v>67337</v>
      </c>
      <c r="J25">
        <v>66615</v>
      </c>
      <c r="K25">
        <v>161</v>
      </c>
      <c r="L25" t="s">
        <v>62</v>
      </c>
      <c r="O25" t="s">
        <v>31</v>
      </c>
      <c r="P25" t="s">
        <v>31</v>
      </c>
      <c r="Q25" t="s">
        <v>38</v>
      </c>
    </row>
    <row r="26" spans="1:17" x14ac:dyDescent="0.3">
      <c r="A26" t="s">
        <v>98</v>
      </c>
      <c r="B26" t="s">
        <v>14</v>
      </c>
      <c r="C26" s="5">
        <v>45757</v>
      </c>
      <c r="D26" t="s">
        <v>45</v>
      </c>
      <c r="E26" t="s">
        <v>49</v>
      </c>
      <c r="F26">
        <v>3128</v>
      </c>
      <c r="G26">
        <v>211</v>
      </c>
      <c r="H26">
        <v>197</v>
      </c>
      <c r="I26">
        <v>59432</v>
      </c>
      <c r="J26">
        <v>59182</v>
      </c>
      <c r="K26">
        <v>238</v>
      </c>
      <c r="L26" t="s">
        <v>37</v>
      </c>
      <c r="P26" t="s">
        <v>19</v>
      </c>
      <c r="Q26" t="s">
        <v>19</v>
      </c>
    </row>
    <row r="27" spans="1:17" x14ac:dyDescent="0.3">
      <c r="A27" t="s">
        <v>100</v>
      </c>
      <c r="B27" t="s">
        <v>27</v>
      </c>
      <c r="C27" s="5">
        <v>45752</v>
      </c>
      <c r="D27" t="s">
        <v>16</v>
      </c>
      <c r="E27" t="s">
        <v>29</v>
      </c>
      <c r="F27">
        <v>3009</v>
      </c>
      <c r="G27">
        <v>413</v>
      </c>
      <c r="H27">
        <v>358</v>
      </c>
      <c r="I27">
        <v>42126</v>
      </c>
      <c r="J27">
        <v>41309</v>
      </c>
      <c r="K27">
        <v>211</v>
      </c>
      <c r="L27" t="s">
        <v>62</v>
      </c>
      <c r="O27" t="s">
        <v>25</v>
      </c>
      <c r="P27" t="s">
        <v>25</v>
      </c>
      <c r="Q27" t="s">
        <v>38</v>
      </c>
    </row>
    <row r="28" spans="1:17" x14ac:dyDescent="0.3">
      <c r="A28" t="s">
        <v>102</v>
      </c>
      <c r="B28" t="s">
        <v>27</v>
      </c>
      <c r="C28" s="5">
        <v>45552</v>
      </c>
      <c r="D28" t="s">
        <v>22</v>
      </c>
      <c r="E28" t="s">
        <v>104</v>
      </c>
      <c r="F28">
        <v>2076</v>
      </c>
      <c r="G28">
        <v>195</v>
      </c>
      <c r="H28">
        <v>104</v>
      </c>
      <c r="I28">
        <v>33216</v>
      </c>
      <c r="J28">
        <v>32244</v>
      </c>
      <c r="K28">
        <v>51</v>
      </c>
      <c r="L28" t="s">
        <v>62</v>
      </c>
      <c r="O28" t="s">
        <v>38</v>
      </c>
      <c r="P28" t="s">
        <v>38</v>
      </c>
      <c r="Q28" t="s">
        <v>38</v>
      </c>
    </row>
    <row r="29" spans="1:17" x14ac:dyDescent="0.3">
      <c r="A29" t="s">
        <v>105</v>
      </c>
      <c r="B29" t="s">
        <v>33</v>
      </c>
      <c r="C29" s="5">
        <v>45720</v>
      </c>
      <c r="D29" t="s">
        <v>74</v>
      </c>
      <c r="E29" t="s">
        <v>85</v>
      </c>
      <c r="F29">
        <v>432</v>
      </c>
      <c r="G29">
        <v>624</v>
      </c>
      <c r="H29">
        <v>123</v>
      </c>
      <c r="I29">
        <v>6912</v>
      </c>
      <c r="J29">
        <v>6259</v>
      </c>
      <c r="K29">
        <v>79</v>
      </c>
      <c r="L29" t="s">
        <v>62</v>
      </c>
      <c r="O29" t="s">
        <v>38</v>
      </c>
      <c r="P29" t="s">
        <v>38</v>
      </c>
      <c r="Q29" t="s">
        <v>38</v>
      </c>
    </row>
    <row r="30" spans="1:17" x14ac:dyDescent="0.3">
      <c r="A30" t="s">
        <v>107</v>
      </c>
      <c r="B30" t="s">
        <v>33</v>
      </c>
      <c r="C30" s="5">
        <v>45688</v>
      </c>
      <c r="D30" t="s">
        <v>45</v>
      </c>
      <c r="E30" t="s">
        <v>88</v>
      </c>
      <c r="F30">
        <v>2566</v>
      </c>
      <c r="G30">
        <v>118</v>
      </c>
      <c r="H30">
        <v>37</v>
      </c>
      <c r="I30">
        <v>12830</v>
      </c>
      <c r="J30">
        <v>12264</v>
      </c>
      <c r="K30">
        <v>221</v>
      </c>
      <c r="L30" t="s">
        <v>62</v>
      </c>
      <c r="O30" t="s">
        <v>31</v>
      </c>
      <c r="P30" t="s">
        <v>31</v>
      </c>
      <c r="Q30" t="s">
        <v>38</v>
      </c>
    </row>
    <row r="31" spans="1:17" x14ac:dyDescent="0.3">
      <c r="A31" t="s">
        <v>109</v>
      </c>
      <c r="B31" t="s">
        <v>33</v>
      </c>
      <c r="C31" s="5">
        <v>45713</v>
      </c>
      <c r="D31" t="s">
        <v>74</v>
      </c>
      <c r="E31" t="s">
        <v>85</v>
      </c>
      <c r="F31">
        <v>3095</v>
      </c>
      <c r="G31">
        <v>39</v>
      </c>
      <c r="H31">
        <v>78</v>
      </c>
      <c r="I31">
        <v>55710</v>
      </c>
      <c r="J31">
        <v>54808</v>
      </c>
      <c r="K31">
        <v>93</v>
      </c>
      <c r="L31" t="s">
        <v>37</v>
      </c>
      <c r="P31" t="s">
        <v>19</v>
      </c>
      <c r="Q31" t="s">
        <v>19</v>
      </c>
    </row>
    <row r="32" spans="1:17" x14ac:dyDescent="0.3">
      <c r="A32" t="s">
        <v>111</v>
      </c>
      <c r="B32" t="s">
        <v>33</v>
      </c>
      <c r="C32" s="5">
        <v>45642</v>
      </c>
      <c r="D32" t="s">
        <v>22</v>
      </c>
      <c r="E32" t="s">
        <v>113</v>
      </c>
      <c r="F32">
        <v>438</v>
      </c>
      <c r="G32">
        <v>153</v>
      </c>
      <c r="H32">
        <v>275</v>
      </c>
      <c r="I32">
        <v>3066</v>
      </c>
      <c r="J32">
        <v>2701</v>
      </c>
      <c r="K32">
        <v>282</v>
      </c>
      <c r="L32" t="s">
        <v>30</v>
      </c>
      <c r="O32" t="s">
        <v>25</v>
      </c>
      <c r="P32" t="s">
        <v>25</v>
      </c>
      <c r="Q32" t="s">
        <v>19</v>
      </c>
    </row>
    <row r="33" spans="1:17" x14ac:dyDescent="0.3">
      <c r="A33" t="s">
        <v>114</v>
      </c>
      <c r="B33" t="s">
        <v>14</v>
      </c>
      <c r="C33" s="5">
        <v>45504</v>
      </c>
      <c r="D33" t="s">
        <v>45</v>
      </c>
      <c r="E33" t="s">
        <v>49</v>
      </c>
      <c r="F33">
        <v>2278</v>
      </c>
      <c r="G33">
        <v>10</v>
      </c>
      <c r="H33">
        <v>321</v>
      </c>
      <c r="I33">
        <v>13668</v>
      </c>
      <c r="J33">
        <v>12676</v>
      </c>
      <c r="K33">
        <v>275</v>
      </c>
      <c r="L33" t="s">
        <v>37</v>
      </c>
      <c r="O33" t="s">
        <v>19</v>
      </c>
      <c r="P33" t="s">
        <v>19</v>
      </c>
      <c r="Q33" t="s">
        <v>19</v>
      </c>
    </row>
    <row r="34" spans="1:17" x14ac:dyDescent="0.3">
      <c r="A34" t="s">
        <v>116</v>
      </c>
      <c r="B34" t="s">
        <v>43</v>
      </c>
      <c r="C34" s="5">
        <v>45525</v>
      </c>
      <c r="D34" t="s">
        <v>52</v>
      </c>
      <c r="E34" t="s">
        <v>59</v>
      </c>
      <c r="F34">
        <v>1407</v>
      </c>
      <c r="G34">
        <v>400</v>
      </c>
      <c r="H34">
        <v>351</v>
      </c>
      <c r="I34">
        <v>16884</v>
      </c>
      <c r="J34">
        <v>15954</v>
      </c>
      <c r="K34">
        <v>113</v>
      </c>
      <c r="L34" t="s">
        <v>30</v>
      </c>
      <c r="O34" t="s">
        <v>19</v>
      </c>
      <c r="P34" t="s">
        <v>19</v>
      </c>
      <c r="Q34" t="s">
        <v>19</v>
      </c>
    </row>
    <row r="35" spans="1:17" x14ac:dyDescent="0.3">
      <c r="A35" t="s">
        <v>118</v>
      </c>
      <c r="B35" t="s">
        <v>43</v>
      </c>
      <c r="C35" s="5">
        <v>45742</v>
      </c>
      <c r="D35" t="s">
        <v>22</v>
      </c>
      <c r="E35" t="s">
        <v>56</v>
      </c>
      <c r="F35">
        <v>1652</v>
      </c>
      <c r="G35">
        <v>89</v>
      </c>
      <c r="H35">
        <v>357</v>
      </c>
      <c r="I35">
        <v>29736</v>
      </c>
      <c r="J35">
        <v>28771</v>
      </c>
      <c r="K35">
        <v>215</v>
      </c>
      <c r="L35" t="s">
        <v>30</v>
      </c>
      <c r="O35" t="s">
        <v>31</v>
      </c>
      <c r="P35" t="s">
        <v>31</v>
      </c>
      <c r="Q35" t="s">
        <v>19</v>
      </c>
    </row>
    <row r="36" spans="1:17" x14ac:dyDescent="0.3">
      <c r="A36" t="s">
        <v>120</v>
      </c>
      <c r="B36" t="s">
        <v>33</v>
      </c>
      <c r="C36" s="5">
        <v>45626</v>
      </c>
      <c r="D36" t="s">
        <v>74</v>
      </c>
      <c r="E36" t="s">
        <v>85</v>
      </c>
      <c r="F36">
        <v>3775</v>
      </c>
      <c r="G36">
        <v>16</v>
      </c>
      <c r="H36">
        <v>239</v>
      </c>
      <c r="I36">
        <v>33975</v>
      </c>
      <c r="J36">
        <v>33310</v>
      </c>
      <c r="K36">
        <v>271</v>
      </c>
      <c r="L36" t="s">
        <v>62</v>
      </c>
      <c r="O36" t="s">
        <v>25</v>
      </c>
      <c r="P36" t="s">
        <v>25</v>
      </c>
      <c r="Q36" t="s">
        <v>38</v>
      </c>
    </row>
    <row r="37" spans="1:17" x14ac:dyDescent="0.3">
      <c r="A37" t="s">
        <v>122</v>
      </c>
      <c r="B37" t="s">
        <v>33</v>
      </c>
      <c r="C37" s="5">
        <v>45766</v>
      </c>
      <c r="D37" t="s">
        <v>35</v>
      </c>
      <c r="E37" t="s">
        <v>36</v>
      </c>
      <c r="F37">
        <v>4518</v>
      </c>
      <c r="G37">
        <v>285</v>
      </c>
      <c r="H37">
        <v>383</v>
      </c>
      <c r="I37">
        <v>67770</v>
      </c>
      <c r="J37">
        <v>67621</v>
      </c>
      <c r="K37">
        <v>31</v>
      </c>
      <c r="L37" t="s">
        <v>37</v>
      </c>
      <c r="O37" t="s">
        <v>25</v>
      </c>
      <c r="P37" t="s">
        <v>25</v>
      </c>
      <c r="Q37" t="s">
        <v>19</v>
      </c>
    </row>
    <row r="38" spans="1:17" x14ac:dyDescent="0.3">
      <c r="A38" t="s">
        <v>124</v>
      </c>
      <c r="B38" t="s">
        <v>43</v>
      </c>
      <c r="C38" s="5">
        <v>45663</v>
      </c>
      <c r="D38" t="s">
        <v>45</v>
      </c>
      <c r="E38" t="s">
        <v>46</v>
      </c>
      <c r="F38">
        <v>3024</v>
      </c>
      <c r="G38">
        <v>925</v>
      </c>
      <c r="H38">
        <v>350</v>
      </c>
      <c r="I38">
        <v>24192</v>
      </c>
      <c r="J38">
        <v>23518</v>
      </c>
      <c r="K38">
        <v>36</v>
      </c>
      <c r="L38" t="s">
        <v>37</v>
      </c>
      <c r="O38" t="s">
        <v>25</v>
      </c>
      <c r="P38" t="s">
        <v>25</v>
      </c>
      <c r="Q38" t="s">
        <v>19</v>
      </c>
    </row>
    <row r="39" spans="1:17" x14ac:dyDescent="0.3">
      <c r="A39" t="s">
        <v>126</v>
      </c>
      <c r="B39" t="s">
        <v>27</v>
      </c>
      <c r="C39" s="5">
        <v>45705</v>
      </c>
      <c r="D39" t="s">
        <v>16</v>
      </c>
      <c r="E39" t="s">
        <v>29</v>
      </c>
      <c r="F39">
        <v>3138</v>
      </c>
      <c r="G39">
        <v>123</v>
      </c>
      <c r="H39">
        <v>291</v>
      </c>
      <c r="I39">
        <v>28242</v>
      </c>
      <c r="J39">
        <v>27550</v>
      </c>
      <c r="K39">
        <v>87</v>
      </c>
      <c r="L39" t="s">
        <v>30</v>
      </c>
      <c r="O39" t="s">
        <v>38</v>
      </c>
      <c r="P39" t="s">
        <v>38</v>
      </c>
      <c r="Q39" t="s">
        <v>19</v>
      </c>
    </row>
    <row r="40" spans="1:17" x14ac:dyDescent="0.3">
      <c r="A40" t="s">
        <v>128</v>
      </c>
      <c r="B40" t="s">
        <v>43</v>
      </c>
      <c r="C40" s="5">
        <v>45621</v>
      </c>
      <c r="D40" t="s">
        <v>52</v>
      </c>
      <c r="E40" t="s">
        <v>59</v>
      </c>
      <c r="F40">
        <v>3564</v>
      </c>
      <c r="G40">
        <v>629</v>
      </c>
      <c r="H40">
        <v>177</v>
      </c>
      <c r="I40">
        <v>60588</v>
      </c>
      <c r="J40">
        <v>59627</v>
      </c>
      <c r="K40">
        <v>92</v>
      </c>
      <c r="L40" t="s">
        <v>30</v>
      </c>
      <c r="P40" t="s">
        <v>25</v>
      </c>
      <c r="Q40" t="s">
        <v>19</v>
      </c>
    </row>
    <row r="41" spans="1:17" x14ac:dyDescent="0.3">
      <c r="A41" t="s">
        <v>130</v>
      </c>
      <c r="B41" t="s">
        <v>14</v>
      </c>
      <c r="C41" s="5">
        <v>45723</v>
      </c>
      <c r="D41" t="s">
        <v>52</v>
      </c>
      <c r="E41" t="s">
        <v>132</v>
      </c>
      <c r="F41">
        <v>4750</v>
      </c>
      <c r="G41">
        <v>151</v>
      </c>
      <c r="H41">
        <v>415</v>
      </c>
      <c r="I41">
        <v>38000</v>
      </c>
      <c r="J41">
        <v>37792</v>
      </c>
      <c r="K41">
        <v>299</v>
      </c>
      <c r="L41" t="s">
        <v>37</v>
      </c>
      <c r="O41" t="s">
        <v>38</v>
      </c>
      <c r="P41" t="s">
        <v>38</v>
      </c>
      <c r="Q41" t="s">
        <v>19</v>
      </c>
    </row>
    <row r="42" spans="1:17" x14ac:dyDescent="0.3">
      <c r="A42" t="s">
        <v>133</v>
      </c>
      <c r="B42" t="s">
        <v>33</v>
      </c>
      <c r="C42" s="5">
        <v>45724</v>
      </c>
      <c r="D42" t="s">
        <v>16</v>
      </c>
      <c r="E42" t="s">
        <v>82</v>
      </c>
      <c r="F42">
        <v>456</v>
      </c>
      <c r="G42">
        <v>629</v>
      </c>
      <c r="H42">
        <v>428</v>
      </c>
      <c r="I42">
        <v>8208</v>
      </c>
      <c r="J42">
        <v>7377</v>
      </c>
      <c r="K42">
        <v>205</v>
      </c>
      <c r="L42" t="s">
        <v>62</v>
      </c>
      <c r="O42" t="s">
        <v>38</v>
      </c>
      <c r="P42" t="s">
        <v>38</v>
      </c>
      <c r="Q42" t="s">
        <v>38</v>
      </c>
    </row>
    <row r="43" spans="1:17" x14ac:dyDescent="0.3">
      <c r="A43" t="s">
        <v>135</v>
      </c>
      <c r="B43" t="s">
        <v>27</v>
      </c>
      <c r="C43" s="5">
        <v>45721</v>
      </c>
      <c r="D43" t="s">
        <v>16</v>
      </c>
      <c r="E43" t="s">
        <v>29</v>
      </c>
      <c r="F43">
        <v>1543</v>
      </c>
      <c r="G43">
        <v>820</v>
      </c>
      <c r="H43">
        <v>333</v>
      </c>
      <c r="I43">
        <v>12344</v>
      </c>
      <c r="J43">
        <v>11496</v>
      </c>
      <c r="K43">
        <v>241</v>
      </c>
      <c r="L43" t="s">
        <v>37</v>
      </c>
      <c r="P43" t="s">
        <v>19</v>
      </c>
      <c r="Q43" t="s">
        <v>19</v>
      </c>
    </row>
    <row r="44" spans="1:17" x14ac:dyDescent="0.3">
      <c r="A44" t="s">
        <v>137</v>
      </c>
      <c r="B44" t="s">
        <v>33</v>
      </c>
      <c r="C44" s="5">
        <v>45640</v>
      </c>
      <c r="D44" t="s">
        <v>45</v>
      </c>
      <c r="E44" t="s">
        <v>88</v>
      </c>
      <c r="F44">
        <v>2174</v>
      </c>
      <c r="G44">
        <v>658</v>
      </c>
      <c r="H44">
        <v>15</v>
      </c>
      <c r="I44">
        <v>13044</v>
      </c>
      <c r="J44">
        <v>12206</v>
      </c>
      <c r="K44">
        <v>137</v>
      </c>
      <c r="L44" t="s">
        <v>30</v>
      </c>
      <c r="O44" t="s">
        <v>31</v>
      </c>
      <c r="P44" t="s">
        <v>31</v>
      </c>
      <c r="Q44" t="s">
        <v>19</v>
      </c>
    </row>
    <row r="45" spans="1:17" x14ac:dyDescent="0.3">
      <c r="A45" t="s">
        <v>139</v>
      </c>
      <c r="B45" t="s">
        <v>14</v>
      </c>
      <c r="C45" s="5">
        <v>45718</v>
      </c>
      <c r="D45" t="s">
        <v>52</v>
      </c>
      <c r="E45" t="s">
        <v>132</v>
      </c>
      <c r="F45">
        <v>2358</v>
      </c>
      <c r="G45">
        <v>784</v>
      </c>
      <c r="H45">
        <v>344</v>
      </c>
      <c r="I45">
        <v>35370</v>
      </c>
      <c r="J45">
        <v>34475</v>
      </c>
      <c r="K45">
        <v>216</v>
      </c>
      <c r="L45" t="s">
        <v>30</v>
      </c>
      <c r="P45" t="s">
        <v>25</v>
      </c>
      <c r="Q45" t="s">
        <v>19</v>
      </c>
    </row>
    <row r="46" spans="1:17" x14ac:dyDescent="0.3">
      <c r="A46" t="s">
        <v>141</v>
      </c>
      <c r="B46" t="s">
        <v>43</v>
      </c>
      <c r="C46" s="5">
        <v>45597</v>
      </c>
      <c r="D46" t="s">
        <v>74</v>
      </c>
      <c r="E46" t="s">
        <v>75</v>
      </c>
      <c r="F46">
        <v>3371</v>
      </c>
      <c r="G46">
        <v>106</v>
      </c>
      <c r="H46">
        <v>327</v>
      </c>
      <c r="I46">
        <v>50565</v>
      </c>
      <c r="J46">
        <v>49816</v>
      </c>
      <c r="K46">
        <v>176</v>
      </c>
      <c r="L46" t="s">
        <v>62</v>
      </c>
      <c r="O46" t="s">
        <v>19</v>
      </c>
      <c r="P46" t="s">
        <v>19</v>
      </c>
      <c r="Q46" t="s">
        <v>38</v>
      </c>
    </row>
    <row r="47" spans="1:17" x14ac:dyDescent="0.3">
      <c r="A47" t="s">
        <v>143</v>
      </c>
      <c r="B47" t="s">
        <v>14</v>
      </c>
      <c r="C47" s="5">
        <v>45779</v>
      </c>
      <c r="D47" t="s">
        <v>74</v>
      </c>
      <c r="E47" t="s">
        <v>145</v>
      </c>
      <c r="F47">
        <v>1108</v>
      </c>
      <c r="G47">
        <v>177</v>
      </c>
      <c r="H47">
        <v>212</v>
      </c>
      <c r="I47">
        <v>8864</v>
      </c>
      <c r="J47">
        <v>8710</v>
      </c>
      <c r="K47">
        <v>97</v>
      </c>
      <c r="L47" t="s">
        <v>30</v>
      </c>
      <c r="O47" t="s">
        <v>38</v>
      </c>
      <c r="P47" t="s">
        <v>38</v>
      </c>
      <c r="Q47" t="s">
        <v>19</v>
      </c>
    </row>
    <row r="48" spans="1:17" x14ac:dyDescent="0.3">
      <c r="A48" t="s">
        <v>146</v>
      </c>
      <c r="B48" t="s">
        <v>14</v>
      </c>
      <c r="C48" s="5">
        <v>45712</v>
      </c>
      <c r="D48" t="s">
        <v>45</v>
      </c>
      <c r="E48" t="s">
        <v>49</v>
      </c>
      <c r="F48">
        <v>2704</v>
      </c>
      <c r="G48">
        <v>752</v>
      </c>
      <c r="H48">
        <v>153</v>
      </c>
      <c r="I48">
        <v>21632</v>
      </c>
      <c r="J48">
        <v>20792</v>
      </c>
      <c r="K48">
        <v>127</v>
      </c>
      <c r="L48" t="s">
        <v>62</v>
      </c>
      <c r="P48" t="s">
        <v>38</v>
      </c>
      <c r="Q48" t="s">
        <v>38</v>
      </c>
    </row>
    <row r="49" spans="1:17" x14ac:dyDescent="0.3">
      <c r="A49" t="s">
        <v>148</v>
      </c>
      <c r="B49" t="s">
        <v>14</v>
      </c>
      <c r="C49" s="5">
        <v>45727</v>
      </c>
      <c r="D49" t="s">
        <v>35</v>
      </c>
      <c r="E49" t="s">
        <v>149</v>
      </c>
      <c r="F49">
        <v>1950</v>
      </c>
      <c r="G49">
        <v>295</v>
      </c>
      <c r="H49">
        <v>478</v>
      </c>
      <c r="I49">
        <v>37050</v>
      </c>
      <c r="J49">
        <v>36272</v>
      </c>
      <c r="K49">
        <v>119</v>
      </c>
      <c r="L49" t="s">
        <v>30</v>
      </c>
      <c r="P49" t="s">
        <v>25</v>
      </c>
      <c r="Q49" t="s">
        <v>19</v>
      </c>
    </row>
    <row r="50" spans="1:17" x14ac:dyDescent="0.3">
      <c r="A50" t="s">
        <v>150</v>
      </c>
      <c r="B50" t="s">
        <v>14</v>
      </c>
      <c r="C50" s="5">
        <v>45453</v>
      </c>
      <c r="D50" t="s">
        <v>35</v>
      </c>
      <c r="E50" t="s">
        <v>149</v>
      </c>
      <c r="F50">
        <v>2164</v>
      </c>
      <c r="G50">
        <v>549</v>
      </c>
      <c r="H50">
        <v>274</v>
      </c>
      <c r="I50">
        <v>28132</v>
      </c>
      <c r="J50">
        <v>27361</v>
      </c>
      <c r="K50">
        <v>177</v>
      </c>
      <c r="L50" t="s">
        <v>30</v>
      </c>
      <c r="O50" t="s">
        <v>38</v>
      </c>
      <c r="P50" t="s">
        <v>38</v>
      </c>
      <c r="Q50" t="s">
        <v>19</v>
      </c>
    </row>
    <row r="51" spans="1:17" x14ac:dyDescent="0.3">
      <c r="A51" t="s">
        <v>152</v>
      </c>
      <c r="B51" t="s">
        <v>27</v>
      </c>
      <c r="C51" s="5">
        <v>45476</v>
      </c>
      <c r="D51" t="s">
        <v>35</v>
      </c>
      <c r="E51" t="s">
        <v>154</v>
      </c>
      <c r="F51">
        <v>2754</v>
      </c>
      <c r="G51">
        <v>130</v>
      </c>
      <c r="H51">
        <v>90</v>
      </c>
      <c r="I51">
        <v>22032</v>
      </c>
      <c r="J51">
        <v>21288</v>
      </c>
      <c r="K51">
        <v>112</v>
      </c>
      <c r="L51" t="s">
        <v>30</v>
      </c>
      <c r="O51" t="s">
        <v>31</v>
      </c>
      <c r="P51" t="s">
        <v>31</v>
      </c>
      <c r="Q51" t="s">
        <v>19</v>
      </c>
    </row>
    <row r="52" spans="1:17" x14ac:dyDescent="0.3">
      <c r="A52" t="s">
        <v>155</v>
      </c>
      <c r="B52" t="s">
        <v>43</v>
      </c>
      <c r="C52" s="5">
        <v>45456</v>
      </c>
      <c r="D52" t="s">
        <v>45</v>
      </c>
      <c r="E52" t="s">
        <v>46</v>
      </c>
      <c r="F52">
        <v>2200</v>
      </c>
      <c r="G52">
        <v>504</v>
      </c>
      <c r="H52">
        <v>239</v>
      </c>
      <c r="I52">
        <v>37400</v>
      </c>
      <c r="J52">
        <v>36938</v>
      </c>
      <c r="K52">
        <v>225</v>
      </c>
      <c r="L52" t="s">
        <v>62</v>
      </c>
      <c r="O52" t="s">
        <v>25</v>
      </c>
      <c r="P52" t="s">
        <v>25</v>
      </c>
      <c r="Q52" t="s">
        <v>38</v>
      </c>
    </row>
    <row r="53" spans="1:17" x14ac:dyDescent="0.3">
      <c r="A53" t="s">
        <v>157</v>
      </c>
      <c r="B53" t="s">
        <v>43</v>
      </c>
      <c r="C53" s="5">
        <v>45660</v>
      </c>
      <c r="D53" t="s">
        <v>52</v>
      </c>
      <c r="E53" t="s">
        <v>59</v>
      </c>
      <c r="F53">
        <v>947</v>
      </c>
      <c r="G53">
        <v>338</v>
      </c>
      <c r="H53">
        <v>350</v>
      </c>
      <c r="I53">
        <v>10417</v>
      </c>
      <c r="J53">
        <v>9730</v>
      </c>
      <c r="K53">
        <v>34</v>
      </c>
      <c r="L53" t="s">
        <v>30</v>
      </c>
      <c r="O53" t="s">
        <v>38</v>
      </c>
      <c r="P53" t="s">
        <v>38</v>
      </c>
      <c r="Q53" t="s">
        <v>19</v>
      </c>
    </row>
    <row r="54" spans="1:17" x14ac:dyDescent="0.3">
      <c r="A54" t="s">
        <v>159</v>
      </c>
      <c r="B54" t="s">
        <v>27</v>
      </c>
      <c r="C54" s="5">
        <v>45712</v>
      </c>
      <c r="D54" t="s">
        <v>45</v>
      </c>
      <c r="E54" t="s">
        <v>68</v>
      </c>
      <c r="F54">
        <v>804</v>
      </c>
      <c r="G54">
        <v>639</v>
      </c>
      <c r="H54">
        <v>43</v>
      </c>
      <c r="I54">
        <v>4020</v>
      </c>
      <c r="J54">
        <v>3144</v>
      </c>
      <c r="K54">
        <v>11</v>
      </c>
      <c r="L54" t="s">
        <v>37</v>
      </c>
      <c r="M54" t="s">
        <v>616</v>
      </c>
      <c r="P54" t="s">
        <v>19</v>
      </c>
      <c r="Q54" t="s">
        <v>19</v>
      </c>
    </row>
    <row r="55" spans="1:17" x14ac:dyDescent="0.3">
      <c r="A55" t="s">
        <v>161</v>
      </c>
      <c r="B55" t="s">
        <v>27</v>
      </c>
      <c r="C55" s="5">
        <v>45729</v>
      </c>
      <c r="D55" t="s">
        <v>45</v>
      </c>
      <c r="E55" t="s">
        <v>68</v>
      </c>
      <c r="F55">
        <v>1686</v>
      </c>
      <c r="G55">
        <v>904</v>
      </c>
      <c r="H55">
        <v>472</v>
      </c>
      <c r="I55">
        <v>18546</v>
      </c>
      <c r="J55">
        <v>18171</v>
      </c>
      <c r="K55">
        <v>52</v>
      </c>
      <c r="L55" t="s">
        <v>62</v>
      </c>
      <c r="O55" t="s">
        <v>25</v>
      </c>
      <c r="P55" t="s">
        <v>25</v>
      </c>
      <c r="Q55" t="s">
        <v>38</v>
      </c>
    </row>
    <row r="56" spans="1:17" x14ac:dyDescent="0.3">
      <c r="A56" t="s">
        <v>163</v>
      </c>
      <c r="B56" t="s">
        <v>43</v>
      </c>
      <c r="C56" s="5">
        <v>45460</v>
      </c>
      <c r="D56" t="s">
        <v>52</v>
      </c>
      <c r="E56" t="s">
        <v>59</v>
      </c>
      <c r="F56">
        <v>1226</v>
      </c>
      <c r="G56">
        <v>119</v>
      </c>
      <c r="H56">
        <v>7</v>
      </c>
      <c r="I56">
        <v>14712</v>
      </c>
      <c r="J56">
        <v>14049</v>
      </c>
      <c r="K56">
        <v>123</v>
      </c>
      <c r="L56" t="s">
        <v>37</v>
      </c>
      <c r="O56" t="s">
        <v>38</v>
      </c>
      <c r="P56" t="s">
        <v>38</v>
      </c>
      <c r="Q56" t="s">
        <v>19</v>
      </c>
    </row>
    <row r="57" spans="1:17" x14ac:dyDescent="0.3">
      <c r="A57" t="s">
        <v>165</v>
      </c>
      <c r="B57" t="s">
        <v>43</v>
      </c>
      <c r="C57" s="5">
        <v>45644</v>
      </c>
      <c r="D57" t="s">
        <v>45</v>
      </c>
      <c r="E57" t="s">
        <v>46</v>
      </c>
      <c r="F57">
        <v>2946</v>
      </c>
      <c r="G57">
        <v>498</v>
      </c>
      <c r="H57">
        <v>367</v>
      </c>
      <c r="I57">
        <v>29460</v>
      </c>
      <c r="J57">
        <v>28527</v>
      </c>
      <c r="K57">
        <v>60</v>
      </c>
      <c r="L57" t="s">
        <v>62</v>
      </c>
      <c r="O57" t="s">
        <v>31</v>
      </c>
      <c r="P57" t="s">
        <v>31</v>
      </c>
      <c r="Q57" t="s">
        <v>38</v>
      </c>
    </row>
    <row r="58" spans="1:17" x14ac:dyDescent="0.3">
      <c r="A58" t="s">
        <v>167</v>
      </c>
      <c r="B58" t="s">
        <v>14</v>
      </c>
      <c r="C58" s="5">
        <v>45586</v>
      </c>
      <c r="D58" t="s">
        <v>74</v>
      </c>
      <c r="E58" t="s">
        <v>145</v>
      </c>
      <c r="F58">
        <v>2825</v>
      </c>
      <c r="G58">
        <v>535</v>
      </c>
      <c r="H58">
        <v>295</v>
      </c>
      <c r="I58">
        <v>45200</v>
      </c>
      <c r="J58">
        <v>44739</v>
      </c>
      <c r="K58">
        <v>169</v>
      </c>
      <c r="L58" t="s">
        <v>30</v>
      </c>
      <c r="O58" t="s">
        <v>19</v>
      </c>
      <c r="P58" t="s">
        <v>19</v>
      </c>
      <c r="Q58" t="s">
        <v>19</v>
      </c>
    </row>
    <row r="59" spans="1:17" x14ac:dyDescent="0.3">
      <c r="A59" t="s">
        <v>169</v>
      </c>
      <c r="B59" t="s">
        <v>33</v>
      </c>
      <c r="C59" s="5">
        <v>45762</v>
      </c>
      <c r="D59" t="s">
        <v>16</v>
      </c>
      <c r="E59" t="s">
        <v>82</v>
      </c>
      <c r="F59">
        <v>103</v>
      </c>
      <c r="G59">
        <v>770</v>
      </c>
      <c r="H59">
        <v>19</v>
      </c>
      <c r="I59">
        <v>1030</v>
      </c>
      <c r="J59">
        <v>410</v>
      </c>
      <c r="K59">
        <v>262</v>
      </c>
      <c r="L59" t="s">
        <v>30</v>
      </c>
      <c r="O59" t="s">
        <v>38</v>
      </c>
      <c r="P59" t="s">
        <v>38</v>
      </c>
      <c r="Q59" t="s">
        <v>19</v>
      </c>
    </row>
    <row r="60" spans="1:17" x14ac:dyDescent="0.3">
      <c r="A60" t="s">
        <v>171</v>
      </c>
      <c r="B60" t="s">
        <v>33</v>
      </c>
      <c r="C60" s="5">
        <v>45465</v>
      </c>
      <c r="D60" t="s">
        <v>22</v>
      </c>
      <c r="E60" t="s">
        <v>113</v>
      </c>
      <c r="F60">
        <v>2180</v>
      </c>
      <c r="G60">
        <v>263</v>
      </c>
      <c r="H60">
        <v>387</v>
      </c>
      <c r="I60">
        <v>30520</v>
      </c>
      <c r="J60">
        <v>30059</v>
      </c>
      <c r="K60">
        <v>174</v>
      </c>
      <c r="L60" t="s">
        <v>37</v>
      </c>
      <c r="P60" t="s">
        <v>19</v>
      </c>
      <c r="Q60" t="s">
        <v>19</v>
      </c>
    </row>
    <row r="61" spans="1:17" x14ac:dyDescent="0.3">
      <c r="A61" t="s">
        <v>173</v>
      </c>
      <c r="B61" t="s">
        <v>33</v>
      </c>
      <c r="C61" s="5">
        <v>45685</v>
      </c>
      <c r="D61" t="s">
        <v>74</v>
      </c>
      <c r="E61" t="s">
        <v>85</v>
      </c>
      <c r="F61">
        <v>904</v>
      </c>
      <c r="G61">
        <v>973</v>
      </c>
      <c r="H61">
        <v>63</v>
      </c>
      <c r="I61">
        <v>11752</v>
      </c>
      <c r="J61">
        <v>11580</v>
      </c>
      <c r="K61">
        <v>84</v>
      </c>
      <c r="L61" t="s">
        <v>37</v>
      </c>
      <c r="M61" t="s">
        <v>30</v>
      </c>
      <c r="N61" t="s">
        <v>615</v>
      </c>
      <c r="O61" t="s">
        <v>31</v>
      </c>
      <c r="P61" t="s">
        <v>31</v>
      </c>
      <c r="Q61" t="s">
        <v>19</v>
      </c>
    </row>
    <row r="62" spans="1:17" x14ac:dyDescent="0.3">
      <c r="A62" t="s">
        <v>176</v>
      </c>
      <c r="B62" t="s">
        <v>14</v>
      </c>
      <c r="C62" s="5">
        <v>45540</v>
      </c>
      <c r="D62" t="s">
        <v>74</v>
      </c>
      <c r="E62" t="s">
        <v>145</v>
      </c>
      <c r="F62">
        <v>4886</v>
      </c>
      <c r="G62">
        <v>983</v>
      </c>
      <c r="H62">
        <v>409</v>
      </c>
      <c r="I62">
        <v>43974</v>
      </c>
      <c r="J62">
        <v>43239</v>
      </c>
      <c r="K62">
        <v>65</v>
      </c>
      <c r="L62" t="s">
        <v>30</v>
      </c>
      <c r="O62" t="s">
        <v>19</v>
      </c>
      <c r="P62" t="s">
        <v>19</v>
      </c>
      <c r="Q62" t="s">
        <v>19</v>
      </c>
    </row>
    <row r="63" spans="1:17" x14ac:dyDescent="0.3">
      <c r="A63" t="s">
        <v>178</v>
      </c>
      <c r="B63" t="s">
        <v>14</v>
      </c>
      <c r="C63" s="5">
        <v>45618</v>
      </c>
      <c r="D63" t="s">
        <v>45</v>
      </c>
      <c r="E63" t="s">
        <v>49</v>
      </c>
      <c r="F63">
        <v>53</v>
      </c>
      <c r="G63">
        <v>81</v>
      </c>
      <c r="H63">
        <v>379</v>
      </c>
      <c r="I63">
        <v>954</v>
      </c>
      <c r="J63">
        <v>7</v>
      </c>
      <c r="K63">
        <v>148</v>
      </c>
      <c r="L63" t="s">
        <v>30</v>
      </c>
      <c r="O63" t="s">
        <v>31</v>
      </c>
      <c r="P63" t="s">
        <v>31</v>
      </c>
      <c r="Q63" t="s">
        <v>19</v>
      </c>
    </row>
    <row r="64" spans="1:17" x14ac:dyDescent="0.3">
      <c r="A64" t="s">
        <v>180</v>
      </c>
      <c r="B64" t="s">
        <v>14</v>
      </c>
      <c r="C64" s="5">
        <v>45504</v>
      </c>
      <c r="D64" t="s">
        <v>45</v>
      </c>
      <c r="E64" t="s">
        <v>49</v>
      </c>
      <c r="F64">
        <v>4507</v>
      </c>
      <c r="G64">
        <v>217</v>
      </c>
      <c r="H64">
        <v>13</v>
      </c>
      <c r="I64">
        <v>90140</v>
      </c>
      <c r="J64">
        <v>89591</v>
      </c>
      <c r="K64">
        <v>125</v>
      </c>
      <c r="L64" t="s">
        <v>62</v>
      </c>
      <c r="O64" t="s">
        <v>31</v>
      </c>
      <c r="P64" t="s">
        <v>31</v>
      </c>
      <c r="Q64" t="s">
        <v>38</v>
      </c>
    </row>
    <row r="65" spans="1:17" x14ac:dyDescent="0.3">
      <c r="A65" t="s">
        <v>181</v>
      </c>
      <c r="B65" t="s">
        <v>43</v>
      </c>
      <c r="C65" s="5">
        <v>45521</v>
      </c>
      <c r="D65" t="s">
        <v>52</v>
      </c>
      <c r="E65" t="s">
        <v>59</v>
      </c>
      <c r="F65">
        <v>2878</v>
      </c>
      <c r="G65">
        <v>248</v>
      </c>
      <c r="H65">
        <v>416</v>
      </c>
      <c r="I65">
        <v>43170</v>
      </c>
      <c r="J65">
        <v>42667</v>
      </c>
      <c r="K65">
        <v>75</v>
      </c>
      <c r="L65" t="s">
        <v>62</v>
      </c>
      <c r="O65" t="s">
        <v>31</v>
      </c>
      <c r="P65" t="s">
        <v>31</v>
      </c>
      <c r="Q65" t="s">
        <v>38</v>
      </c>
    </row>
    <row r="66" spans="1:17" x14ac:dyDescent="0.3">
      <c r="A66" t="s">
        <v>183</v>
      </c>
      <c r="B66" t="s">
        <v>33</v>
      </c>
      <c r="C66" s="5">
        <v>45744</v>
      </c>
      <c r="D66" t="s">
        <v>35</v>
      </c>
      <c r="E66" t="s">
        <v>36</v>
      </c>
      <c r="F66">
        <v>1881</v>
      </c>
      <c r="G66">
        <v>501</v>
      </c>
      <c r="H66">
        <v>99</v>
      </c>
      <c r="I66">
        <v>20691</v>
      </c>
      <c r="J66">
        <v>19987</v>
      </c>
      <c r="K66">
        <v>289</v>
      </c>
      <c r="L66" t="s">
        <v>37</v>
      </c>
      <c r="P66" t="s">
        <v>19</v>
      </c>
      <c r="Q66" t="s">
        <v>19</v>
      </c>
    </row>
    <row r="67" spans="1:17" x14ac:dyDescent="0.3">
      <c r="A67" t="s">
        <v>185</v>
      </c>
      <c r="B67" t="s">
        <v>14</v>
      </c>
      <c r="C67" s="5">
        <v>45499</v>
      </c>
      <c r="D67" t="s">
        <v>45</v>
      </c>
      <c r="E67" t="s">
        <v>49</v>
      </c>
      <c r="F67">
        <v>432</v>
      </c>
      <c r="G67">
        <v>171</v>
      </c>
      <c r="H67">
        <v>280</v>
      </c>
      <c r="I67">
        <v>3024</v>
      </c>
      <c r="J67">
        <v>2285</v>
      </c>
      <c r="K67">
        <v>184</v>
      </c>
      <c r="L67" t="s">
        <v>37</v>
      </c>
      <c r="O67" t="s">
        <v>19</v>
      </c>
      <c r="P67" t="s">
        <v>19</v>
      </c>
      <c r="Q67" t="s">
        <v>19</v>
      </c>
    </row>
    <row r="68" spans="1:17" x14ac:dyDescent="0.3">
      <c r="A68" t="s">
        <v>187</v>
      </c>
      <c r="B68" t="s">
        <v>43</v>
      </c>
      <c r="C68" s="5">
        <v>45745</v>
      </c>
      <c r="D68" t="s">
        <v>45</v>
      </c>
      <c r="E68" t="s">
        <v>46</v>
      </c>
      <c r="F68">
        <v>4712</v>
      </c>
      <c r="G68">
        <v>568</v>
      </c>
      <c r="H68">
        <v>127</v>
      </c>
      <c r="I68">
        <v>84816</v>
      </c>
      <c r="J68">
        <v>84691</v>
      </c>
      <c r="K68">
        <v>100</v>
      </c>
      <c r="L68" t="s">
        <v>37</v>
      </c>
      <c r="O68" t="s">
        <v>31</v>
      </c>
      <c r="P68" t="s">
        <v>31</v>
      </c>
      <c r="Q68" t="s">
        <v>19</v>
      </c>
    </row>
    <row r="69" spans="1:17" x14ac:dyDescent="0.3">
      <c r="A69" t="s">
        <v>189</v>
      </c>
      <c r="B69" t="s">
        <v>33</v>
      </c>
      <c r="C69" s="5">
        <v>45634</v>
      </c>
      <c r="D69" t="s">
        <v>35</v>
      </c>
      <c r="E69" t="s">
        <v>36</v>
      </c>
      <c r="F69">
        <v>2610</v>
      </c>
      <c r="G69">
        <v>126</v>
      </c>
      <c r="H69">
        <v>288</v>
      </c>
      <c r="I69">
        <v>15660</v>
      </c>
      <c r="J69">
        <v>15145</v>
      </c>
      <c r="K69">
        <v>73</v>
      </c>
      <c r="L69" t="s">
        <v>37</v>
      </c>
      <c r="P69" t="s">
        <v>19</v>
      </c>
      <c r="Q69" t="s">
        <v>19</v>
      </c>
    </row>
    <row r="70" spans="1:17" x14ac:dyDescent="0.3">
      <c r="A70" t="s">
        <v>191</v>
      </c>
      <c r="B70" t="s">
        <v>14</v>
      </c>
      <c r="C70" s="5">
        <v>45724</v>
      </c>
      <c r="D70" t="s">
        <v>22</v>
      </c>
      <c r="E70" t="s">
        <v>23</v>
      </c>
      <c r="F70">
        <v>1292</v>
      </c>
      <c r="G70">
        <v>626</v>
      </c>
      <c r="H70">
        <v>496</v>
      </c>
      <c r="I70">
        <v>25840</v>
      </c>
      <c r="J70">
        <v>24916</v>
      </c>
      <c r="K70">
        <v>149</v>
      </c>
      <c r="L70" t="s">
        <v>62</v>
      </c>
      <c r="O70" t="s">
        <v>31</v>
      </c>
      <c r="P70" t="s">
        <v>31</v>
      </c>
      <c r="Q70" t="s">
        <v>38</v>
      </c>
    </row>
    <row r="71" spans="1:17" x14ac:dyDescent="0.3">
      <c r="A71" t="s">
        <v>192</v>
      </c>
      <c r="B71" t="s">
        <v>43</v>
      </c>
      <c r="C71" s="5">
        <v>45749</v>
      </c>
      <c r="D71" t="s">
        <v>74</v>
      </c>
      <c r="E71" t="s">
        <v>75</v>
      </c>
      <c r="F71">
        <v>199</v>
      </c>
      <c r="G71">
        <v>772</v>
      </c>
      <c r="H71">
        <v>400</v>
      </c>
      <c r="I71">
        <v>3582</v>
      </c>
      <c r="J71">
        <v>2988</v>
      </c>
      <c r="K71">
        <v>43</v>
      </c>
      <c r="L71" t="s">
        <v>30</v>
      </c>
      <c r="P71" t="s">
        <v>25</v>
      </c>
      <c r="Q71" t="s">
        <v>19</v>
      </c>
    </row>
    <row r="72" spans="1:17" x14ac:dyDescent="0.3">
      <c r="A72" t="s">
        <v>194</v>
      </c>
      <c r="B72" t="s">
        <v>27</v>
      </c>
      <c r="C72" s="5">
        <v>45537</v>
      </c>
      <c r="D72" t="s">
        <v>45</v>
      </c>
      <c r="E72" t="s">
        <v>68</v>
      </c>
      <c r="F72">
        <v>2551</v>
      </c>
      <c r="G72">
        <v>915</v>
      </c>
      <c r="H72">
        <v>205</v>
      </c>
      <c r="I72">
        <v>30612</v>
      </c>
      <c r="J72">
        <v>30360</v>
      </c>
      <c r="K72">
        <v>227</v>
      </c>
      <c r="L72" t="s">
        <v>30</v>
      </c>
      <c r="O72" t="s">
        <v>25</v>
      </c>
      <c r="P72" t="s">
        <v>25</v>
      </c>
      <c r="Q72" t="s">
        <v>19</v>
      </c>
    </row>
    <row r="73" spans="1:17" x14ac:dyDescent="0.3">
      <c r="A73" t="s">
        <v>196</v>
      </c>
      <c r="B73" t="s">
        <v>27</v>
      </c>
      <c r="C73" s="5">
        <v>45719</v>
      </c>
      <c r="D73" t="s">
        <v>16</v>
      </c>
      <c r="E73" t="s">
        <v>29</v>
      </c>
      <c r="F73">
        <v>296</v>
      </c>
      <c r="G73">
        <v>60</v>
      </c>
      <c r="H73">
        <v>141</v>
      </c>
      <c r="I73">
        <v>5624</v>
      </c>
      <c r="J73">
        <v>5239</v>
      </c>
      <c r="K73">
        <v>88</v>
      </c>
      <c r="L73" t="s">
        <v>37</v>
      </c>
      <c r="O73" t="s">
        <v>25</v>
      </c>
      <c r="P73" t="s">
        <v>25</v>
      </c>
      <c r="Q73" t="s">
        <v>19</v>
      </c>
    </row>
    <row r="74" spans="1:17" x14ac:dyDescent="0.3">
      <c r="A74" t="s">
        <v>198</v>
      </c>
      <c r="B74" t="s">
        <v>43</v>
      </c>
      <c r="C74" s="5">
        <v>45583</v>
      </c>
      <c r="D74" t="s">
        <v>35</v>
      </c>
      <c r="E74" t="s">
        <v>71</v>
      </c>
      <c r="F74">
        <v>4126</v>
      </c>
      <c r="G74">
        <v>426</v>
      </c>
      <c r="H74">
        <v>486</v>
      </c>
      <c r="I74">
        <v>78394</v>
      </c>
      <c r="J74">
        <v>77798</v>
      </c>
      <c r="K74">
        <v>88</v>
      </c>
      <c r="L74" t="s">
        <v>62</v>
      </c>
      <c r="O74" t="s">
        <v>38</v>
      </c>
      <c r="P74" t="s">
        <v>38</v>
      </c>
      <c r="Q74" t="s">
        <v>38</v>
      </c>
    </row>
    <row r="75" spans="1:17" x14ac:dyDescent="0.3">
      <c r="A75" t="s">
        <v>200</v>
      </c>
      <c r="B75" t="s">
        <v>27</v>
      </c>
      <c r="C75" s="5">
        <v>45593</v>
      </c>
      <c r="D75" t="s">
        <v>16</v>
      </c>
      <c r="E75" t="s">
        <v>29</v>
      </c>
      <c r="F75">
        <v>1855</v>
      </c>
      <c r="G75">
        <v>200</v>
      </c>
      <c r="H75">
        <v>174</v>
      </c>
      <c r="I75">
        <v>16695</v>
      </c>
      <c r="J75">
        <v>16330</v>
      </c>
      <c r="K75">
        <v>123</v>
      </c>
      <c r="L75" t="s">
        <v>30</v>
      </c>
      <c r="O75" t="s">
        <v>31</v>
      </c>
      <c r="P75" t="s">
        <v>31</v>
      </c>
      <c r="Q75" t="s">
        <v>19</v>
      </c>
    </row>
    <row r="76" spans="1:17" x14ac:dyDescent="0.3">
      <c r="A76" t="s">
        <v>202</v>
      </c>
      <c r="B76" t="s">
        <v>33</v>
      </c>
      <c r="C76" s="5">
        <v>45505</v>
      </c>
      <c r="D76" t="s">
        <v>16</v>
      </c>
      <c r="E76" t="s">
        <v>82</v>
      </c>
      <c r="F76">
        <v>1674</v>
      </c>
      <c r="G76">
        <v>929</v>
      </c>
      <c r="H76">
        <v>37</v>
      </c>
      <c r="I76">
        <v>21762</v>
      </c>
      <c r="J76">
        <v>20998</v>
      </c>
      <c r="K76">
        <v>255</v>
      </c>
      <c r="L76" t="s">
        <v>30</v>
      </c>
      <c r="O76" t="s">
        <v>38</v>
      </c>
      <c r="P76" t="s">
        <v>38</v>
      </c>
      <c r="Q76" t="s">
        <v>19</v>
      </c>
    </row>
    <row r="77" spans="1:17" x14ac:dyDescent="0.3">
      <c r="A77" t="s">
        <v>204</v>
      </c>
      <c r="B77" t="s">
        <v>14</v>
      </c>
      <c r="C77" s="5">
        <v>45603</v>
      </c>
      <c r="D77" t="s">
        <v>35</v>
      </c>
      <c r="E77" t="s">
        <v>149</v>
      </c>
      <c r="F77">
        <v>1121</v>
      </c>
      <c r="G77">
        <v>135</v>
      </c>
      <c r="H77">
        <v>18</v>
      </c>
      <c r="I77">
        <v>15694</v>
      </c>
      <c r="J77">
        <v>14957</v>
      </c>
      <c r="K77">
        <v>99</v>
      </c>
      <c r="L77" t="s">
        <v>30</v>
      </c>
      <c r="O77" t="s">
        <v>38</v>
      </c>
      <c r="P77" t="s">
        <v>38</v>
      </c>
      <c r="Q77" t="s">
        <v>19</v>
      </c>
    </row>
    <row r="78" spans="1:17" x14ac:dyDescent="0.3">
      <c r="A78" t="s">
        <v>206</v>
      </c>
      <c r="B78" t="s">
        <v>43</v>
      </c>
      <c r="C78" s="5">
        <v>45720</v>
      </c>
      <c r="D78" t="s">
        <v>35</v>
      </c>
      <c r="E78" t="s">
        <v>71</v>
      </c>
      <c r="F78">
        <v>1249</v>
      </c>
      <c r="G78">
        <v>116</v>
      </c>
      <c r="H78">
        <v>420</v>
      </c>
      <c r="I78">
        <v>8743</v>
      </c>
      <c r="J78">
        <v>8538</v>
      </c>
      <c r="K78">
        <v>63</v>
      </c>
      <c r="L78" t="s">
        <v>30</v>
      </c>
      <c r="P78" t="s">
        <v>25</v>
      </c>
      <c r="Q78" t="s">
        <v>19</v>
      </c>
    </row>
    <row r="79" spans="1:17" x14ac:dyDescent="0.3">
      <c r="A79" t="s">
        <v>207</v>
      </c>
      <c r="B79" t="s">
        <v>14</v>
      </c>
      <c r="C79" s="5">
        <v>45460</v>
      </c>
      <c r="D79" t="s">
        <v>52</v>
      </c>
      <c r="E79" t="s">
        <v>132</v>
      </c>
      <c r="F79">
        <v>954</v>
      </c>
      <c r="G79">
        <v>324</v>
      </c>
      <c r="H79">
        <v>288</v>
      </c>
      <c r="I79">
        <v>19080</v>
      </c>
      <c r="J79">
        <v>18859</v>
      </c>
      <c r="K79">
        <v>21</v>
      </c>
      <c r="L79" t="s">
        <v>62</v>
      </c>
      <c r="O79" t="s">
        <v>38</v>
      </c>
      <c r="P79" t="s">
        <v>38</v>
      </c>
      <c r="Q79" t="s">
        <v>38</v>
      </c>
    </row>
    <row r="80" spans="1:17" x14ac:dyDescent="0.3">
      <c r="A80" t="s">
        <v>208</v>
      </c>
      <c r="B80" t="s">
        <v>33</v>
      </c>
      <c r="C80" s="5">
        <v>45574</v>
      </c>
      <c r="D80" t="s">
        <v>45</v>
      </c>
      <c r="E80" t="s">
        <v>88</v>
      </c>
      <c r="F80">
        <v>3068</v>
      </c>
      <c r="G80">
        <v>137</v>
      </c>
      <c r="H80">
        <v>329</v>
      </c>
      <c r="I80">
        <v>39884</v>
      </c>
      <c r="J80">
        <v>39404</v>
      </c>
      <c r="K80">
        <v>266</v>
      </c>
      <c r="L80" t="s">
        <v>37</v>
      </c>
      <c r="O80" t="s">
        <v>25</v>
      </c>
      <c r="P80" t="s">
        <v>25</v>
      </c>
      <c r="Q80" t="s">
        <v>19</v>
      </c>
    </row>
    <row r="81" spans="1:17" x14ac:dyDescent="0.3">
      <c r="A81" t="s">
        <v>210</v>
      </c>
      <c r="B81" t="s">
        <v>33</v>
      </c>
      <c r="C81" s="5">
        <v>45456</v>
      </c>
      <c r="D81" t="s">
        <v>35</v>
      </c>
      <c r="E81" t="s">
        <v>36</v>
      </c>
      <c r="F81">
        <v>2103</v>
      </c>
      <c r="G81">
        <v>892</v>
      </c>
      <c r="H81">
        <v>103</v>
      </c>
      <c r="I81">
        <v>39957</v>
      </c>
      <c r="J81">
        <v>39466</v>
      </c>
      <c r="K81">
        <v>28</v>
      </c>
      <c r="L81" t="s">
        <v>62</v>
      </c>
      <c r="P81" t="s">
        <v>38</v>
      </c>
      <c r="Q81" t="s">
        <v>38</v>
      </c>
    </row>
    <row r="82" spans="1:17" x14ac:dyDescent="0.3">
      <c r="A82" t="s">
        <v>211</v>
      </c>
      <c r="B82" t="s">
        <v>33</v>
      </c>
      <c r="C82" s="5">
        <v>45584</v>
      </c>
      <c r="D82" t="s">
        <v>35</v>
      </c>
      <c r="E82" t="s">
        <v>36</v>
      </c>
      <c r="F82">
        <v>1816</v>
      </c>
      <c r="G82">
        <v>29</v>
      </c>
      <c r="H82">
        <v>41</v>
      </c>
      <c r="I82">
        <v>19976</v>
      </c>
      <c r="J82">
        <v>19262</v>
      </c>
      <c r="K82">
        <v>283</v>
      </c>
      <c r="L82" t="s">
        <v>30</v>
      </c>
      <c r="O82" t="s">
        <v>31</v>
      </c>
      <c r="P82" t="s">
        <v>31</v>
      </c>
      <c r="Q82" t="s">
        <v>19</v>
      </c>
    </row>
    <row r="83" spans="1:17" x14ac:dyDescent="0.3">
      <c r="A83" t="s">
        <v>213</v>
      </c>
      <c r="B83" t="s">
        <v>33</v>
      </c>
      <c r="C83" s="5">
        <v>45497</v>
      </c>
      <c r="D83" t="s">
        <v>52</v>
      </c>
      <c r="E83" t="s">
        <v>215</v>
      </c>
      <c r="F83">
        <v>725</v>
      </c>
      <c r="G83">
        <v>88</v>
      </c>
      <c r="H83">
        <v>428</v>
      </c>
      <c r="I83">
        <v>14500</v>
      </c>
      <c r="J83">
        <v>13637</v>
      </c>
      <c r="K83">
        <v>200</v>
      </c>
      <c r="L83" t="s">
        <v>62</v>
      </c>
      <c r="M83" t="s">
        <v>30</v>
      </c>
      <c r="N83" t="s">
        <v>615</v>
      </c>
      <c r="O83" t="s">
        <v>31</v>
      </c>
      <c r="P83" t="s">
        <v>31</v>
      </c>
      <c r="Q83" t="s">
        <v>38</v>
      </c>
    </row>
    <row r="84" spans="1:17" x14ac:dyDescent="0.3">
      <c r="A84" t="s">
        <v>217</v>
      </c>
      <c r="B84" t="s">
        <v>27</v>
      </c>
      <c r="C84" s="5">
        <v>45580</v>
      </c>
      <c r="D84" t="s">
        <v>74</v>
      </c>
      <c r="E84" t="s">
        <v>219</v>
      </c>
      <c r="F84">
        <v>1094</v>
      </c>
      <c r="G84">
        <v>472</v>
      </c>
      <c r="H84">
        <v>21</v>
      </c>
      <c r="I84">
        <v>9846</v>
      </c>
      <c r="J84">
        <v>9609</v>
      </c>
      <c r="K84">
        <v>112</v>
      </c>
      <c r="L84" t="s">
        <v>37</v>
      </c>
      <c r="P84" t="s">
        <v>19</v>
      </c>
      <c r="Q84" t="s">
        <v>19</v>
      </c>
    </row>
    <row r="85" spans="1:17" x14ac:dyDescent="0.3">
      <c r="A85" t="s">
        <v>220</v>
      </c>
      <c r="B85" t="s">
        <v>43</v>
      </c>
      <c r="C85" s="5">
        <v>45635</v>
      </c>
      <c r="D85" t="s">
        <v>52</v>
      </c>
      <c r="E85" t="s">
        <v>59</v>
      </c>
      <c r="F85">
        <v>1841</v>
      </c>
      <c r="G85">
        <v>851</v>
      </c>
      <c r="H85">
        <v>342</v>
      </c>
      <c r="I85">
        <v>34979</v>
      </c>
      <c r="J85">
        <v>34154</v>
      </c>
      <c r="K85">
        <v>255</v>
      </c>
      <c r="L85" t="s">
        <v>62</v>
      </c>
      <c r="O85" t="s">
        <v>38</v>
      </c>
      <c r="P85" t="s">
        <v>38</v>
      </c>
      <c r="Q85" t="s">
        <v>38</v>
      </c>
    </row>
    <row r="86" spans="1:17" x14ac:dyDescent="0.3">
      <c r="A86" t="s">
        <v>222</v>
      </c>
      <c r="B86" t="s">
        <v>33</v>
      </c>
      <c r="C86" s="5">
        <v>45766</v>
      </c>
      <c r="D86" t="s">
        <v>52</v>
      </c>
      <c r="E86" t="s">
        <v>215</v>
      </c>
      <c r="F86">
        <v>4177</v>
      </c>
      <c r="G86">
        <v>569</v>
      </c>
      <c r="H86">
        <v>55</v>
      </c>
      <c r="I86">
        <v>25062</v>
      </c>
      <c r="J86">
        <v>24847</v>
      </c>
      <c r="K86">
        <v>230</v>
      </c>
      <c r="L86" t="s">
        <v>62</v>
      </c>
      <c r="O86" t="s">
        <v>19</v>
      </c>
      <c r="P86" t="s">
        <v>19</v>
      </c>
      <c r="Q86" t="s">
        <v>38</v>
      </c>
    </row>
    <row r="87" spans="1:17" x14ac:dyDescent="0.3">
      <c r="A87" t="s">
        <v>223</v>
      </c>
      <c r="B87" t="s">
        <v>27</v>
      </c>
      <c r="C87" s="5">
        <v>45684</v>
      </c>
      <c r="D87" t="s">
        <v>22</v>
      </c>
      <c r="E87" t="s">
        <v>104</v>
      </c>
      <c r="F87">
        <v>3428</v>
      </c>
      <c r="G87">
        <v>305</v>
      </c>
      <c r="H87">
        <v>85</v>
      </c>
      <c r="I87">
        <v>58276</v>
      </c>
      <c r="J87">
        <v>58052</v>
      </c>
      <c r="K87">
        <v>242</v>
      </c>
      <c r="L87" t="s">
        <v>37</v>
      </c>
      <c r="M87" t="s">
        <v>616</v>
      </c>
      <c r="O87" t="s">
        <v>38</v>
      </c>
      <c r="P87" t="s">
        <v>38</v>
      </c>
      <c r="Q87" t="s">
        <v>19</v>
      </c>
    </row>
    <row r="88" spans="1:17" x14ac:dyDescent="0.3">
      <c r="A88" t="s">
        <v>225</v>
      </c>
      <c r="B88" t="s">
        <v>14</v>
      </c>
      <c r="C88" s="5">
        <v>45449</v>
      </c>
      <c r="D88" t="s">
        <v>74</v>
      </c>
      <c r="E88" t="s">
        <v>145</v>
      </c>
      <c r="F88">
        <v>1436</v>
      </c>
      <c r="G88">
        <v>765</v>
      </c>
      <c r="H88">
        <v>496</v>
      </c>
      <c r="I88">
        <v>12924</v>
      </c>
      <c r="J88">
        <v>12701</v>
      </c>
      <c r="K88">
        <v>197</v>
      </c>
      <c r="L88" t="s">
        <v>62</v>
      </c>
      <c r="O88" t="s">
        <v>31</v>
      </c>
      <c r="P88" t="s">
        <v>31</v>
      </c>
      <c r="Q88" t="s">
        <v>38</v>
      </c>
    </row>
    <row r="89" spans="1:17" x14ac:dyDescent="0.3">
      <c r="A89" t="s">
        <v>227</v>
      </c>
      <c r="B89" t="s">
        <v>43</v>
      </c>
      <c r="C89" s="5">
        <v>45480</v>
      </c>
      <c r="D89" t="s">
        <v>35</v>
      </c>
      <c r="E89" t="s">
        <v>71</v>
      </c>
      <c r="F89">
        <v>302</v>
      </c>
      <c r="G89">
        <v>47</v>
      </c>
      <c r="H89">
        <v>430</v>
      </c>
      <c r="I89">
        <v>5738</v>
      </c>
      <c r="J89">
        <v>4890</v>
      </c>
      <c r="K89">
        <v>25</v>
      </c>
      <c r="L89" t="s">
        <v>30</v>
      </c>
      <c r="O89" t="s">
        <v>38</v>
      </c>
      <c r="P89" t="s">
        <v>38</v>
      </c>
      <c r="Q89" t="s">
        <v>19</v>
      </c>
    </row>
    <row r="90" spans="1:17" x14ac:dyDescent="0.3">
      <c r="A90" t="s">
        <v>229</v>
      </c>
      <c r="B90" t="s">
        <v>14</v>
      </c>
      <c r="C90" s="5">
        <v>45667</v>
      </c>
      <c r="D90" t="s">
        <v>52</v>
      </c>
      <c r="E90" t="s">
        <v>132</v>
      </c>
      <c r="F90">
        <v>2214</v>
      </c>
      <c r="G90">
        <v>249</v>
      </c>
      <c r="H90">
        <v>152</v>
      </c>
      <c r="I90">
        <v>15498</v>
      </c>
      <c r="J90">
        <v>14800</v>
      </c>
      <c r="K90">
        <v>180</v>
      </c>
      <c r="L90" t="s">
        <v>37</v>
      </c>
      <c r="P90" t="s">
        <v>19</v>
      </c>
      <c r="Q90" t="s">
        <v>19</v>
      </c>
    </row>
    <row r="91" spans="1:17" x14ac:dyDescent="0.3">
      <c r="A91" t="s">
        <v>231</v>
      </c>
      <c r="B91" t="s">
        <v>33</v>
      </c>
      <c r="C91" s="5">
        <v>45446</v>
      </c>
      <c r="D91" t="s">
        <v>52</v>
      </c>
      <c r="E91" t="s">
        <v>215</v>
      </c>
      <c r="F91">
        <v>3861</v>
      </c>
      <c r="G91">
        <v>960</v>
      </c>
      <c r="H91">
        <v>101</v>
      </c>
      <c r="I91">
        <v>69498</v>
      </c>
      <c r="J91">
        <v>68817</v>
      </c>
      <c r="K91">
        <v>297</v>
      </c>
      <c r="L91" t="s">
        <v>30</v>
      </c>
      <c r="O91" t="s">
        <v>38</v>
      </c>
      <c r="P91" t="s">
        <v>38</v>
      </c>
      <c r="Q91" t="s">
        <v>19</v>
      </c>
    </row>
    <row r="92" spans="1:17" x14ac:dyDescent="0.3">
      <c r="A92" t="s">
        <v>233</v>
      </c>
      <c r="B92" t="s">
        <v>43</v>
      </c>
      <c r="C92" s="5">
        <v>45740</v>
      </c>
      <c r="D92" t="s">
        <v>52</v>
      </c>
      <c r="E92" t="s">
        <v>59</v>
      </c>
      <c r="F92">
        <v>1263</v>
      </c>
      <c r="G92">
        <v>397</v>
      </c>
      <c r="H92">
        <v>357</v>
      </c>
      <c r="I92">
        <v>25260</v>
      </c>
      <c r="J92">
        <v>24615</v>
      </c>
      <c r="K92">
        <v>137</v>
      </c>
      <c r="L92" t="s">
        <v>37</v>
      </c>
      <c r="O92" t="s">
        <v>38</v>
      </c>
      <c r="P92" t="s">
        <v>38</v>
      </c>
      <c r="Q92" t="s">
        <v>19</v>
      </c>
    </row>
    <row r="93" spans="1:17" x14ac:dyDescent="0.3">
      <c r="A93" t="s">
        <v>235</v>
      </c>
      <c r="B93" t="s">
        <v>14</v>
      </c>
      <c r="C93" s="5">
        <v>45586</v>
      </c>
      <c r="D93" t="s">
        <v>35</v>
      </c>
      <c r="E93" t="s">
        <v>149</v>
      </c>
      <c r="F93">
        <v>3801</v>
      </c>
      <c r="G93">
        <v>967</v>
      </c>
      <c r="H93">
        <v>401</v>
      </c>
      <c r="I93">
        <v>38010</v>
      </c>
      <c r="J93">
        <v>37625</v>
      </c>
      <c r="K93">
        <v>236</v>
      </c>
      <c r="L93" t="s">
        <v>62</v>
      </c>
      <c r="O93" t="s">
        <v>31</v>
      </c>
      <c r="P93" t="s">
        <v>31</v>
      </c>
      <c r="Q93" t="s">
        <v>38</v>
      </c>
    </row>
    <row r="94" spans="1:17" x14ac:dyDescent="0.3">
      <c r="A94" t="s">
        <v>236</v>
      </c>
      <c r="B94" t="s">
        <v>33</v>
      </c>
      <c r="C94" s="5">
        <v>45637</v>
      </c>
      <c r="D94" t="s">
        <v>74</v>
      </c>
      <c r="E94" t="s">
        <v>85</v>
      </c>
      <c r="F94">
        <v>1431</v>
      </c>
      <c r="G94">
        <v>951</v>
      </c>
      <c r="H94">
        <v>26</v>
      </c>
      <c r="I94">
        <v>8586</v>
      </c>
      <c r="J94">
        <v>8396</v>
      </c>
      <c r="K94">
        <v>150</v>
      </c>
      <c r="L94" t="s">
        <v>37</v>
      </c>
      <c r="O94" t="s">
        <v>31</v>
      </c>
      <c r="P94" t="s">
        <v>31</v>
      </c>
      <c r="Q94" t="s">
        <v>19</v>
      </c>
    </row>
    <row r="95" spans="1:17" x14ac:dyDescent="0.3">
      <c r="A95" t="s">
        <v>238</v>
      </c>
      <c r="B95" t="s">
        <v>33</v>
      </c>
      <c r="C95" s="5">
        <v>45603</v>
      </c>
      <c r="D95" t="s">
        <v>52</v>
      </c>
      <c r="E95" t="s">
        <v>215</v>
      </c>
      <c r="F95">
        <v>2647</v>
      </c>
      <c r="G95">
        <v>304</v>
      </c>
      <c r="H95">
        <v>170</v>
      </c>
      <c r="I95">
        <v>18529</v>
      </c>
      <c r="J95">
        <v>17841</v>
      </c>
      <c r="K95">
        <v>46</v>
      </c>
      <c r="L95" t="s">
        <v>62</v>
      </c>
      <c r="O95" t="s">
        <v>31</v>
      </c>
      <c r="P95" t="s">
        <v>31</v>
      </c>
      <c r="Q95" t="s">
        <v>38</v>
      </c>
    </row>
    <row r="96" spans="1:17" x14ac:dyDescent="0.3">
      <c r="A96" t="s">
        <v>239</v>
      </c>
      <c r="B96" t="s">
        <v>33</v>
      </c>
      <c r="C96" s="5">
        <v>45604</v>
      </c>
      <c r="D96" t="s">
        <v>22</v>
      </c>
      <c r="E96" t="s">
        <v>113</v>
      </c>
      <c r="F96">
        <v>3182</v>
      </c>
      <c r="G96">
        <v>559</v>
      </c>
      <c r="H96">
        <v>160</v>
      </c>
      <c r="I96">
        <v>57276</v>
      </c>
      <c r="J96">
        <v>56890</v>
      </c>
      <c r="K96">
        <v>163</v>
      </c>
      <c r="L96" t="s">
        <v>62</v>
      </c>
      <c r="O96" t="s">
        <v>38</v>
      </c>
      <c r="P96" t="s">
        <v>38</v>
      </c>
      <c r="Q96" t="s">
        <v>38</v>
      </c>
    </row>
    <row r="97" spans="1:17" x14ac:dyDescent="0.3">
      <c r="A97" t="s">
        <v>241</v>
      </c>
      <c r="B97" t="s">
        <v>14</v>
      </c>
      <c r="C97" s="5">
        <v>45545</v>
      </c>
      <c r="D97" t="s">
        <v>52</v>
      </c>
      <c r="E97" t="s">
        <v>132</v>
      </c>
      <c r="F97">
        <v>1238</v>
      </c>
      <c r="G97">
        <v>366</v>
      </c>
      <c r="H97">
        <v>444</v>
      </c>
      <c r="I97">
        <v>19808</v>
      </c>
      <c r="J97">
        <v>19334</v>
      </c>
      <c r="K97">
        <v>123</v>
      </c>
      <c r="L97" t="s">
        <v>62</v>
      </c>
      <c r="P97" t="s">
        <v>38</v>
      </c>
      <c r="Q97" t="s">
        <v>38</v>
      </c>
    </row>
    <row r="98" spans="1:17" x14ac:dyDescent="0.3">
      <c r="A98" t="s">
        <v>243</v>
      </c>
      <c r="B98" t="s">
        <v>33</v>
      </c>
      <c r="C98" s="5">
        <v>45517</v>
      </c>
      <c r="D98" t="s">
        <v>52</v>
      </c>
      <c r="E98" t="s">
        <v>215</v>
      </c>
      <c r="F98">
        <v>4739</v>
      </c>
      <c r="G98">
        <v>527</v>
      </c>
      <c r="H98">
        <v>135</v>
      </c>
      <c r="I98">
        <v>61607</v>
      </c>
      <c r="J98">
        <v>61333</v>
      </c>
      <c r="K98">
        <v>36</v>
      </c>
      <c r="L98" t="s">
        <v>30</v>
      </c>
      <c r="M98" t="s">
        <v>615</v>
      </c>
      <c r="O98" t="s">
        <v>25</v>
      </c>
      <c r="P98" t="s">
        <v>25</v>
      </c>
      <c r="Q98" t="s">
        <v>19</v>
      </c>
    </row>
    <row r="99" spans="1:17" x14ac:dyDescent="0.3">
      <c r="A99" t="s">
        <v>245</v>
      </c>
      <c r="B99" t="s">
        <v>14</v>
      </c>
      <c r="C99" s="5">
        <v>45453</v>
      </c>
      <c r="D99" t="s">
        <v>35</v>
      </c>
      <c r="E99" t="s">
        <v>149</v>
      </c>
      <c r="F99">
        <v>1575</v>
      </c>
      <c r="G99">
        <v>771</v>
      </c>
      <c r="H99">
        <v>486</v>
      </c>
      <c r="I99">
        <v>25200</v>
      </c>
      <c r="J99">
        <v>24826</v>
      </c>
      <c r="K99">
        <v>17</v>
      </c>
      <c r="L99" t="s">
        <v>62</v>
      </c>
      <c r="O99" t="s">
        <v>38</v>
      </c>
      <c r="P99" t="s">
        <v>38</v>
      </c>
      <c r="Q99" t="s">
        <v>38</v>
      </c>
    </row>
    <row r="100" spans="1:17" x14ac:dyDescent="0.3">
      <c r="A100" t="s">
        <v>246</v>
      </c>
      <c r="B100" t="s">
        <v>27</v>
      </c>
      <c r="C100" s="5">
        <v>45475</v>
      </c>
      <c r="D100" t="s">
        <v>45</v>
      </c>
      <c r="E100" t="s">
        <v>68</v>
      </c>
      <c r="F100">
        <v>4171</v>
      </c>
      <c r="G100">
        <v>548</v>
      </c>
      <c r="H100">
        <v>86</v>
      </c>
      <c r="I100">
        <v>66736</v>
      </c>
      <c r="J100">
        <v>66634</v>
      </c>
      <c r="K100">
        <v>173</v>
      </c>
      <c r="L100" t="s">
        <v>62</v>
      </c>
      <c r="O100" t="s">
        <v>31</v>
      </c>
      <c r="P100" t="s">
        <v>31</v>
      </c>
      <c r="Q100" t="s">
        <v>38</v>
      </c>
    </row>
    <row r="101" spans="1:17" x14ac:dyDescent="0.3">
      <c r="A101" t="s">
        <v>248</v>
      </c>
      <c r="B101" t="s">
        <v>27</v>
      </c>
      <c r="C101" s="5">
        <v>45698</v>
      </c>
      <c r="D101" t="s">
        <v>74</v>
      </c>
      <c r="E101" t="s">
        <v>219</v>
      </c>
      <c r="F101">
        <v>1766</v>
      </c>
      <c r="G101">
        <v>92</v>
      </c>
      <c r="H101">
        <v>424</v>
      </c>
      <c r="I101">
        <v>24724</v>
      </c>
      <c r="J101">
        <v>24333</v>
      </c>
      <c r="K101">
        <v>52</v>
      </c>
      <c r="L101" t="s">
        <v>37</v>
      </c>
      <c r="P101" t="s">
        <v>19</v>
      </c>
      <c r="Q101" t="s">
        <v>19</v>
      </c>
    </row>
    <row r="102" spans="1:17" x14ac:dyDescent="0.3">
      <c r="A102" t="s">
        <v>250</v>
      </c>
      <c r="B102" t="s">
        <v>27</v>
      </c>
      <c r="C102" s="5">
        <v>45583</v>
      </c>
      <c r="D102" t="s">
        <v>74</v>
      </c>
      <c r="E102" t="s">
        <v>219</v>
      </c>
      <c r="F102">
        <v>4450</v>
      </c>
      <c r="G102">
        <v>983</v>
      </c>
      <c r="H102">
        <v>143</v>
      </c>
      <c r="I102">
        <v>75650</v>
      </c>
      <c r="J102">
        <v>75008</v>
      </c>
      <c r="K102">
        <v>12</v>
      </c>
      <c r="L102" t="s">
        <v>62</v>
      </c>
      <c r="O102" t="s">
        <v>31</v>
      </c>
      <c r="P102" t="s">
        <v>31</v>
      </c>
      <c r="Q102" t="s">
        <v>38</v>
      </c>
    </row>
    <row r="103" spans="1:17" x14ac:dyDescent="0.3">
      <c r="A103" t="s">
        <v>251</v>
      </c>
      <c r="B103" t="s">
        <v>14</v>
      </c>
      <c r="C103" s="5">
        <v>45553</v>
      </c>
      <c r="D103" t="s">
        <v>16</v>
      </c>
      <c r="E103" t="s">
        <v>17</v>
      </c>
      <c r="F103">
        <v>1000</v>
      </c>
      <c r="G103">
        <v>978</v>
      </c>
      <c r="H103">
        <v>162</v>
      </c>
      <c r="I103">
        <v>6000</v>
      </c>
      <c r="J103">
        <v>5221</v>
      </c>
      <c r="K103">
        <v>223</v>
      </c>
      <c r="L103" t="s">
        <v>37</v>
      </c>
      <c r="O103" t="s">
        <v>25</v>
      </c>
      <c r="P103" t="s">
        <v>25</v>
      </c>
      <c r="Q103" t="s">
        <v>19</v>
      </c>
    </row>
    <row r="104" spans="1:17" x14ac:dyDescent="0.3">
      <c r="A104" t="s">
        <v>253</v>
      </c>
      <c r="B104" t="s">
        <v>43</v>
      </c>
      <c r="C104" s="5">
        <v>45454</v>
      </c>
      <c r="D104" t="s">
        <v>52</v>
      </c>
      <c r="E104" t="s">
        <v>59</v>
      </c>
      <c r="F104">
        <v>3689</v>
      </c>
      <c r="G104">
        <v>48</v>
      </c>
      <c r="H104">
        <v>306</v>
      </c>
      <c r="I104">
        <v>40579</v>
      </c>
      <c r="J104">
        <v>39588</v>
      </c>
      <c r="K104">
        <v>212</v>
      </c>
      <c r="L104" t="s">
        <v>37</v>
      </c>
      <c r="O104" t="s">
        <v>25</v>
      </c>
      <c r="P104" t="s">
        <v>25</v>
      </c>
      <c r="Q104" t="s">
        <v>19</v>
      </c>
    </row>
    <row r="105" spans="1:17" x14ac:dyDescent="0.3">
      <c r="A105" t="s">
        <v>255</v>
      </c>
      <c r="B105" t="s">
        <v>27</v>
      </c>
      <c r="C105" s="5">
        <v>45739</v>
      </c>
      <c r="D105" t="s">
        <v>35</v>
      </c>
      <c r="E105" t="s">
        <v>154</v>
      </c>
      <c r="F105">
        <v>3655</v>
      </c>
      <c r="G105">
        <v>568</v>
      </c>
      <c r="H105">
        <v>286</v>
      </c>
      <c r="I105">
        <v>32895</v>
      </c>
      <c r="J105">
        <v>32015</v>
      </c>
      <c r="K105">
        <v>199</v>
      </c>
      <c r="L105" t="s">
        <v>30</v>
      </c>
      <c r="O105" t="s">
        <v>31</v>
      </c>
      <c r="P105" t="s">
        <v>31</v>
      </c>
      <c r="Q105" t="s">
        <v>19</v>
      </c>
    </row>
    <row r="106" spans="1:17" x14ac:dyDescent="0.3">
      <c r="A106" t="s">
        <v>257</v>
      </c>
      <c r="B106" t="s">
        <v>33</v>
      </c>
      <c r="C106" s="5">
        <v>45457</v>
      </c>
      <c r="D106" t="s">
        <v>45</v>
      </c>
      <c r="E106" t="s">
        <v>88</v>
      </c>
      <c r="F106">
        <v>498</v>
      </c>
      <c r="G106">
        <v>38</v>
      </c>
      <c r="H106">
        <v>42</v>
      </c>
      <c r="I106">
        <v>4482</v>
      </c>
      <c r="J106">
        <v>3647</v>
      </c>
      <c r="K106">
        <v>32</v>
      </c>
      <c r="L106" t="s">
        <v>62</v>
      </c>
      <c r="O106" t="s">
        <v>19</v>
      </c>
      <c r="P106" t="s">
        <v>19</v>
      </c>
      <c r="Q106" t="s">
        <v>38</v>
      </c>
    </row>
    <row r="107" spans="1:17" x14ac:dyDescent="0.3">
      <c r="A107" t="s">
        <v>259</v>
      </c>
      <c r="B107" t="s">
        <v>33</v>
      </c>
      <c r="C107" s="5">
        <v>45692</v>
      </c>
      <c r="D107" t="s">
        <v>52</v>
      </c>
      <c r="E107" t="s">
        <v>215</v>
      </c>
      <c r="F107">
        <v>4619</v>
      </c>
      <c r="G107">
        <v>821</v>
      </c>
      <c r="H107">
        <v>499</v>
      </c>
      <c r="I107">
        <v>69285</v>
      </c>
      <c r="J107">
        <v>69141</v>
      </c>
      <c r="K107">
        <v>298</v>
      </c>
      <c r="L107" t="s">
        <v>30</v>
      </c>
      <c r="O107" t="s">
        <v>38</v>
      </c>
      <c r="P107" t="s">
        <v>38</v>
      </c>
      <c r="Q107" t="s">
        <v>19</v>
      </c>
    </row>
    <row r="108" spans="1:17" x14ac:dyDescent="0.3">
      <c r="A108" t="s">
        <v>261</v>
      </c>
      <c r="B108" t="s">
        <v>27</v>
      </c>
      <c r="C108" s="5">
        <v>45464</v>
      </c>
      <c r="D108" t="s">
        <v>52</v>
      </c>
      <c r="E108" t="s">
        <v>53</v>
      </c>
      <c r="F108">
        <v>4832</v>
      </c>
      <c r="G108">
        <v>893</v>
      </c>
      <c r="H108">
        <v>10</v>
      </c>
      <c r="I108">
        <v>91808</v>
      </c>
      <c r="J108">
        <v>91296</v>
      </c>
      <c r="K108">
        <v>182</v>
      </c>
      <c r="L108" t="s">
        <v>30</v>
      </c>
      <c r="P108" t="s">
        <v>25</v>
      </c>
      <c r="Q108" t="s">
        <v>19</v>
      </c>
    </row>
    <row r="109" spans="1:17" x14ac:dyDescent="0.3">
      <c r="A109" t="s">
        <v>263</v>
      </c>
      <c r="B109" t="s">
        <v>14</v>
      </c>
      <c r="C109" s="5">
        <v>45741</v>
      </c>
      <c r="D109" t="s">
        <v>74</v>
      </c>
      <c r="E109" t="s">
        <v>145</v>
      </c>
      <c r="F109">
        <v>4050</v>
      </c>
      <c r="G109">
        <v>871</v>
      </c>
      <c r="H109">
        <v>347</v>
      </c>
      <c r="I109">
        <v>52650</v>
      </c>
      <c r="J109">
        <v>51755</v>
      </c>
      <c r="K109">
        <v>209</v>
      </c>
      <c r="L109" t="s">
        <v>30</v>
      </c>
      <c r="O109" t="s">
        <v>25</v>
      </c>
      <c r="P109" t="s">
        <v>25</v>
      </c>
      <c r="Q109" t="s">
        <v>19</v>
      </c>
    </row>
    <row r="110" spans="1:17" x14ac:dyDescent="0.3">
      <c r="A110" t="s">
        <v>265</v>
      </c>
      <c r="B110" t="s">
        <v>14</v>
      </c>
      <c r="C110" s="5">
        <v>45512</v>
      </c>
      <c r="D110" t="s">
        <v>35</v>
      </c>
      <c r="E110" t="s">
        <v>149</v>
      </c>
      <c r="F110">
        <v>3649</v>
      </c>
      <c r="G110">
        <v>215</v>
      </c>
      <c r="H110">
        <v>413</v>
      </c>
      <c r="I110">
        <v>25543</v>
      </c>
      <c r="J110">
        <v>24963</v>
      </c>
      <c r="K110">
        <v>167</v>
      </c>
      <c r="L110" t="s">
        <v>62</v>
      </c>
      <c r="O110" t="s">
        <v>31</v>
      </c>
      <c r="P110" t="s">
        <v>31</v>
      </c>
      <c r="Q110" t="s">
        <v>38</v>
      </c>
    </row>
    <row r="111" spans="1:17" x14ac:dyDescent="0.3">
      <c r="A111" t="s">
        <v>267</v>
      </c>
      <c r="B111" t="s">
        <v>33</v>
      </c>
      <c r="C111" s="5">
        <v>45502</v>
      </c>
      <c r="D111" t="s">
        <v>16</v>
      </c>
      <c r="E111" t="s">
        <v>82</v>
      </c>
      <c r="F111">
        <v>3523</v>
      </c>
      <c r="G111">
        <v>753</v>
      </c>
      <c r="H111">
        <v>482</v>
      </c>
      <c r="I111">
        <v>38753</v>
      </c>
      <c r="J111">
        <v>38579</v>
      </c>
      <c r="K111">
        <v>270</v>
      </c>
      <c r="L111" t="s">
        <v>37</v>
      </c>
      <c r="O111" t="s">
        <v>25</v>
      </c>
      <c r="P111" t="s">
        <v>25</v>
      </c>
      <c r="Q111" t="s">
        <v>19</v>
      </c>
    </row>
    <row r="112" spans="1:17" x14ac:dyDescent="0.3">
      <c r="A112" t="s">
        <v>269</v>
      </c>
      <c r="B112" t="s">
        <v>27</v>
      </c>
      <c r="C112" s="5">
        <v>45619</v>
      </c>
      <c r="D112" t="s">
        <v>52</v>
      </c>
      <c r="E112" t="s">
        <v>53</v>
      </c>
      <c r="F112">
        <v>2719</v>
      </c>
      <c r="G112">
        <v>17</v>
      </c>
      <c r="H112">
        <v>285</v>
      </c>
      <c r="I112">
        <v>40785</v>
      </c>
      <c r="J112">
        <v>40281</v>
      </c>
      <c r="K112">
        <v>40</v>
      </c>
      <c r="L112" t="s">
        <v>30</v>
      </c>
      <c r="O112" t="s">
        <v>25</v>
      </c>
      <c r="P112" t="s">
        <v>25</v>
      </c>
      <c r="Q112" t="s">
        <v>19</v>
      </c>
    </row>
    <row r="113" spans="1:17" x14ac:dyDescent="0.3">
      <c r="A113" t="s">
        <v>271</v>
      </c>
      <c r="B113" t="s">
        <v>14</v>
      </c>
      <c r="C113" s="5">
        <v>45570</v>
      </c>
      <c r="D113" t="s">
        <v>35</v>
      </c>
      <c r="E113" t="s">
        <v>149</v>
      </c>
      <c r="F113">
        <v>1957</v>
      </c>
      <c r="G113">
        <v>877</v>
      </c>
      <c r="H113">
        <v>238</v>
      </c>
      <c r="I113">
        <v>17613</v>
      </c>
      <c r="J113">
        <v>16865</v>
      </c>
      <c r="K113">
        <v>297</v>
      </c>
      <c r="L113" t="s">
        <v>62</v>
      </c>
      <c r="O113" t="s">
        <v>31</v>
      </c>
      <c r="P113" t="s">
        <v>31</v>
      </c>
      <c r="Q113" t="s">
        <v>38</v>
      </c>
    </row>
    <row r="114" spans="1:17" x14ac:dyDescent="0.3">
      <c r="A114" t="s">
        <v>273</v>
      </c>
      <c r="B114" t="s">
        <v>14</v>
      </c>
      <c r="C114" s="5">
        <v>45567</v>
      </c>
      <c r="D114" t="s">
        <v>45</v>
      </c>
      <c r="E114" t="s">
        <v>49</v>
      </c>
      <c r="F114">
        <v>4419</v>
      </c>
      <c r="G114">
        <v>236</v>
      </c>
      <c r="H114">
        <v>369</v>
      </c>
      <c r="I114">
        <v>44190</v>
      </c>
      <c r="J114">
        <v>43582</v>
      </c>
      <c r="K114">
        <v>10</v>
      </c>
      <c r="L114" t="s">
        <v>37</v>
      </c>
      <c r="O114" t="s">
        <v>19</v>
      </c>
      <c r="P114" t="s">
        <v>19</v>
      </c>
      <c r="Q114" t="s">
        <v>19</v>
      </c>
    </row>
    <row r="115" spans="1:17" x14ac:dyDescent="0.3">
      <c r="A115" t="s">
        <v>275</v>
      </c>
      <c r="B115" t="s">
        <v>14</v>
      </c>
      <c r="C115" s="5">
        <v>45610</v>
      </c>
      <c r="D115" t="s">
        <v>35</v>
      </c>
      <c r="E115" t="s">
        <v>149</v>
      </c>
      <c r="F115">
        <v>4000</v>
      </c>
      <c r="G115">
        <v>689</v>
      </c>
      <c r="H115">
        <v>488</v>
      </c>
      <c r="I115">
        <v>40000</v>
      </c>
      <c r="J115">
        <v>39569</v>
      </c>
      <c r="K115">
        <v>44</v>
      </c>
      <c r="L115" t="s">
        <v>62</v>
      </c>
      <c r="O115" t="s">
        <v>19</v>
      </c>
      <c r="P115" t="s">
        <v>19</v>
      </c>
      <c r="Q115" t="s">
        <v>38</v>
      </c>
    </row>
    <row r="116" spans="1:17" x14ac:dyDescent="0.3">
      <c r="A116" t="s">
        <v>277</v>
      </c>
      <c r="B116" t="s">
        <v>14</v>
      </c>
      <c r="C116" s="5">
        <v>45788</v>
      </c>
      <c r="D116" t="s">
        <v>52</v>
      </c>
      <c r="E116" t="s">
        <v>132</v>
      </c>
      <c r="F116">
        <v>2493</v>
      </c>
      <c r="G116">
        <v>97</v>
      </c>
      <c r="H116">
        <v>44</v>
      </c>
      <c r="I116">
        <v>42381</v>
      </c>
      <c r="J116">
        <v>41991</v>
      </c>
      <c r="K116">
        <v>242</v>
      </c>
      <c r="L116" t="s">
        <v>30</v>
      </c>
      <c r="M116" t="s">
        <v>615</v>
      </c>
      <c r="O116" t="s">
        <v>38</v>
      </c>
      <c r="P116" t="s">
        <v>38</v>
      </c>
      <c r="Q116" t="s">
        <v>19</v>
      </c>
    </row>
    <row r="117" spans="1:17" x14ac:dyDescent="0.3">
      <c r="A117" t="s">
        <v>279</v>
      </c>
      <c r="B117" t="s">
        <v>27</v>
      </c>
      <c r="C117" s="5">
        <v>45734</v>
      </c>
      <c r="D117" t="s">
        <v>16</v>
      </c>
      <c r="E117" t="s">
        <v>29</v>
      </c>
      <c r="F117">
        <v>3704</v>
      </c>
      <c r="G117">
        <v>186</v>
      </c>
      <c r="H117">
        <v>458</v>
      </c>
      <c r="I117">
        <v>25928</v>
      </c>
      <c r="J117">
        <v>25081</v>
      </c>
      <c r="K117">
        <v>131</v>
      </c>
      <c r="L117" t="s">
        <v>30</v>
      </c>
      <c r="P117" t="s">
        <v>25</v>
      </c>
      <c r="Q117" t="s">
        <v>19</v>
      </c>
    </row>
    <row r="118" spans="1:17" x14ac:dyDescent="0.3">
      <c r="A118" t="s">
        <v>281</v>
      </c>
      <c r="B118" t="s">
        <v>14</v>
      </c>
      <c r="C118" s="5">
        <v>45600</v>
      </c>
      <c r="D118" t="s">
        <v>52</v>
      </c>
      <c r="E118" t="s">
        <v>132</v>
      </c>
      <c r="F118">
        <v>1606</v>
      </c>
      <c r="G118">
        <v>451</v>
      </c>
      <c r="H118">
        <v>405</v>
      </c>
      <c r="I118">
        <v>20878</v>
      </c>
      <c r="J118">
        <v>20190</v>
      </c>
      <c r="K118">
        <v>219</v>
      </c>
      <c r="L118" t="s">
        <v>37</v>
      </c>
      <c r="O118" t="s">
        <v>38</v>
      </c>
      <c r="P118" t="s">
        <v>38</v>
      </c>
      <c r="Q118" t="s">
        <v>19</v>
      </c>
    </row>
    <row r="119" spans="1:17" x14ac:dyDescent="0.3">
      <c r="A119" t="s">
        <v>283</v>
      </c>
      <c r="B119" t="s">
        <v>43</v>
      </c>
      <c r="C119" s="5">
        <v>45600</v>
      </c>
      <c r="D119" t="s">
        <v>52</v>
      </c>
      <c r="E119" t="s">
        <v>59</v>
      </c>
      <c r="F119">
        <v>4551</v>
      </c>
      <c r="G119">
        <v>714</v>
      </c>
      <c r="H119">
        <v>207</v>
      </c>
      <c r="I119">
        <v>68265</v>
      </c>
      <c r="J119">
        <v>67754</v>
      </c>
      <c r="K119">
        <v>57</v>
      </c>
      <c r="L119" t="s">
        <v>62</v>
      </c>
      <c r="O119" t="s">
        <v>31</v>
      </c>
      <c r="P119" t="s">
        <v>31</v>
      </c>
      <c r="Q119" t="s">
        <v>38</v>
      </c>
    </row>
    <row r="120" spans="1:17" x14ac:dyDescent="0.3">
      <c r="A120" t="s">
        <v>284</v>
      </c>
      <c r="B120" t="s">
        <v>33</v>
      </c>
      <c r="C120" s="5">
        <v>45695</v>
      </c>
      <c r="D120" t="s">
        <v>16</v>
      </c>
      <c r="E120" t="s">
        <v>82</v>
      </c>
      <c r="F120">
        <v>1970</v>
      </c>
      <c r="G120">
        <v>675</v>
      </c>
      <c r="H120">
        <v>478</v>
      </c>
      <c r="I120">
        <v>9850</v>
      </c>
      <c r="J120">
        <v>8924</v>
      </c>
      <c r="K120">
        <v>117</v>
      </c>
      <c r="L120" t="s">
        <v>62</v>
      </c>
      <c r="P120" t="s">
        <v>38</v>
      </c>
      <c r="Q120" t="s">
        <v>38</v>
      </c>
    </row>
    <row r="121" spans="1:17" x14ac:dyDescent="0.3">
      <c r="A121" t="s">
        <v>286</v>
      </c>
      <c r="B121" t="s">
        <v>43</v>
      </c>
      <c r="C121" s="5">
        <v>45586</v>
      </c>
      <c r="D121" t="s">
        <v>35</v>
      </c>
      <c r="E121" t="s">
        <v>71</v>
      </c>
      <c r="F121">
        <v>780</v>
      </c>
      <c r="G121">
        <v>928</v>
      </c>
      <c r="H121">
        <v>301</v>
      </c>
      <c r="I121">
        <v>8580</v>
      </c>
      <c r="J121">
        <v>8081</v>
      </c>
      <c r="K121">
        <v>91</v>
      </c>
      <c r="L121" t="s">
        <v>37</v>
      </c>
      <c r="O121" t="s">
        <v>31</v>
      </c>
      <c r="P121" t="s">
        <v>31</v>
      </c>
      <c r="Q121" t="s">
        <v>19</v>
      </c>
    </row>
    <row r="122" spans="1:17" x14ac:dyDescent="0.3">
      <c r="A122" t="s">
        <v>287</v>
      </c>
      <c r="B122" t="s">
        <v>33</v>
      </c>
      <c r="C122" s="5">
        <v>45502</v>
      </c>
      <c r="D122" t="s">
        <v>35</v>
      </c>
      <c r="E122" t="s">
        <v>36</v>
      </c>
      <c r="F122">
        <v>498</v>
      </c>
      <c r="G122">
        <v>701</v>
      </c>
      <c r="H122">
        <v>412</v>
      </c>
      <c r="I122">
        <v>4980</v>
      </c>
      <c r="J122">
        <v>4185</v>
      </c>
      <c r="K122">
        <v>185</v>
      </c>
      <c r="L122" t="s">
        <v>62</v>
      </c>
      <c r="P122" t="s">
        <v>38</v>
      </c>
      <c r="Q122" t="s">
        <v>38</v>
      </c>
    </row>
    <row r="123" spans="1:17" x14ac:dyDescent="0.3">
      <c r="A123" t="s">
        <v>288</v>
      </c>
      <c r="B123" t="s">
        <v>33</v>
      </c>
      <c r="C123" s="5">
        <v>45567</v>
      </c>
      <c r="D123" t="s">
        <v>22</v>
      </c>
      <c r="E123" t="s">
        <v>113</v>
      </c>
      <c r="F123">
        <v>3432</v>
      </c>
      <c r="G123">
        <v>869</v>
      </c>
      <c r="H123">
        <v>123</v>
      </c>
      <c r="I123">
        <v>54912</v>
      </c>
      <c r="J123">
        <v>53916</v>
      </c>
      <c r="K123">
        <v>264</v>
      </c>
      <c r="L123" t="s">
        <v>37</v>
      </c>
      <c r="O123" t="s">
        <v>25</v>
      </c>
      <c r="P123" t="s">
        <v>25</v>
      </c>
      <c r="Q123" t="s">
        <v>19</v>
      </c>
    </row>
    <row r="124" spans="1:17" x14ac:dyDescent="0.3">
      <c r="A124" t="s">
        <v>289</v>
      </c>
      <c r="B124" t="s">
        <v>33</v>
      </c>
      <c r="C124" s="5">
        <v>45457</v>
      </c>
      <c r="D124" t="s">
        <v>35</v>
      </c>
      <c r="E124" t="s">
        <v>36</v>
      </c>
      <c r="F124">
        <v>4363</v>
      </c>
      <c r="G124">
        <v>649</v>
      </c>
      <c r="H124">
        <v>140</v>
      </c>
      <c r="I124">
        <v>21815</v>
      </c>
      <c r="J124">
        <v>21481</v>
      </c>
      <c r="K124">
        <v>157</v>
      </c>
      <c r="L124" t="s">
        <v>37</v>
      </c>
      <c r="O124" t="s">
        <v>19</v>
      </c>
      <c r="P124" t="s">
        <v>19</v>
      </c>
      <c r="Q124" t="s">
        <v>19</v>
      </c>
    </row>
    <row r="125" spans="1:17" x14ac:dyDescent="0.3">
      <c r="A125" t="s">
        <v>290</v>
      </c>
      <c r="B125" t="s">
        <v>27</v>
      </c>
      <c r="C125" s="5">
        <v>45753</v>
      </c>
      <c r="D125" t="s">
        <v>45</v>
      </c>
      <c r="E125" t="s">
        <v>68</v>
      </c>
      <c r="F125">
        <v>736</v>
      </c>
      <c r="G125">
        <v>771</v>
      </c>
      <c r="H125">
        <v>225</v>
      </c>
      <c r="I125">
        <v>5152</v>
      </c>
      <c r="J125">
        <v>4706</v>
      </c>
      <c r="K125">
        <v>19</v>
      </c>
      <c r="L125" t="s">
        <v>37</v>
      </c>
      <c r="O125" t="s">
        <v>19</v>
      </c>
      <c r="P125" t="s">
        <v>19</v>
      </c>
      <c r="Q125" t="s">
        <v>19</v>
      </c>
    </row>
    <row r="126" spans="1:17" x14ac:dyDescent="0.3">
      <c r="A126" t="s">
        <v>292</v>
      </c>
      <c r="B126" t="s">
        <v>14</v>
      </c>
      <c r="C126" s="5">
        <v>45543</v>
      </c>
      <c r="D126" t="s">
        <v>45</v>
      </c>
      <c r="E126" t="s">
        <v>49</v>
      </c>
      <c r="F126">
        <v>3811</v>
      </c>
      <c r="G126">
        <v>866</v>
      </c>
      <c r="H126">
        <v>216</v>
      </c>
      <c r="I126">
        <v>34299</v>
      </c>
      <c r="J126">
        <v>34088</v>
      </c>
      <c r="K126">
        <v>233</v>
      </c>
      <c r="L126" t="s">
        <v>30</v>
      </c>
      <c r="O126" t="s">
        <v>38</v>
      </c>
      <c r="P126" t="s">
        <v>38</v>
      </c>
      <c r="Q126" t="s">
        <v>19</v>
      </c>
    </row>
    <row r="127" spans="1:17" x14ac:dyDescent="0.3">
      <c r="A127" t="s">
        <v>294</v>
      </c>
      <c r="B127" t="s">
        <v>33</v>
      </c>
      <c r="C127" s="5">
        <v>45744</v>
      </c>
      <c r="D127" t="s">
        <v>45</v>
      </c>
      <c r="E127" t="s">
        <v>88</v>
      </c>
      <c r="F127">
        <v>4158</v>
      </c>
      <c r="G127">
        <v>167</v>
      </c>
      <c r="H127">
        <v>241</v>
      </c>
      <c r="I127">
        <v>45738</v>
      </c>
      <c r="J127">
        <v>45183</v>
      </c>
      <c r="K127">
        <v>142</v>
      </c>
      <c r="L127" t="s">
        <v>62</v>
      </c>
      <c r="P127" t="s">
        <v>38</v>
      </c>
      <c r="Q127" t="s">
        <v>38</v>
      </c>
    </row>
    <row r="128" spans="1:17" x14ac:dyDescent="0.3">
      <c r="A128" t="s">
        <v>295</v>
      </c>
      <c r="B128" t="s">
        <v>43</v>
      </c>
      <c r="C128" s="5">
        <v>45684</v>
      </c>
      <c r="D128" t="s">
        <v>16</v>
      </c>
      <c r="E128" t="s">
        <v>65</v>
      </c>
      <c r="F128">
        <v>3452</v>
      </c>
      <c r="G128">
        <v>652</v>
      </c>
      <c r="H128">
        <v>442</v>
      </c>
      <c r="I128">
        <v>65588</v>
      </c>
      <c r="J128">
        <v>65049</v>
      </c>
      <c r="K128">
        <v>158</v>
      </c>
      <c r="L128" t="s">
        <v>62</v>
      </c>
      <c r="O128" t="s">
        <v>31</v>
      </c>
      <c r="P128" t="s">
        <v>31</v>
      </c>
      <c r="Q128" t="s">
        <v>38</v>
      </c>
    </row>
    <row r="129" spans="1:17" x14ac:dyDescent="0.3">
      <c r="A129" t="s">
        <v>296</v>
      </c>
      <c r="B129" t="s">
        <v>14</v>
      </c>
      <c r="C129" s="5">
        <v>45667</v>
      </c>
      <c r="D129" t="s">
        <v>52</v>
      </c>
      <c r="E129" t="s">
        <v>132</v>
      </c>
      <c r="F129">
        <v>3092</v>
      </c>
      <c r="G129">
        <v>106</v>
      </c>
      <c r="H129">
        <v>291</v>
      </c>
      <c r="I129">
        <v>27828</v>
      </c>
      <c r="J129">
        <v>27217</v>
      </c>
      <c r="K129">
        <v>102</v>
      </c>
      <c r="L129" t="s">
        <v>62</v>
      </c>
      <c r="P129" t="s">
        <v>38</v>
      </c>
      <c r="Q129" t="s">
        <v>38</v>
      </c>
    </row>
    <row r="130" spans="1:17" x14ac:dyDescent="0.3">
      <c r="A130" t="s">
        <v>297</v>
      </c>
      <c r="B130" t="s">
        <v>14</v>
      </c>
      <c r="C130" s="5">
        <v>45494</v>
      </c>
      <c r="D130" t="s">
        <v>22</v>
      </c>
      <c r="E130" t="s">
        <v>23</v>
      </c>
      <c r="F130">
        <v>2147</v>
      </c>
      <c r="G130">
        <v>430</v>
      </c>
      <c r="H130">
        <v>393</v>
      </c>
      <c r="I130">
        <v>17176</v>
      </c>
      <c r="J130">
        <v>16483</v>
      </c>
      <c r="K130">
        <v>170</v>
      </c>
      <c r="L130" t="s">
        <v>30</v>
      </c>
      <c r="P130" t="s">
        <v>25</v>
      </c>
      <c r="Q130" t="s">
        <v>19</v>
      </c>
    </row>
    <row r="131" spans="1:17" x14ac:dyDescent="0.3">
      <c r="A131" t="s">
        <v>298</v>
      </c>
      <c r="B131" t="s">
        <v>27</v>
      </c>
      <c r="C131" s="5">
        <v>45564</v>
      </c>
      <c r="D131" t="s">
        <v>16</v>
      </c>
      <c r="E131" t="s">
        <v>29</v>
      </c>
      <c r="F131">
        <v>2936</v>
      </c>
      <c r="G131">
        <v>439</v>
      </c>
      <c r="H131">
        <v>44</v>
      </c>
      <c r="I131">
        <v>38168</v>
      </c>
      <c r="J131">
        <v>37571</v>
      </c>
      <c r="K131">
        <v>22</v>
      </c>
      <c r="L131" t="s">
        <v>37</v>
      </c>
      <c r="O131" t="s">
        <v>38</v>
      </c>
      <c r="P131" t="s">
        <v>38</v>
      </c>
      <c r="Q131" t="s">
        <v>19</v>
      </c>
    </row>
    <row r="132" spans="1:17" x14ac:dyDescent="0.3">
      <c r="A132" t="s">
        <v>300</v>
      </c>
      <c r="B132" t="s">
        <v>33</v>
      </c>
      <c r="C132" s="5">
        <v>45586</v>
      </c>
      <c r="D132" t="s">
        <v>16</v>
      </c>
      <c r="E132" t="s">
        <v>82</v>
      </c>
      <c r="F132">
        <v>4840</v>
      </c>
      <c r="G132">
        <v>658</v>
      </c>
      <c r="H132">
        <v>211</v>
      </c>
      <c r="I132">
        <v>43560</v>
      </c>
      <c r="J132">
        <v>43225</v>
      </c>
      <c r="K132">
        <v>57</v>
      </c>
      <c r="L132" t="s">
        <v>62</v>
      </c>
      <c r="O132" t="s">
        <v>31</v>
      </c>
      <c r="P132" t="s">
        <v>31</v>
      </c>
      <c r="Q132" t="s">
        <v>38</v>
      </c>
    </row>
    <row r="133" spans="1:17" x14ac:dyDescent="0.3">
      <c r="A133" t="s">
        <v>301</v>
      </c>
      <c r="B133" t="s">
        <v>33</v>
      </c>
      <c r="C133" s="5">
        <v>45720</v>
      </c>
      <c r="D133" t="s">
        <v>35</v>
      </c>
      <c r="E133" t="s">
        <v>36</v>
      </c>
      <c r="F133">
        <v>1947</v>
      </c>
      <c r="G133">
        <v>842</v>
      </c>
      <c r="H133">
        <v>101</v>
      </c>
      <c r="I133">
        <v>21417</v>
      </c>
      <c r="J133">
        <v>20967</v>
      </c>
      <c r="K133">
        <v>186</v>
      </c>
      <c r="L133" t="s">
        <v>62</v>
      </c>
      <c r="O133" t="s">
        <v>25</v>
      </c>
      <c r="P133" t="s">
        <v>25</v>
      </c>
      <c r="Q133" t="s">
        <v>38</v>
      </c>
    </row>
    <row r="134" spans="1:17" x14ac:dyDescent="0.3">
      <c r="A134" t="s">
        <v>302</v>
      </c>
      <c r="B134" t="s">
        <v>43</v>
      </c>
      <c r="C134" s="5">
        <v>45694</v>
      </c>
      <c r="D134" t="s">
        <v>52</v>
      </c>
      <c r="E134" t="s">
        <v>59</v>
      </c>
      <c r="F134">
        <v>2072</v>
      </c>
      <c r="G134">
        <v>532</v>
      </c>
      <c r="H134">
        <v>71</v>
      </c>
      <c r="I134">
        <v>37296</v>
      </c>
      <c r="J134">
        <v>36467</v>
      </c>
      <c r="K134">
        <v>25</v>
      </c>
      <c r="L134" t="s">
        <v>30</v>
      </c>
      <c r="O134" t="s">
        <v>38</v>
      </c>
      <c r="P134" t="s">
        <v>38</v>
      </c>
      <c r="Q134" t="s">
        <v>19</v>
      </c>
    </row>
    <row r="135" spans="1:17" x14ac:dyDescent="0.3">
      <c r="A135" t="s">
        <v>304</v>
      </c>
      <c r="B135" t="s">
        <v>14</v>
      </c>
      <c r="C135" s="5">
        <v>45771</v>
      </c>
      <c r="D135" t="s">
        <v>16</v>
      </c>
      <c r="E135" t="s">
        <v>17</v>
      </c>
      <c r="F135">
        <v>3731</v>
      </c>
      <c r="G135">
        <v>115</v>
      </c>
      <c r="H135">
        <v>135</v>
      </c>
      <c r="I135">
        <v>55965</v>
      </c>
      <c r="J135">
        <v>55436</v>
      </c>
      <c r="K135">
        <v>103</v>
      </c>
      <c r="L135" t="s">
        <v>30</v>
      </c>
      <c r="O135" t="s">
        <v>19</v>
      </c>
      <c r="P135" t="s">
        <v>19</v>
      </c>
      <c r="Q135" t="s">
        <v>19</v>
      </c>
    </row>
    <row r="136" spans="1:17" x14ac:dyDescent="0.3">
      <c r="A136" t="s">
        <v>306</v>
      </c>
      <c r="B136" t="s">
        <v>43</v>
      </c>
      <c r="C136" s="5">
        <v>45624</v>
      </c>
      <c r="D136" t="s">
        <v>22</v>
      </c>
      <c r="E136" t="s">
        <v>56</v>
      </c>
      <c r="F136">
        <v>4213</v>
      </c>
      <c r="G136">
        <v>253</v>
      </c>
      <c r="H136">
        <v>434</v>
      </c>
      <c r="I136">
        <v>75834</v>
      </c>
      <c r="J136">
        <v>75437</v>
      </c>
      <c r="K136">
        <v>272</v>
      </c>
      <c r="L136" t="s">
        <v>62</v>
      </c>
      <c r="O136" t="s">
        <v>38</v>
      </c>
      <c r="P136" t="s">
        <v>38</v>
      </c>
      <c r="Q136" t="s">
        <v>38</v>
      </c>
    </row>
    <row r="137" spans="1:17" x14ac:dyDescent="0.3">
      <c r="A137" t="s">
        <v>308</v>
      </c>
      <c r="B137" t="s">
        <v>33</v>
      </c>
      <c r="C137" s="5">
        <v>45484</v>
      </c>
      <c r="D137" t="s">
        <v>22</v>
      </c>
      <c r="E137" t="s">
        <v>113</v>
      </c>
      <c r="F137">
        <v>3134</v>
      </c>
      <c r="G137">
        <v>888</v>
      </c>
      <c r="H137">
        <v>444</v>
      </c>
      <c r="I137">
        <v>21938</v>
      </c>
      <c r="J137">
        <v>21337</v>
      </c>
      <c r="K137">
        <v>130</v>
      </c>
      <c r="L137" t="s">
        <v>37</v>
      </c>
      <c r="O137" t="s">
        <v>38</v>
      </c>
      <c r="P137" t="s">
        <v>38</v>
      </c>
      <c r="Q137" t="s">
        <v>19</v>
      </c>
    </row>
    <row r="138" spans="1:17" x14ac:dyDescent="0.3">
      <c r="A138" t="s">
        <v>310</v>
      </c>
      <c r="B138" t="s">
        <v>43</v>
      </c>
      <c r="C138" s="5">
        <v>45504</v>
      </c>
      <c r="D138" t="s">
        <v>74</v>
      </c>
      <c r="E138" t="s">
        <v>75</v>
      </c>
      <c r="F138">
        <v>3008</v>
      </c>
      <c r="G138">
        <v>94</v>
      </c>
      <c r="H138">
        <v>37</v>
      </c>
      <c r="I138">
        <v>15040</v>
      </c>
      <c r="J138">
        <v>14639</v>
      </c>
      <c r="K138">
        <v>277</v>
      </c>
      <c r="L138" t="s">
        <v>62</v>
      </c>
      <c r="P138" t="s">
        <v>38</v>
      </c>
      <c r="Q138" t="s">
        <v>38</v>
      </c>
    </row>
    <row r="139" spans="1:17" x14ac:dyDescent="0.3">
      <c r="A139" t="s">
        <v>311</v>
      </c>
      <c r="B139" t="s">
        <v>14</v>
      </c>
      <c r="C139" s="5">
        <v>45745</v>
      </c>
      <c r="D139" t="s">
        <v>52</v>
      </c>
      <c r="E139" t="s">
        <v>132</v>
      </c>
      <c r="F139">
        <v>305</v>
      </c>
      <c r="G139">
        <v>187</v>
      </c>
      <c r="H139">
        <v>243</v>
      </c>
      <c r="I139">
        <v>4575</v>
      </c>
      <c r="J139">
        <v>3704</v>
      </c>
      <c r="K139">
        <v>234</v>
      </c>
      <c r="L139" t="s">
        <v>62</v>
      </c>
      <c r="O139" t="s">
        <v>31</v>
      </c>
      <c r="P139" t="s">
        <v>31</v>
      </c>
      <c r="Q139" t="s">
        <v>38</v>
      </c>
    </row>
    <row r="140" spans="1:17" x14ac:dyDescent="0.3">
      <c r="A140" t="s">
        <v>312</v>
      </c>
      <c r="B140" t="s">
        <v>27</v>
      </c>
      <c r="C140" s="5">
        <v>45594</v>
      </c>
      <c r="D140" t="s">
        <v>22</v>
      </c>
      <c r="E140" t="s">
        <v>104</v>
      </c>
      <c r="F140">
        <v>2746</v>
      </c>
      <c r="G140">
        <v>156</v>
      </c>
      <c r="H140">
        <v>203</v>
      </c>
      <c r="I140">
        <v>32952</v>
      </c>
      <c r="J140">
        <v>32147</v>
      </c>
      <c r="K140">
        <v>147</v>
      </c>
      <c r="L140" t="s">
        <v>37</v>
      </c>
      <c r="O140" t="s">
        <v>19</v>
      </c>
      <c r="P140" t="s">
        <v>19</v>
      </c>
      <c r="Q140" t="s">
        <v>19</v>
      </c>
    </row>
    <row r="141" spans="1:17" x14ac:dyDescent="0.3">
      <c r="A141" t="s">
        <v>314</v>
      </c>
      <c r="B141" t="s">
        <v>43</v>
      </c>
      <c r="C141" s="5">
        <v>45488</v>
      </c>
      <c r="D141" t="s">
        <v>52</v>
      </c>
      <c r="E141" t="s">
        <v>59</v>
      </c>
      <c r="F141">
        <v>2291</v>
      </c>
      <c r="G141">
        <v>78</v>
      </c>
      <c r="H141">
        <v>485</v>
      </c>
      <c r="I141">
        <v>18328</v>
      </c>
      <c r="J141">
        <v>18101</v>
      </c>
      <c r="K141">
        <v>10</v>
      </c>
      <c r="L141" t="s">
        <v>37</v>
      </c>
      <c r="M141" t="s">
        <v>607</v>
      </c>
      <c r="O141" t="s">
        <v>25</v>
      </c>
      <c r="P141" t="s">
        <v>25</v>
      </c>
      <c r="Q141" t="s">
        <v>19</v>
      </c>
    </row>
    <row r="142" spans="1:17" x14ac:dyDescent="0.3">
      <c r="A142" t="s">
        <v>317</v>
      </c>
      <c r="B142" t="s">
        <v>14</v>
      </c>
      <c r="C142" s="5">
        <v>45535</v>
      </c>
      <c r="D142" t="s">
        <v>52</v>
      </c>
      <c r="E142" t="s">
        <v>132</v>
      </c>
      <c r="F142">
        <v>3170</v>
      </c>
      <c r="G142">
        <v>857</v>
      </c>
      <c r="H142">
        <v>379</v>
      </c>
      <c r="I142">
        <v>19020</v>
      </c>
      <c r="J142">
        <v>18559</v>
      </c>
      <c r="K142">
        <v>240</v>
      </c>
      <c r="L142" t="s">
        <v>62</v>
      </c>
      <c r="P142" t="s">
        <v>38</v>
      </c>
      <c r="Q142" t="s">
        <v>38</v>
      </c>
    </row>
    <row r="143" spans="1:17" x14ac:dyDescent="0.3">
      <c r="A143" t="s">
        <v>319</v>
      </c>
      <c r="B143" t="s">
        <v>27</v>
      </c>
      <c r="C143" s="5">
        <v>45741</v>
      </c>
      <c r="D143" t="s">
        <v>35</v>
      </c>
      <c r="E143" t="s">
        <v>154</v>
      </c>
      <c r="F143">
        <v>2070</v>
      </c>
      <c r="G143">
        <v>275</v>
      </c>
      <c r="H143">
        <v>386</v>
      </c>
      <c r="I143">
        <v>39330</v>
      </c>
      <c r="J143">
        <v>38627</v>
      </c>
      <c r="K143">
        <v>114</v>
      </c>
      <c r="L143" t="s">
        <v>62</v>
      </c>
      <c r="O143" t="s">
        <v>38</v>
      </c>
      <c r="P143" t="s">
        <v>38</v>
      </c>
      <c r="Q143" t="s">
        <v>38</v>
      </c>
    </row>
    <row r="144" spans="1:17" x14ac:dyDescent="0.3">
      <c r="A144" t="s">
        <v>320</v>
      </c>
      <c r="B144" t="s">
        <v>27</v>
      </c>
      <c r="C144" s="5">
        <v>45567</v>
      </c>
      <c r="D144" t="s">
        <v>45</v>
      </c>
      <c r="E144" t="s">
        <v>68</v>
      </c>
      <c r="F144">
        <v>80</v>
      </c>
      <c r="G144">
        <v>362</v>
      </c>
      <c r="H144">
        <v>80</v>
      </c>
      <c r="I144">
        <v>1040</v>
      </c>
      <c r="J144">
        <v>349</v>
      </c>
      <c r="K144">
        <v>117</v>
      </c>
      <c r="L144" t="s">
        <v>30</v>
      </c>
      <c r="O144" t="s">
        <v>31</v>
      </c>
      <c r="P144" t="s">
        <v>31</v>
      </c>
      <c r="Q144" t="s">
        <v>19</v>
      </c>
    </row>
    <row r="145" spans="1:17" x14ac:dyDescent="0.3">
      <c r="A145" t="s">
        <v>321</v>
      </c>
      <c r="B145" t="s">
        <v>27</v>
      </c>
      <c r="C145" s="5">
        <v>45593</v>
      </c>
      <c r="D145" t="s">
        <v>35</v>
      </c>
      <c r="E145" t="s">
        <v>154</v>
      </c>
      <c r="F145">
        <v>4929</v>
      </c>
      <c r="G145">
        <v>749</v>
      </c>
      <c r="H145">
        <v>452</v>
      </c>
      <c r="I145">
        <v>93651</v>
      </c>
      <c r="J145">
        <v>92810</v>
      </c>
      <c r="K145">
        <v>66</v>
      </c>
      <c r="L145" t="s">
        <v>37</v>
      </c>
      <c r="O145" t="s">
        <v>38</v>
      </c>
      <c r="P145" t="s">
        <v>38</v>
      </c>
      <c r="Q145" t="s">
        <v>19</v>
      </c>
    </row>
    <row r="146" spans="1:17" x14ac:dyDescent="0.3">
      <c r="A146" t="s">
        <v>322</v>
      </c>
      <c r="B146" t="s">
        <v>33</v>
      </c>
      <c r="C146" s="5">
        <v>45516</v>
      </c>
      <c r="D146" t="s">
        <v>45</v>
      </c>
      <c r="E146" t="s">
        <v>88</v>
      </c>
      <c r="F146">
        <v>1878</v>
      </c>
      <c r="G146">
        <v>62</v>
      </c>
      <c r="H146">
        <v>179</v>
      </c>
      <c r="I146">
        <v>37560</v>
      </c>
      <c r="J146">
        <v>36874</v>
      </c>
      <c r="K146">
        <v>142</v>
      </c>
      <c r="L146" t="s">
        <v>30</v>
      </c>
      <c r="O146" t="s">
        <v>38</v>
      </c>
      <c r="P146" t="s">
        <v>38</v>
      </c>
      <c r="Q146" t="s">
        <v>19</v>
      </c>
    </row>
    <row r="147" spans="1:17" x14ac:dyDescent="0.3">
      <c r="A147" t="s">
        <v>323</v>
      </c>
      <c r="B147" t="s">
        <v>27</v>
      </c>
      <c r="C147" s="5">
        <v>45448</v>
      </c>
      <c r="D147" t="s">
        <v>16</v>
      </c>
      <c r="E147" t="s">
        <v>29</v>
      </c>
      <c r="F147">
        <v>3065</v>
      </c>
      <c r="G147">
        <v>772</v>
      </c>
      <c r="H147">
        <v>142</v>
      </c>
      <c r="I147">
        <v>18390</v>
      </c>
      <c r="J147">
        <v>17875</v>
      </c>
      <c r="K147">
        <v>200</v>
      </c>
      <c r="L147" t="s">
        <v>37</v>
      </c>
      <c r="M147" t="s">
        <v>615</v>
      </c>
      <c r="P147" t="s">
        <v>19</v>
      </c>
      <c r="Q147" t="s">
        <v>19</v>
      </c>
    </row>
    <row r="148" spans="1:17" x14ac:dyDescent="0.3">
      <c r="A148" t="s">
        <v>326</v>
      </c>
      <c r="B148" t="s">
        <v>33</v>
      </c>
      <c r="C148" s="5">
        <v>45586</v>
      </c>
      <c r="D148" t="s">
        <v>16</v>
      </c>
      <c r="E148" t="s">
        <v>82</v>
      </c>
      <c r="F148">
        <v>3256</v>
      </c>
      <c r="G148">
        <v>459</v>
      </c>
      <c r="H148">
        <v>266</v>
      </c>
      <c r="I148">
        <v>26048</v>
      </c>
      <c r="J148">
        <v>25529</v>
      </c>
      <c r="K148">
        <v>143</v>
      </c>
      <c r="L148" t="s">
        <v>30</v>
      </c>
      <c r="O148" t="s">
        <v>25</v>
      </c>
      <c r="P148" t="s">
        <v>25</v>
      </c>
      <c r="Q148" t="s">
        <v>19</v>
      </c>
    </row>
    <row r="149" spans="1:17" x14ac:dyDescent="0.3">
      <c r="A149" t="s">
        <v>327</v>
      </c>
      <c r="B149" t="s">
        <v>33</v>
      </c>
      <c r="C149" s="5">
        <v>45762</v>
      </c>
      <c r="D149" t="s">
        <v>74</v>
      </c>
      <c r="E149" t="s">
        <v>85</v>
      </c>
      <c r="F149">
        <v>4133</v>
      </c>
      <c r="G149">
        <v>466</v>
      </c>
      <c r="H149">
        <v>327</v>
      </c>
      <c r="I149">
        <v>24798</v>
      </c>
      <c r="J149">
        <v>24620</v>
      </c>
      <c r="K149">
        <v>176</v>
      </c>
      <c r="L149" t="s">
        <v>37</v>
      </c>
      <c r="O149" t="s">
        <v>38</v>
      </c>
      <c r="P149" t="s">
        <v>38</v>
      </c>
      <c r="Q149" t="s">
        <v>19</v>
      </c>
    </row>
    <row r="150" spans="1:17" x14ac:dyDescent="0.3">
      <c r="A150" t="s">
        <v>328</v>
      </c>
      <c r="B150" t="s">
        <v>14</v>
      </c>
      <c r="C150" s="5">
        <v>45459</v>
      </c>
      <c r="D150" t="s">
        <v>74</v>
      </c>
      <c r="E150" t="s">
        <v>145</v>
      </c>
      <c r="F150">
        <v>1702</v>
      </c>
      <c r="G150">
        <v>750</v>
      </c>
      <c r="H150">
        <v>179</v>
      </c>
      <c r="I150">
        <v>34040</v>
      </c>
      <c r="J150">
        <v>33174</v>
      </c>
      <c r="K150">
        <v>76</v>
      </c>
      <c r="L150" t="s">
        <v>37</v>
      </c>
      <c r="O150" t="s">
        <v>19</v>
      </c>
      <c r="P150" t="s">
        <v>19</v>
      </c>
      <c r="Q150" t="s">
        <v>19</v>
      </c>
    </row>
    <row r="151" spans="1:17" x14ac:dyDescent="0.3">
      <c r="A151" t="s">
        <v>330</v>
      </c>
      <c r="B151" t="s">
        <v>27</v>
      </c>
      <c r="C151" s="5">
        <v>45526</v>
      </c>
      <c r="D151" t="s">
        <v>45</v>
      </c>
      <c r="E151" t="s">
        <v>68</v>
      </c>
      <c r="F151">
        <v>4295</v>
      </c>
      <c r="G151">
        <v>853</v>
      </c>
      <c r="H151">
        <v>325</v>
      </c>
      <c r="I151">
        <v>85900</v>
      </c>
      <c r="J151">
        <v>85788</v>
      </c>
      <c r="K151">
        <v>290</v>
      </c>
      <c r="L151" t="s">
        <v>30</v>
      </c>
      <c r="O151" t="s">
        <v>38</v>
      </c>
      <c r="P151" t="s">
        <v>38</v>
      </c>
      <c r="Q151" t="s">
        <v>19</v>
      </c>
    </row>
    <row r="152" spans="1:17" x14ac:dyDescent="0.3">
      <c r="A152" t="s">
        <v>332</v>
      </c>
      <c r="B152" t="s">
        <v>33</v>
      </c>
      <c r="C152" s="5">
        <v>45499</v>
      </c>
      <c r="D152" t="s">
        <v>52</v>
      </c>
      <c r="E152" t="s">
        <v>215</v>
      </c>
      <c r="F152">
        <v>3559</v>
      </c>
      <c r="G152">
        <v>59</v>
      </c>
      <c r="H152">
        <v>289</v>
      </c>
      <c r="I152">
        <v>35590</v>
      </c>
      <c r="J152">
        <v>35105</v>
      </c>
      <c r="K152">
        <v>122</v>
      </c>
      <c r="L152" t="s">
        <v>37</v>
      </c>
      <c r="O152" t="s">
        <v>19</v>
      </c>
      <c r="P152" t="s">
        <v>19</v>
      </c>
      <c r="Q152" t="s">
        <v>19</v>
      </c>
    </row>
    <row r="153" spans="1:17" x14ac:dyDescent="0.3">
      <c r="A153" t="s">
        <v>333</v>
      </c>
      <c r="B153" t="s">
        <v>43</v>
      </c>
      <c r="C153" s="5">
        <v>45769</v>
      </c>
      <c r="D153" t="s">
        <v>52</v>
      </c>
      <c r="E153" t="s">
        <v>59</v>
      </c>
      <c r="F153">
        <v>4804</v>
      </c>
      <c r="G153">
        <v>550</v>
      </c>
      <c r="H153">
        <v>270</v>
      </c>
      <c r="I153">
        <v>28824</v>
      </c>
      <c r="J153">
        <v>28370</v>
      </c>
      <c r="K153">
        <v>47</v>
      </c>
      <c r="L153" t="s">
        <v>37</v>
      </c>
      <c r="O153" t="s">
        <v>38</v>
      </c>
      <c r="P153" t="s">
        <v>38</v>
      </c>
      <c r="Q153" t="s">
        <v>19</v>
      </c>
    </row>
    <row r="154" spans="1:17" x14ac:dyDescent="0.3">
      <c r="A154" t="s">
        <v>335</v>
      </c>
      <c r="B154" t="s">
        <v>14</v>
      </c>
      <c r="C154" s="5">
        <v>45658</v>
      </c>
      <c r="D154" t="s">
        <v>74</v>
      </c>
      <c r="E154" t="s">
        <v>145</v>
      </c>
      <c r="F154">
        <v>754</v>
      </c>
      <c r="G154">
        <v>197</v>
      </c>
      <c r="H154">
        <v>257</v>
      </c>
      <c r="I154">
        <v>6786</v>
      </c>
      <c r="J154">
        <v>6221</v>
      </c>
      <c r="K154">
        <v>212</v>
      </c>
      <c r="L154" t="s">
        <v>30</v>
      </c>
      <c r="O154" t="s">
        <v>31</v>
      </c>
      <c r="P154" t="s">
        <v>31</v>
      </c>
      <c r="Q154" t="s">
        <v>19</v>
      </c>
    </row>
    <row r="155" spans="1:17" x14ac:dyDescent="0.3">
      <c r="A155" t="s">
        <v>337</v>
      </c>
      <c r="B155" t="s">
        <v>33</v>
      </c>
      <c r="C155" s="5">
        <v>45574</v>
      </c>
      <c r="D155" t="s">
        <v>45</v>
      </c>
      <c r="E155" t="s">
        <v>88</v>
      </c>
      <c r="F155">
        <v>985</v>
      </c>
      <c r="G155">
        <v>932</v>
      </c>
      <c r="H155">
        <v>287</v>
      </c>
      <c r="I155">
        <v>6895</v>
      </c>
      <c r="J155">
        <v>6757</v>
      </c>
      <c r="K155">
        <v>64</v>
      </c>
      <c r="L155" t="s">
        <v>62</v>
      </c>
      <c r="O155" t="s">
        <v>38</v>
      </c>
      <c r="P155" t="s">
        <v>38</v>
      </c>
      <c r="Q155" t="s">
        <v>38</v>
      </c>
    </row>
    <row r="156" spans="1:17" x14ac:dyDescent="0.3">
      <c r="A156" t="s">
        <v>338</v>
      </c>
      <c r="B156" t="s">
        <v>27</v>
      </c>
      <c r="C156" s="5">
        <v>45647</v>
      </c>
      <c r="D156" t="s">
        <v>52</v>
      </c>
      <c r="E156" t="s">
        <v>53</v>
      </c>
      <c r="F156">
        <v>2283</v>
      </c>
      <c r="G156">
        <v>210</v>
      </c>
      <c r="H156">
        <v>130</v>
      </c>
      <c r="I156">
        <v>22830</v>
      </c>
      <c r="J156">
        <v>22617</v>
      </c>
      <c r="K156">
        <v>143</v>
      </c>
      <c r="L156" t="s">
        <v>62</v>
      </c>
      <c r="O156" t="s">
        <v>25</v>
      </c>
      <c r="P156" t="s">
        <v>25</v>
      </c>
      <c r="Q156" t="s">
        <v>38</v>
      </c>
    </row>
    <row r="157" spans="1:17" x14ac:dyDescent="0.3">
      <c r="A157" t="s">
        <v>340</v>
      </c>
      <c r="B157" t="s">
        <v>43</v>
      </c>
      <c r="C157" s="5">
        <v>45587</v>
      </c>
      <c r="D157" t="s">
        <v>45</v>
      </c>
      <c r="E157" t="s">
        <v>46</v>
      </c>
      <c r="F157">
        <v>3352</v>
      </c>
      <c r="G157">
        <v>941</v>
      </c>
      <c r="H157">
        <v>482</v>
      </c>
      <c r="I157">
        <v>43576</v>
      </c>
      <c r="J157">
        <v>43338</v>
      </c>
      <c r="K157">
        <v>240</v>
      </c>
      <c r="L157" t="s">
        <v>62</v>
      </c>
      <c r="O157" t="s">
        <v>25</v>
      </c>
      <c r="P157" t="s">
        <v>25</v>
      </c>
      <c r="Q157" t="s">
        <v>38</v>
      </c>
    </row>
    <row r="158" spans="1:17" x14ac:dyDescent="0.3">
      <c r="A158" t="s">
        <v>342</v>
      </c>
      <c r="B158" t="s">
        <v>27</v>
      </c>
      <c r="C158" s="5">
        <v>45496</v>
      </c>
      <c r="D158" t="s">
        <v>35</v>
      </c>
      <c r="E158" t="s">
        <v>154</v>
      </c>
      <c r="F158">
        <v>4775</v>
      </c>
      <c r="G158">
        <v>173</v>
      </c>
      <c r="H158">
        <v>206</v>
      </c>
      <c r="I158">
        <v>47750</v>
      </c>
      <c r="J158">
        <v>47544</v>
      </c>
      <c r="K158">
        <v>187</v>
      </c>
      <c r="L158" t="s">
        <v>62</v>
      </c>
      <c r="O158" t="s">
        <v>25</v>
      </c>
      <c r="P158" t="s">
        <v>25</v>
      </c>
      <c r="Q158" t="s">
        <v>38</v>
      </c>
    </row>
    <row r="159" spans="1:17" x14ac:dyDescent="0.3">
      <c r="A159" t="s">
        <v>344</v>
      </c>
      <c r="B159" t="s">
        <v>33</v>
      </c>
      <c r="C159" s="5">
        <v>45515</v>
      </c>
      <c r="D159" t="s">
        <v>35</v>
      </c>
      <c r="E159" t="s">
        <v>36</v>
      </c>
      <c r="F159">
        <v>1762</v>
      </c>
      <c r="G159">
        <v>405</v>
      </c>
      <c r="H159">
        <v>423</v>
      </c>
      <c r="I159">
        <v>22906</v>
      </c>
      <c r="J159">
        <v>21925</v>
      </c>
      <c r="K159">
        <v>25</v>
      </c>
      <c r="L159" t="s">
        <v>30</v>
      </c>
      <c r="O159" t="s">
        <v>19</v>
      </c>
      <c r="P159" t="s">
        <v>19</v>
      </c>
      <c r="Q159" t="s">
        <v>19</v>
      </c>
    </row>
    <row r="160" spans="1:17" x14ac:dyDescent="0.3">
      <c r="A160" t="s">
        <v>346</v>
      </c>
      <c r="B160" t="s">
        <v>43</v>
      </c>
      <c r="C160" s="5">
        <v>45621</v>
      </c>
      <c r="D160" t="s">
        <v>35</v>
      </c>
      <c r="E160" t="s">
        <v>71</v>
      </c>
      <c r="F160">
        <v>2120</v>
      </c>
      <c r="G160">
        <v>158</v>
      </c>
      <c r="H160">
        <v>488</v>
      </c>
      <c r="I160">
        <v>12720</v>
      </c>
      <c r="J160">
        <v>12085</v>
      </c>
      <c r="K160">
        <v>17</v>
      </c>
      <c r="L160" t="s">
        <v>62</v>
      </c>
      <c r="O160" t="s">
        <v>25</v>
      </c>
      <c r="P160" t="s">
        <v>25</v>
      </c>
      <c r="Q160" t="s">
        <v>38</v>
      </c>
    </row>
    <row r="161" spans="1:17" x14ac:dyDescent="0.3">
      <c r="A161" t="s">
        <v>347</v>
      </c>
      <c r="B161" t="s">
        <v>14</v>
      </c>
      <c r="C161" s="5">
        <v>45528</v>
      </c>
      <c r="D161" t="s">
        <v>74</v>
      </c>
      <c r="E161" t="s">
        <v>145</v>
      </c>
      <c r="F161">
        <v>1082</v>
      </c>
      <c r="G161">
        <v>209</v>
      </c>
      <c r="H161">
        <v>484</v>
      </c>
      <c r="I161">
        <v>19476</v>
      </c>
      <c r="J161">
        <v>18654</v>
      </c>
      <c r="K161">
        <v>20</v>
      </c>
      <c r="L161" t="s">
        <v>30</v>
      </c>
      <c r="P161" t="s">
        <v>25</v>
      </c>
      <c r="Q161" t="s">
        <v>19</v>
      </c>
    </row>
    <row r="162" spans="1:17" x14ac:dyDescent="0.3">
      <c r="A162" t="s">
        <v>349</v>
      </c>
      <c r="B162" t="s">
        <v>14</v>
      </c>
      <c r="C162" s="5">
        <v>45707</v>
      </c>
      <c r="D162" t="s">
        <v>22</v>
      </c>
      <c r="E162" t="s">
        <v>23</v>
      </c>
      <c r="F162">
        <v>4671</v>
      </c>
      <c r="G162">
        <v>876</v>
      </c>
      <c r="H162">
        <v>366</v>
      </c>
      <c r="I162">
        <v>51381</v>
      </c>
      <c r="J162">
        <v>50565</v>
      </c>
      <c r="K162">
        <v>245</v>
      </c>
      <c r="L162" t="s">
        <v>30</v>
      </c>
      <c r="O162" t="s">
        <v>38</v>
      </c>
      <c r="P162" t="s">
        <v>38</v>
      </c>
      <c r="Q162" t="s">
        <v>19</v>
      </c>
    </row>
    <row r="163" spans="1:17" x14ac:dyDescent="0.3">
      <c r="A163" t="s">
        <v>351</v>
      </c>
      <c r="B163" t="s">
        <v>43</v>
      </c>
      <c r="C163" s="5">
        <v>45748</v>
      </c>
      <c r="D163" t="s">
        <v>35</v>
      </c>
      <c r="E163" t="s">
        <v>71</v>
      </c>
      <c r="F163">
        <v>3430</v>
      </c>
      <c r="G163">
        <v>566</v>
      </c>
      <c r="H163">
        <v>164</v>
      </c>
      <c r="I163">
        <v>48020</v>
      </c>
      <c r="J163">
        <v>47305</v>
      </c>
      <c r="K163">
        <v>120</v>
      </c>
      <c r="L163" t="s">
        <v>62</v>
      </c>
      <c r="P163" t="s">
        <v>38</v>
      </c>
      <c r="Q163" t="s">
        <v>38</v>
      </c>
    </row>
    <row r="164" spans="1:17" x14ac:dyDescent="0.3">
      <c r="A164" t="s">
        <v>353</v>
      </c>
      <c r="B164" t="s">
        <v>33</v>
      </c>
      <c r="C164" s="5">
        <v>45755</v>
      </c>
      <c r="D164" t="s">
        <v>52</v>
      </c>
      <c r="E164" t="s">
        <v>215</v>
      </c>
      <c r="F164">
        <v>4501</v>
      </c>
      <c r="G164">
        <v>375</v>
      </c>
      <c r="H164">
        <v>323</v>
      </c>
      <c r="I164">
        <v>22505</v>
      </c>
      <c r="J164">
        <v>21836</v>
      </c>
      <c r="K164">
        <v>132</v>
      </c>
      <c r="L164" t="s">
        <v>30</v>
      </c>
      <c r="O164" t="s">
        <v>25</v>
      </c>
      <c r="P164" t="s">
        <v>25</v>
      </c>
      <c r="Q164" t="s">
        <v>19</v>
      </c>
    </row>
    <row r="165" spans="1:17" x14ac:dyDescent="0.3">
      <c r="A165" t="s">
        <v>355</v>
      </c>
      <c r="B165" t="s">
        <v>27</v>
      </c>
      <c r="C165" s="5">
        <v>45715</v>
      </c>
      <c r="D165" t="s">
        <v>22</v>
      </c>
      <c r="E165" t="s">
        <v>104</v>
      </c>
      <c r="F165">
        <v>4934</v>
      </c>
      <c r="G165">
        <v>971</v>
      </c>
      <c r="H165">
        <v>156</v>
      </c>
      <c r="I165">
        <v>39472</v>
      </c>
      <c r="J165">
        <v>39025</v>
      </c>
      <c r="K165">
        <v>169</v>
      </c>
      <c r="L165" t="s">
        <v>30</v>
      </c>
      <c r="M165" t="s">
        <v>615</v>
      </c>
      <c r="O165" t="s">
        <v>38</v>
      </c>
      <c r="P165" t="s">
        <v>38</v>
      </c>
      <c r="Q165" t="s">
        <v>19</v>
      </c>
    </row>
    <row r="166" spans="1:17" x14ac:dyDescent="0.3">
      <c r="A166" t="s">
        <v>356</v>
      </c>
      <c r="B166" t="s">
        <v>14</v>
      </c>
      <c r="C166" s="5">
        <v>45637</v>
      </c>
      <c r="D166" t="s">
        <v>22</v>
      </c>
      <c r="E166" t="s">
        <v>23</v>
      </c>
      <c r="F166">
        <v>3239</v>
      </c>
      <c r="G166">
        <v>43</v>
      </c>
      <c r="H166">
        <v>211</v>
      </c>
      <c r="I166">
        <v>22673</v>
      </c>
      <c r="J166">
        <v>22171</v>
      </c>
      <c r="K166">
        <v>230</v>
      </c>
      <c r="L166" t="s">
        <v>30</v>
      </c>
      <c r="O166" t="s">
        <v>25</v>
      </c>
      <c r="P166" t="s">
        <v>25</v>
      </c>
      <c r="Q166" t="s">
        <v>19</v>
      </c>
    </row>
    <row r="167" spans="1:17" x14ac:dyDescent="0.3">
      <c r="A167" t="s">
        <v>357</v>
      </c>
      <c r="B167" t="s">
        <v>14</v>
      </c>
      <c r="C167" s="5">
        <v>45704</v>
      </c>
      <c r="D167" t="s">
        <v>16</v>
      </c>
      <c r="E167" t="s">
        <v>17</v>
      </c>
      <c r="F167">
        <v>1076</v>
      </c>
      <c r="G167">
        <v>313</v>
      </c>
      <c r="H167">
        <v>306</v>
      </c>
      <c r="I167">
        <v>11836</v>
      </c>
      <c r="J167">
        <v>11596</v>
      </c>
      <c r="K167">
        <v>104</v>
      </c>
      <c r="L167" t="s">
        <v>62</v>
      </c>
      <c r="O167" t="s">
        <v>19</v>
      </c>
      <c r="P167" t="s">
        <v>19</v>
      </c>
      <c r="Q167" t="s">
        <v>38</v>
      </c>
    </row>
    <row r="168" spans="1:17" x14ac:dyDescent="0.3">
      <c r="A168" t="s">
        <v>358</v>
      </c>
      <c r="B168" t="s">
        <v>33</v>
      </c>
      <c r="C168" s="5">
        <v>45624</v>
      </c>
      <c r="D168" t="s">
        <v>22</v>
      </c>
      <c r="E168" t="s">
        <v>113</v>
      </c>
      <c r="F168">
        <v>4771</v>
      </c>
      <c r="G168">
        <v>818</v>
      </c>
      <c r="H168">
        <v>56</v>
      </c>
      <c r="I168">
        <v>57252</v>
      </c>
      <c r="J168">
        <v>56378</v>
      </c>
      <c r="K168">
        <v>150</v>
      </c>
      <c r="L168" t="s">
        <v>62</v>
      </c>
      <c r="P168" t="s">
        <v>38</v>
      </c>
      <c r="Q168" t="s">
        <v>38</v>
      </c>
    </row>
    <row r="169" spans="1:17" x14ac:dyDescent="0.3">
      <c r="A169" t="s">
        <v>359</v>
      </c>
      <c r="B169" t="s">
        <v>43</v>
      </c>
      <c r="C169" s="5">
        <v>45608</v>
      </c>
      <c r="D169" t="s">
        <v>22</v>
      </c>
      <c r="E169" t="s">
        <v>56</v>
      </c>
      <c r="F169">
        <v>2418</v>
      </c>
      <c r="G169">
        <v>754</v>
      </c>
      <c r="H169">
        <v>54</v>
      </c>
      <c r="I169">
        <v>43524</v>
      </c>
      <c r="J169">
        <v>42743</v>
      </c>
      <c r="K169">
        <v>182</v>
      </c>
      <c r="L169" t="s">
        <v>37</v>
      </c>
      <c r="O169" t="s">
        <v>19</v>
      </c>
      <c r="P169" t="s">
        <v>19</v>
      </c>
      <c r="Q169" t="s">
        <v>19</v>
      </c>
    </row>
    <row r="170" spans="1:17" x14ac:dyDescent="0.3">
      <c r="A170" t="s">
        <v>361</v>
      </c>
      <c r="B170" t="s">
        <v>27</v>
      </c>
      <c r="C170" s="5">
        <v>45629</v>
      </c>
      <c r="D170" t="s">
        <v>74</v>
      </c>
      <c r="E170" t="s">
        <v>219</v>
      </c>
      <c r="F170">
        <v>3809</v>
      </c>
      <c r="G170">
        <v>273</v>
      </c>
      <c r="H170">
        <v>200</v>
      </c>
      <c r="I170">
        <v>34281</v>
      </c>
      <c r="J170">
        <v>33534</v>
      </c>
      <c r="K170">
        <v>83</v>
      </c>
      <c r="L170" t="s">
        <v>37</v>
      </c>
      <c r="O170" t="s">
        <v>19</v>
      </c>
      <c r="P170" t="s">
        <v>19</v>
      </c>
      <c r="Q170" t="s">
        <v>19</v>
      </c>
    </row>
    <row r="171" spans="1:17" x14ac:dyDescent="0.3">
      <c r="A171" t="s">
        <v>363</v>
      </c>
      <c r="B171" t="s">
        <v>14</v>
      </c>
      <c r="C171" s="5">
        <v>45775</v>
      </c>
      <c r="D171" t="s">
        <v>22</v>
      </c>
      <c r="E171" t="s">
        <v>23</v>
      </c>
      <c r="F171">
        <v>3577</v>
      </c>
      <c r="G171">
        <v>596</v>
      </c>
      <c r="H171">
        <v>493</v>
      </c>
      <c r="I171">
        <v>67963</v>
      </c>
      <c r="J171">
        <v>67839</v>
      </c>
      <c r="K171">
        <v>53</v>
      </c>
      <c r="L171" t="s">
        <v>30</v>
      </c>
      <c r="O171" t="s">
        <v>31</v>
      </c>
      <c r="P171" t="s">
        <v>31</v>
      </c>
      <c r="Q171" t="s">
        <v>19</v>
      </c>
    </row>
    <row r="172" spans="1:17" x14ac:dyDescent="0.3">
      <c r="A172" t="s">
        <v>365</v>
      </c>
      <c r="B172" t="s">
        <v>27</v>
      </c>
      <c r="C172" s="5">
        <v>45657</v>
      </c>
      <c r="D172" t="s">
        <v>74</v>
      </c>
      <c r="E172" t="s">
        <v>219</v>
      </c>
      <c r="F172">
        <v>1018</v>
      </c>
      <c r="G172">
        <v>447</v>
      </c>
      <c r="H172">
        <v>332</v>
      </c>
      <c r="I172">
        <v>18324</v>
      </c>
      <c r="J172">
        <v>18164</v>
      </c>
      <c r="K172">
        <v>38</v>
      </c>
      <c r="L172" t="s">
        <v>62</v>
      </c>
      <c r="O172" t="s">
        <v>25</v>
      </c>
      <c r="P172" t="s">
        <v>25</v>
      </c>
      <c r="Q172" t="s">
        <v>38</v>
      </c>
    </row>
    <row r="173" spans="1:17" x14ac:dyDescent="0.3">
      <c r="A173" t="s">
        <v>367</v>
      </c>
      <c r="B173" t="s">
        <v>43</v>
      </c>
      <c r="C173" s="5">
        <v>45518</v>
      </c>
      <c r="D173" t="s">
        <v>45</v>
      </c>
      <c r="E173" t="s">
        <v>46</v>
      </c>
      <c r="F173">
        <v>3073</v>
      </c>
      <c r="G173">
        <v>553</v>
      </c>
      <c r="H173">
        <v>174</v>
      </c>
      <c r="I173">
        <v>52241</v>
      </c>
      <c r="J173">
        <v>51605</v>
      </c>
      <c r="K173">
        <v>246</v>
      </c>
      <c r="L173" t="s">
        <v>37</v>
      </c>
      <c r="O173" t="s">
        <v>31</v>
      </c>
      <c r="P173" t="s">
        <v>31</v>
      </c>
      <c r="Q173" t="s">
        <v>19</v>
      </c>
    </row>
    <row r="174" spans="1:17" x14ac:dyDescent="0.3">
      <c r="A174" t="s">
        <v>369</v>
      </c>
      <c r="B174" t="s">
        <v>14</v>
      </c>
      <c r="C174" s="5">
        <v>45631</v>
      </c>
      <c r="D174" t="s">
        <v>74</v>
      </c>
      <c r="E174" t="s">
        <v>145</v>
      </c>
      <c r="F174">
        <v>1330</v>
      </c>
      <c r="G174">
        <v>925</v>
      </c>
      <c r="H174">
        <v>35</v>
      </c>
      <c r="I174">
        <v>15960</v>
      </c>
      <c r="J174">
        <v>15379</v>
      </c>
      <c r="K174">
        <v>229</v>
      </c>
      <c r="L174" t="s">
        <v>62</v>
      </c>
      <c r="O174" t="s">
        <v>31</v>
      </c>
      <c r="P174" t="s">
        <v>31</v>
      </c>
      <c r="Q174" t="s">
        <v>38</v>
      </c>
    </row>
    <row r="175" spans="1:17" x14ac:dyDescent="0.3">
      <c r="A175" t="s">
        <v>371</v>
      </c>
      <c r="B175" t="s">
        <v>43</v>
      </c>
      <c r="C175" s="5">
        <v>45465</v>
      </c>
      <c r="D175" t="s">
        <v>22</v>
      </c>
      <c r="E175" t="s">
        <v>56</v>
      </c>
      <c r="F175">
        <v>3828</v>
      </c>
      <c r="G175">
        <v>148</v>
      </c>
      <c r="H175">
        <v>253</v>
      </c>
      <c r="I175">
        <v>30624</v>
      </c>
      <c r="J175">
        <v>30229</v>
      </c>
      <c r="K175">
        <v>235</v>
      </c>
      <c r="L175" t="s">
        <v>37</v>
      </c>
      <c r="P175" t="s">
        <v>19</v>
      </c>
      <c r="Q175" t="s">
        <v>19</v>
      </c>
    </row>
    <row r="176" spans="1:17" x14ac:dyDescent="0.3">
      <c r="A176" t="s">
        <v>372</v>
      </c>
      <c r="B176" t="s">
        <v>33</v>
      </c>
      <c r="C176" s="5">
        <v>45674</v>
      </c>
      <c r="D176" t="s">
        <v>16</v>
      </c>
      <c r="E176" t="s">
        <v>82</v>
      </c>
      <c r="F176">
        <v>142</v>
      </c>
      <c r="G176">
        <v>784</v>
      </c>
      <c r="H176">
        <v>183</v>
      </c>
      <c r="I176">
        <v>1704</v>
      </c>
      <c r="J176">
        <v>995</v>
      </c>
      <c r="K176">
        <v>154</v>
      </c>
      <c r="L176" t="s">
        <v>62</v>
      </c>
      <c r="O176" t="s">
        <v>38</v>
      </c>
      <c r="P176" t="s">
        <v>38</v>
      </c>
      <c r="Q176" t="s">
        <v>38</v>
      </c>
    </row>
    <row r="177" spans="1:17" x14ac:dyDescent="0.3">
      <c r="A177" t="s">
        <v>374</v>
      </c>
      <c r="B177" t="s">
        <v>43</v>
      </c>
      <c r="C177" s="5">
        <v>45463</v>
      </c>
      <c r="D177" t="s">
        <v>74</v>
      </c>
      <c r="E177" t="s">
        <v>75</v>
      </c>
      <c r="F177">
        <v>3798</v>
      </c>
      <c r="G177">
        <v>31</v>
      </c>
      <c r="H177">
        <v>279</v>
      </c>
      <c r="I177">
        <v>75960</v>
      </c>
      <c r="J177">
        <v>75813</v>
      </c>
      <c r="K177">
        <v>266</v>
      </c>
      <c r="L177" t="s">
        <v>30</v>
      </c>
      <c r="O177" t="s">
        <v>19</v>
      </c>
      <c r="P177" t="s">
        <v>19</v>
      </c>
      <c r="Q177" t="s">
        <v>19</v>
      </c>
    </row>
    <row r="178" spans="1:17" x14ac:dyDescent="0.3">
      <c r="A178" t="s">
        <v>376</v>
      </c>
      <c r="B178" t="s">
        <v>33</v>
      </c>
      <c r="C178" s="5">
        <v>45483</v>
      </c>
      <c r="D178" t="s">
        <v>45</v>
      </c>
      <c r="E178" t="s">
        <v>88</v>
      </c>
      <c r="F178">
        <v>3099</v>
      </c>
      <c r="G178">
        <v>694</v>
      </c>
      <c r="H178">
        <v>171</v>
      </c>
      <c r="I178">
        <v>43386</v>
      </c>
      <c r="J178">
        <v>42921</v>
      </c>
      <c r="K178">
        <v>52</v>
      </c>
      <c r="L178" t="s">
        <v>30</v>
      </c>
      <c r="O178" t="s">
        <v>31</v>
      </c>
      <c r="P178" t="s">
        <v>31</v>
      </c>
      <c r="Q178" t="s">
        <v>19</v>
      </c>
    </row>
    <row r="179" spans="1:17" x14ac:dyDescent="0.3">
      <c r="A179" t="s">
        <v>378</v>
      </c>
      <c r="B179" t="s">
        <v>33</v>
      </c>
      <c r="C179" s="5">
        <v>45603</v>
      </c>
      <c r="D179" t="s">
        <v>74</v>
      </c>
      <c r="E179" t="s">
        <v>85</v>
      </c>
      <c r="F179">
        <v>129</v>
      </c>
      <c r="G179">
        <v>643</v>
      </c>
      <c r="H179">
        <v>136</v>
      </c>
      <c r="I179">
        <v>1290</v>
      </c>
      <c r="J179">
        <v>839</v>
      </c>
      <c r="K179">
        <v>238</v>
      </c>
      <c r="L179" t="s">
        <v>30</v>
      </c>
      <c r="O179" t="s">
        <v>38</v>
      </c>
      <c r="P179" t="s">
        <v>38</v>
      </c>
      <c r="Q179" t="s">
        <v>19</v>
      </c>
    </row>
    <row r="180" spans="1:17" x14ac:dyDescent="0.3">
      <c r="A180" t="s">
        <v>379</v>
      </c>
      <c r="B180" t="s">
        <v>43</v>
      </c>
      <c r="C180" s="5">
        <v>45488</v>
      </c>
      <c r="D180" t="s">
        <v>45</v>
      </c>
      <c r="E180" t="s">
        <v>46</v>
      </c>
      <c r="F180">
        <v>3796</v>
      </c>
      <c r="G180">
        <v>667</v>
      </c>
      <c r="H180">
        <v>395</v>
      </c>
      <c r="I180">
        <v>64532</v>
      </c>
      <c r="J180">
        <v>63550</v>
      </c>
      <c r="K180">
        <v>292</v>
      </c>
      <c r="L180" t="s">
        <v>30</v>
      </c>
      <c r="P180" t="s">
        <v>25</v>
      </c>
      <c r="Q180" t="s">
        <v>19</v>
      </c>
    </row>
    <row r="181" spans="1:17" x14ac:dyDescent="0.3">
      <c r="A181" t="s">
        <v>380</v>
      </c>
      <c r="B181" t="s">
        <v>27</v>
      </c>
      <c r="C181" s="5">
        <v>45629</v>
      </c>
      <c r="D181" t="s">
        <v>22</v>
      </c>
      <c r="E181" t="s">
        <v>104</v>
      </c>
      <c r="F181">
        <v>3711</v>
      </c>
      <c r="G181">
        <v>352</v>
      </c>
      <c r="H181">
        <v>290</v>
      </c>
      <c r="I181">
        <v>48243</v>
      </c>
      <c r="J181">
        <v>47579</v>
      </c>
      <c r="K181">
        <v>11</v>
      </c>
      <c r="L181" t="s">
        <v>30</v>
      </c>
      <c r="O181" t="s">
        <v>19</v>
      </c>
      <c r="P181" t="s">
        <v>19</v>
      </c>
      <c r="Q181" t="s">
        <v>19</v>
      </c>
    </row>
    <row r="182" spans="1:17" x14ac:dyDescent="0.3">
      <c r="A182" t="s">
        <v>381</v>
      </c>
      <c r="B182" t="s">
        <v>27</v>
      </c>
      <c r="C182" s="5">
        <v>45737</v>
      </c>
      <c r="D182" t="s">
        <v>52</v>
      </c>
      <c r="E182" t="s">
        <v>53</v>
      </c>
      <c r="F182">
        <v>606</v>
      </c>
      <c r="G182">
        <v>789</v>
      </c>
      <c r="H182">
        <v>470</v>
      </c>
      <c r="I182">
        <v>7878</v>
      </c>
      <c r="J182">
        <v>7389</v>
      </c>
      <c r="K182">
        <v>239</v>
      </c>
      <c r="L182" t="s">
        <v>37</v>
      </c>
      <c r="O182" t="s">
        <v>31</v>
      </c>
      <c r="P182" t="s">
        <v>31</v>
      </c>
      <c r="Q182" t="s">
        <v>19</v>
      </c>
    </row>
    <row r="183" spans="1:17" x14ac:dyDescent="0.3">
      <c r="A183" t="s">
        <v>383</v>
      </c>
      <c r="B183" t="s">
        <v>43</v>
      </c>
      <c r="C183" s="5">
        <v>45504</v>
      </c>
      <c r="D183" t="s">
        <v>52</v>
      </c>
      <c r="E183" t="s">
        <v>59</v>
      </c>
      <c r="F183">
        <v>4689</v>
      </c>
      <c r="G183">
        <v>134</v>
      </c>
      <c r="H183">
        <v>403</v>
      </c>
      <c r="I183">
        <v>51579</v>
      </c>
      <c r="J183">
        <v>50924</v>
      </c>
      <c r="K183">
        <v>173</v>
      </c>
      <c r="L183" t="s">
        <v>30</v>
      </c>
      <c r="O183" t="s">
        <v>38</v>
      </c>
      <c r="P183" t="s">
        <v>38</v>
      </c>
      <c r="Q183" t="s">
        <v>19</v>
      </c>
    </row>
    <row r="184" spans="1:17" x14ac:dyDescent="0.3">
      <c r="A184" t="s">
        <v>384</v>
      </c>
      <c r="B184" t="s">
        <v>33</v>
      </c>
      <c r="C184" s="5">
        <v>45643</v>
      </c>
      <c r="D184" t="s">
        <v>35</v>
      </c>
      <c r="E184" t="s">
        <v>36</v>
      </c>
      <c r="F184">
        <v>360</v>
      </c>
      <c r="G184">
        <v>590</v>
      </c>
      <c r="H184">
        <v>393</v>
      </c>
      <c r="I184">
        <v>4680</v>
      </c>
      <c r="J184">
        <v>4322</v>
      </c>
      <c r="K184">
        <v>208</v>
      </c>
      <c r="L184" t="s">
        <v>62</v>
      </c>
      <c r="O184" t="s">
        <v>25</v>
      </c>
      <c r="P184" t="s">
        <v>25</v>
      </c>
      <c r="Q184" t="s">
        <v>38</v>
      </c>
    </row>
    <row r="185" spans="1:17" x14ac:dyDescent="0.3">
      <c r="A185" t="s">
        <v>386</v>
      </c>
      <c r="B185" t="s">
        <v>14</v>
      </c>
      <c r="C185" s="5">
        <v>45501</v>
      </c>
      <c r="D185" t="s">
        <v>52</v>
      </c>
      <c r="E185" t="s">
        <v>132</v>
      </c>
      <c r="F185">
        <v>3215</v>
      </c>
      <c r="G185">
        <v>960</v>
      </c>
      <c r="H185">
        <v>202</v>
      </c>
      <c r="I185">
        <v>32150</v>
      </c>
      <c r="J185">
        <v>31404</v>
      </c>
      <c r="K185">
        <v>251</v>
      </c>
      <c r="L185" t="s">
        <v>37</v>
      </c>
      <c r="O185" t="s">
        <v>19</v>
      </c>
      <c r="P185" t="s">
        <v>19</v>
      </c>
      <c r="Q185" t="s">
        <v>19</v>
      </c>
    </row>
    <row r="186" spans="1:17" x14ac:dyDescent="0.3">
      <c r="A186" t="s">
        <v>388</v>
      </c>
      <c r="B186" t="s">
        <v>33</v>
      </c>
      <c r="C186" s="5">
        <v>45668</v>
      </c>
      <c r="D186" t="s">
        <v>45</v>
      </c>
      <c r="E186" t="s">
        <v>88</v>
      </c>
      <c r="F186">
        <v>4523</v>
      </c>
      <c r="G186">
        <v>61</v>
      </c>
      <c r="H186">
        <v>157</v>
      </c>
      <c r="I186">
        <v>49753</v>
      </c>
      <c r="J186">
        <v>49329</v>
      </c>
      <c r="K186">
        <v>71</v>
      </c>
      <c r="L186" t="s">
        <v>37</v>
      </c>
      <c r="P186" t="s">
        <v>19</v>
      </c>
      <c r="Q186" t="s">
        <v>19</v>
      </c>
    </row>
    <row r="187" spans="1:17" x14ac:dyDescent="0.3">
      <c r="A187" t="s">
        <v>390</v>
      </c>
      <c r="B187" t="s">
        <v>43</v>
      </c>
      <c r="C187" s="5">
        <v>45528</v>
      </c>
      <c r="D187" t="s">
        <v>45</v>
      </c>
      <c r="E187" t="s">
        <v>46</v>
      </c>
      <c r="F187">
        <v>4292</v>
      </c>
      <c r="G187">
        <v>51</v>
      </c>
      <c r="H187">
        <v>392</v>
      </c>
      <c r="I187">
        <v>55796</v>
      </c>
      <c r="J187">
        <v>54826</v>
      </c>
      <c r="K187">
        <v>264</v>
      </c>
      <c r="L187" t="s">
        <v>37</v>
      </c>
      <c r="O187" t="s">
        <v>31</v>
      </c>
      <c r="P187" t="s">
        <v>31</v>
      </c>
      <c r="Q187" t="s">
        <v>19</v>
      </c>
    </row>
    <row r="188" spans="1:17" x14ac:dyDescent="0.3">
      <c r="A188" t="s">
        <v>391</v>
      </c>
      <c r="B188" t="s">
        <v>14</v>
      </c>
      <c r="C188" s="5">
        <v>45648</v>
      </c>
      <c r="D188" t="s">
        <v>16</v>
      </c>
      <c r="E188" t="s">
        <v>17</v>
      </c>
      <c r="F188">
        <v>1644</v>
      </c>
      <c r="G188">
        <v>546</v>
      </c>
      <c r="H188">
        <v>150</v>
      </c>
      <c r="I188">
        <v>27948</v>
      </c>
      <c r="J188">
        <v>27184</v>
      </c>
      <c r="K188">
        <v>300</v>
      </c>
      <c r="L188" t="s">
        <v>37</v>
      </c>
      <c r="O188" t="s">
        <v>31</v>
      </c>
      <c r="P188" t="s">
        <v>31</v>
      </c>
      <c r="Q188" t="s">
        <v>19</v>
      </c>
    </row>
    <row r="189" spans="1:17" x14ac:dyDescent="0.3">
      <c r="A189" t="s">
        <v>393</v>
      </c>
      <c r="B189" t="s">
        <v>27</v>
      </c>
      <c r="C189" s="5">
        <v>45449</v>
      </c>
      <c r="D189" t="s">
        <v>16</v>
      </c>
      <c r="E189" t="s">
        <v>29</v>
      </c>
      <c r="F189">
        <v>2728</v>
      </c>
      <c r="G189">
        <v>533</v>
      </c>
      <c r="H189">
        <v>215</v>
      </c>
      <c r="I189">
        <v>40920</v>
      </c>
      <c r="J189">
        <v>40816</v>
      </c>
      <c r="K189">
        <v>137</v>
      </c>
      <c r="L189" t="s">
        <v>62</v>
      </c>
      <c r="O189" t="s">
        <v>25</v>
      </c>
      <c r="P189" t="s">
        <v>25</v>
      </c>
      <c r="Q189" t="s">
        <v>38</v>
      </c>
    </row>
    <row r="190" spans="1:17" x14ac:dyDescent="0.3">
      <c r="A190" t="s">
        <v>394</v>
      </c>
      <c r="B190" t="s">
        <v>43</v>
      </c>
      <c r="C190" s="5">
        <v>45740</v>
      </c>
      <c r="D190" t="s">
        <v>16</v>
      </c>
      <c r="E190" t="s">
        <v>65</v>
      </c>
      <c r="F190">
        <v>3360</v>
      </c>
      <c r="G190">
        <v>525</v>
      </c>
      <c r="H190">
        <v>500</v>
      </c>
      <c r="I190">
        <v>60480</v>
      </c>
      <c r="J190">
        <v>59610</v>
      </c>
      <c r="K190">
        <v>192</v>
      </c>
      <c r="L190" t="s">
        <v>30</v>
      </c>
      <c r="O190" t="s">
        <v>19</v>
      </c>
      <c r="P190" t="s">
        <v>19</v>
      </c>
      <c r="Q190" t="s">
        <v>19</v>
      </c>
    </row>
    <row r="191" spans="1:17" x14ac:dyDescent="0.3">
      <c r="A191" t="s">
        <v>395</v>
      </c>
      <c r="B191" t="s">
        <v>27</v>
      </c>
      <c r="C191" s="5">
        <v>45569</v>
      </c>
      <c r="D191" t="s">
        <v>22</v>
      </c>
      <c r="E191" t="s">
        <v>104</v>
      </c>
      <c r="F191">
        <v>1963</v>
      </c>
      <c r="G191">
        <v>213</v>
      </c>
      <c r="H191">
        <v>19</v>
      </c>
      <c r="I191">
        <v>39260</v>
      </c>
      <c r="J191">
        <v>38771</v>
      </c>
      <c r="K191">
        <v>145</v>
      </c>
      <c r="L191" t="s">
        <v>62</v>
      </c>
      <c r="P191" t="s">
        <v>38</v>
      </c>
      <c r="Q191" t="s">
        <v>38</v>
      </c>
    </row>
    <row r="192" spans="1:17" x14ac:dyDescent="0.3">
      <c r="A192" t="s">
        <v>397</v>
      </c>
      <c r="B192" t="s">
        <v>27</v>
      </c>
      <c r="C192" s="5">
        <v>45629</v>
      </c>
      <c r="D192" t="s">
        <v>35</v>
      </c>
      <c r="E192" t="s">
        <v>154</v>
      </c>
      <c r="F192">
        <v>4285</v>
      </c>
      <c r="G192">
        <v>886</v>
      </c>
      <c r="H192">
        <v>376</v>
      </c>
      <c r="I192">
        <v>55705</v>
      </c>
      <c r="J192">
        <v>55556</v>
      </c>
      <c r="K192">
        <v>51</v>
      </c>
      <c r="L192" t="s">
        <v>62</v>
      </c>
      <c r="O192" t="s">
        <v>31</v>
      </c>
      <c r="P192" t="s">
        <v>31</v>
      </c>
      <c r="Q192" t="s">
        <v>38</v>
      </c>
    </row>
    <row r="193" spans="1:17" x14ac:dyDescent="0.3">
      <c r="A193" t="s">
        <v>398</v>
      </c>
      <c r="B193" t="s">
        <v>33</v>
      </c>
      <c r="C193" s="5">
        <v>45625</v>
      </c>
      <c r="D193" t="s">
        <v>74</v>
      </c>
      <c r="E193" t="s">
        <v>85</v>
      </c>
      <c r="F193">
        <v>1176</v>
      </c>
      <c r="G193">
        <v>464</v>
      </c>
      <c r="H193">
        <v>394</v>
      </c>
      <c r="I193">
        <v>14112</v>
      </c>
      <c r="J193">
        <v>13588</v>
      </c>
      <c r="K193">
        <v>272</v>
      </c>
      <c r="L193" t="s">
        <v>37</v>
      </c>
      <c r="P193" t="s">
        <v>19</v>
      </c>
      <c r="Q193" t="s">
        <v>19</v>
      </c>
    </row>
    <row r="194" spans="1:17" x14ac:dyDescent="0.3">
      <c r="A194" t="s">
        <v>400</v>
      </c>
      <c r="B194" t="s">
        <v>14</v>
      </c>
      <c r="C194" s="5">
        <v>45546</v>
      </c>
      <c r="D194" t="s">
        <v>52</v>
      </c>
      <c r="E194" t="s">
        <v>132</v>
      </c>
      <c r="F194">
        <v>4858</v>
      </c>
      <c r="G194">
        <v>317</v>
      </c>
      <c r="H194">
        <v>129</v>
      </c>
      <c r="I194">
        <v>53438</v>
      </c>
      <c r="J194">
        <v>52687</v>
      </c>
      <c r="K194">
        <v>223</v>
      </c>
      <c r="L194" t="s">
        <v>37</v>
      </c>
      <c r="O194" t="s">
        <v>31</v>
      </c>
      <c r="P194" t="s">
        <v>31</v>
      </c>
      <c r="Q194" t="s">
        <v>19</v>
      </c>
    </row>
    <row r="195" spans="1:17" x14ac:dyDescent="0.3">
      <c r="A195" t="s">
        <v>402</v>
      </c>
      <c r="B195" t="s">
        <v>27</v>
      </c>
      <c r="C195" s="5">
        <v>45567</v>
      </c>
      <c r="D195" t="s">
        <v>35</v>
      </c>
      <c r="E195" t="s">
        <v>154</v>
      </c>
      <c r="F195">
        <v>4350</v>
      </c>
      <c r="G195">
        <v>771</v>
      </c>
      <c r="H195">
        <v>7</v>
      </c>
      <c r="I195">
        <v>60900</v>
      </c>
      <c r="J195">
        <v>60592</v>
      </c>
      <c r="K195">
        <v>195</v>
      </c>
      <c r="L195" t="s">
        <v>37</v>
      </c>
      <c r="O195" t="s">
        <v>19</v>
      </c>
      <c r="P195" t="s">
        <v>19</v>
      </c>
      <c r="Q195" t="s">
        <v>19</v>
      </c>
    </row>
    <row r="196" spans="1:17" x14ac:dyDescent="0.3">
      <c r="A196" t="s">
        <v>403</v>
      </c>
      <c r="B196" t="s">
        <v>33</v>
      </c>
      <c r="C196" s="5">
        <v>45519</v>
      </c>
      <c r="D196" t="s">
        <v>45</v>
      </c>
      <c r="E196" t="s">
        <v>88</v>
      </c>
      <c r="F196">
        <v>914</v>
      </c>
      <c r="G196">
        <v>464</v>
      </c>
      <c r="H196">
        <v>246</v>
      </c>
      <c r="I196">
        <v>11882</v>
      </c>
      <c r="J196">
        <v>11500</v>
      </c>
      <c r="K196">
        <v>282</v>
      </c>
      <c r="L196" t="s">
        <v>62</v>
      </c>
      <c r="M196" t="s">
        <v>30</v>
      </c>
      <c r="N196" t="s">
        <v>615</v>
      </c>
      <c r="O196" t="s">
        <v>38</v>
      </c>
      <c r="P196" t="s">
        <v>38</v>
      </c>
      <c r="Q196" t="s">
        <v>38</v>
      </c>
    </row>
    <row r="197" spans="1:17" x14ac:dyDescent="0.3">
      <c r="A197" t="s">
        <v>405</v>
      </c>
      <c r="B197" t="s">
        <v>33</v>
      </c>
      <c r="C197" s="5">
        <v>45645</v>
      </c>
      <c r="D197" t="s">
        <v>22</v>
      </c>
      <c r="E197" t="s">
        <v>113</v>
      </c>
      <c r="F197">
        <v>1813</v>
      </c>
      <c r="G197">
        <v>623</v>
      </c>
      <c r="H197">
        <v>72</v>
      </c>
      <c r="I197">
        <v>19943</v>
      </c>
      <c r="J197">
        <v>18959</v>
      </c>
      <c r="K197">
        <v>85</v>
      </c>
      <c r="L197" t="s">
        <v>37</v>
      </c>
      <c r="O197" t="s">
        <v>31</v>
      </c>
      <c r="P197" t="s">
        <v>31</v>
      </c>
      <c r="Q197" t="s">
        <v>19</v>
      </c>
    </row>
    <row r="198" spans="1:17" x14ac:dyDescent="0.3">
      <c r="A198" t="s">
        <v>407</v>
      </c>
      <c r="B198" t="s">
        <v>14</v>
      </c>
      <c r="C198" s="5">
        <v>45587</v>
      </c>
      <c r="D198" t="s">
        <v>16</v>
      </c>
      <c r="E198" t="s">
        <v>17</v>
      </c>
      <c r="F198">
        <v>4782</v>
      </c>
      <c r="G198">
        <v>721</v>
      </c>
      <c r="H198">
        <v>82</v>
      </c>
      <c r="I198">
        <v>86076</v>
      </c>
      <c r="J198">
        <v>85339</v>
      </c>
      <c r="K198">
        <v>19</v>
      </c>
      <c r="L198" t="s">
        <v>37</v>
      </c>
      <c r="O198" t="s">
        <v>19</v>
      </c>
      <c r="P198" t="s">
        <v>19</v>
      </c>
      <c r="Q198" t="s">
        <v>19</v>
      </c>
    </row>
    <row r="199" spans="1:17" x14ac:dyDescent="0.3">
      <c r="A199" t="s">
        <v>408</v>
      </c>
      <c r="B199" t="s">
        <v>14</v>
      </c>
      <c r="C199" s="5">
        <v>45549</v>
      </c>
      <c r="D199" t="s">
        <v>52</v>
      </c>
      <c r="E199" t="s">
        <v>132</v>
      </c>
      <c r="F199">
        <v>1048</v>
      </c>
      <c r="G199">
        <v>374</v>
      </c>
      <c r="H199">
        <v>450</v>
      </c>
      <c r="I199">
        <v>9432</v>
      </c>
      <c r="J199">
        <v>8882</v>
      </c>
      <c r="K199">
        <v>158</v>
      </c>
      <c r="L199" t="s">
        <v>30</v>
      </c>
      <c r="O199" t="s">
        <v>31</v>
      </c>
      <c r="P199" t="s">
        <v>31</v>
      </c>
      <c r="Q199" t="s">
        <v>19</v>
      </c>
    </row>
    <row r="200" spans="1:17" x14ac:dyDescent="0.3">
      <c r="A200" t="s">
        <v>410</v>
      </c>
      <c r="B200" t="s">
        <v>27</v>
      </c>
      <c r="C200" s="5">
        <v>45626</v>
      </c>
      <c r="D200" t="s">
        <v>45</v>
      </c>
      <c r="E200" t="s">
        <v>68</v>
      </c>
      <c r="F200">
        <v>2509</v>
      </c>
      <c r="G200">
        <v>324</v>
      </c>
      <c r="H200">
        <v>171</v>
      </c>
      <c r="I200">
        <v>35126</v>
      </c>
      <c r="J200">
        <v>34685</v>
      </c>
      <c r="K200">
        <v>277</v>
      </c>
      <c r="L200" t="s">
        <v>30</v>
      </c>
      <c r="O200" t="s">
        <v>25</v>
      </c>
      <c r="P200" t="s">
        <v>25</v>
      </c>
      <c r="Q200" t="s">
        <v>19</v>
      </c>
    </row>
    <row r="201" spans="1:17" x14ac:dyDescent="0.3">
      <c r="A201" t="s">
        <v>411</v>
      </c>
      <c r="B201" t="s">
        <v>43</v>
      </c>
      <c r="C201" s="5">
        <v>45754</v>
      </c>
      <c r="D201" t="s">
        <v>16</v>
      </c>
      <c r="E201" t="s">
        <v>65</v>
      </c>
      <c r="F201">
        <v>3718</v>
      </c>
      <c r="G201">
        <v>385</v>
      </c>
      <c r="H201">
        <v>310</v>
      </c>
      <c r="I201">
        <v>70642</v>
      </c>
      <c r="J201">
        <v>69749</v>
      </c>
      <c r="K201">
        <v>233</v>
      </c>
      <c r="L201" t="s">
        <v>30</v>
      </c>
      <c r="O201" t="s">
        <v>25</v>
      </c>
      <c r="P201" t="s">
        <v>25</v>
      </c>
      <c r="Q201" t="s">
        <v>19</v>
      </c>
    </row>
    <row r="202" spans="1:17" x14ac:dyDescent="0.3">
      <c r="A202" t="s">
        <v>413</v>
      </c>
      <c r="B202" t="s">
        <v>14</v>
      </c>
      <c r="C202" s="5">
        <v>45672</v>
      </c>
      <c r="D202" t="s">
        <v>16</v>
      </c>
      <c r="E202" t="s">
        <v>17</v>
      </c>
      <c r="F202">
        <v>802</v>
      </c>
      <c r="G202">
        <v>262</v>
      </c>
      <c r="H202">
        <v>244</v>
      </c>
      <c r="I202">
        <v>14436</v>
      </c>
      <c r="J202">
        <v>14280</v>
      </c>
      <c r="K202">
        <v>49</v>
      </c>
      <c r="L202" t="s">
        <v>37</v>
      </c>
      <c r="O202" t="s">
        <v>19</v>
      </c>
      <c r="P202" t="s">
        <v>19</v>
      </c>
      <c r="Q202" t="s">
        <v>19</v>
      </c>
    </row>
    <row r="203" spans="1:17" x14ac:dyDescent="0.3">
      <c r="A203" t="s">
        <v>415</v>
      </c>
      <c r="B203" t="s">
        <v>43</v>
      </c>
      <c r="C203" s="5">
        <v>45445</v>
      </c>
      <c r="D203" t="s">
        <v>52</v>
      </c>
      <c r="E203" t="s">
        <v>59</v>
      </c>
      <c r="F203">
        <v>1871</v>
      </c>
      <c r="G203">
        <v>252</v>
      </c>
      <c r="H203">
        <v>335</v>
      </c>
      <c r="I203">
        <v>29936</v>
      </c>
      <c r="J203">
        <v>29576</v>
      </c>
      <c r="K203">
        <v>288</v>
      </c>
      <c r="L203" t="s">
        <v>37</v>
      </c>
      <c r="O203" t="s">
        <v>31</v>
      </c>
      <c r="P203" t="s">
        <v>31</v>
      </c>
      <c r="Q203" t="s">
        <v>19</v>
      </c>
    </row>
    <row r="204" spans="1:17" x14ac:dyDescent="0.3">
      <c r="A204" t="s">
        <v>417</v>
      </c>
      <c r="B204" t="s">
        <v>33</v>
      </c>
      <c r="C204" s="5">
        <v>45617</v>
      </c>
      <c r="D204" t="s">
        <v>45</v>
      </c>
      <c r="E204" t="s">
        <v>88</v>
      </c>
      <c r="F204">
        <v>3773</v>
      </c>
      <c r="G204">
        <v>299</v>
      </c>
      <c r="H204">
        <v>38</v>
      </c>
      <c r="I204">
        <v>71687</v>
      </c>
      <c r="J204">
        <v>71447</v>
      </c>
      <c r="K204">
        <v>286</v>
      </c>
      <c r="L204" t="s">
        <v>62</v>
      </c>
      <c r="O204" t="s">
        <v>19</v>
      </c>
      <c r="P204" t="s">
        <v>19</v>
      </c>
      <c r="Q204" t="s">
        <v>38</v>
      </c>
    </row>
    <row r="205" spans="1:17" x14ac:dyDescent="0.3">
      <c r="A205" t="s">
        <v>419</v>
      </c>
      <c r="B205" t="s">
        <v>33</v>
      </c>
      <c r="C205" s="5">
        <v>45658</v>
      </c>
      <c r="D205" t="s">
        <v>45</v>
      </c>
      <c r="E205" t="s">
        <v>88</v>
      </c>
      <c r="F205">
        <v>2234</v>
      </c>
      <c r="G205">
        <v>653</v>
      </c>
      <c r="H205">
        <v>432</v>
      </c>
      <c r="I205">
        <v>11170</v>
      </c>
      <c r="J205">
        <v>10569</v>
      </c>
      <c r="K205">
        <v>198</v>
      </c>
      <c r="L205" t="s">
        <v>62</v>
      </c>
      <c r="O205" t="s">
        <v>31</v>
      </c>
      <c r="P205" t="s">
        <v>31</v>
      </c>
      <c r="Q205" t="s">
        <v>38</v>
      </c>
    </row>
    <row r="206" spans="1:17" x14ac:dyDescent="0.3">
      <c r="A206" t="s">
        <v>420</v>
      </c>
      <c r="B206" t="s">
        <v>14</v>
      </c>
      <c r="C206" s="5">
        <v>45771</v>
      </c>
      <c r="D206" t="s">
        <v>74</v>
      </c>
      <c r="E206" t="s">
        <v>145</v>
      </c>
      <c r="F206">
        <v>3820</v>
      </c>
      <c r="G206">
        <v>697</v>
      </c>
      <c r="H206">
        <v>268</v>
      </c>
      <c r="I206">
        <v>45840</v>
      </c>
      <c r="J206">
        <v>45631</v>
      </c>
      <c r="K206">
        <v>171</v>
      </c>
      <c r="L206" t="s">
        <v>30</v>
      </c>
      <c r="M206" t="s">
        <v>607</v>
      </c>
      <c r="O206" t="s">
        <v>38</v>
      </c>
      <c r="P206" t="s">
        <v>38</v>
      </c>
      <c r="Q206" t="s">
        <v>19</v>
      </c>
    </row>
    <row r="207" spans="1:17" x14ac:dyDescent="0.3">
      <c r="A207" t="s">
        <v>422</v>
      </c>
      <c r="B207" t="s">
        <v>14</v>
      </c>
      <c r="C207" s="5">
        <v>45467</v>
      </c>
      <c r="D207" t="s">
        <v>22</v>
      </c>
      <c r="E207" t="s">
        <v>23</v>
      </c>
      <c r="F207">
        <v>941</v>
      </c>
      <c r="G207">
        <v>121</v>
      </c>
      <c r="H207">
        <v>458</v>
      </c>
      <c r="I207">
        <v>14115</v>
      </c>
      <c r="J207">
        <v>13838</v>
      </c>
      <c r="K207">
        <v>87</v>
      </c>
      <c r="L207" t="s">
        <v>37</v>
      </c>
      <c r="O207" t="s">
        <v>19</v>
      </c>
      <c r="P207" t="s">
        <v>19</v>
      </c>
      <c r="Q207" t="s">
        <v>19</v>
      </c>
    </row>
    <row r="208" spans="1:17" x14ac:dyDescent="0.3">
      <c r="A208" t="s">
        <v>423</v>
      </c>
      <c r="B208" t="s">
        <v>14</v>
      </c>
      <c r="C208" s="5">
        <v>45655</v>
      </c>
      <c r="D208" t="s">
        <v>45</v>
      </c>
      <c r="E208" t="s">
        <v>49</v>
      </c>
      <c r="F208">
        <v>4274</v>
      </c>
      <c r="G208">
        <v>340</v>
      </c>
      <c r="H208">
        <v>281</v>
      </c>
      <c r="I208">
        <v>34192</v>
      </c>
      <c r="J208">
        <v>33446</v>
      </c>
      <c r="K208">
        <v>129</v>
      </c>
      <c r="L208" t="s">
        <v>30</v>
      </c>
      <c r="M208" t="s">
        <v>607</v>
      </c>
      <c r="O208" t="s">
        <v>31</v>
      </c>
      <c r="P208" t="s">
        <v>31</v>
      </c>
      <c r="Q208" t="s">
        <v>19</v>
      </c>
    </row>
    <row r="209" spans="1:17" x14ac:dyDescent="0.3">
      <c r="A209" t="s">
        <v>425</v>
      </c>
      <c r="B209" t="s">
        <v>27</v>
      </c>
      <c r="C209" s="5">
        <v>45467</v>
      </c>
      <c r="D209" t="s">
        <v>74</v>
      </c>
      <c r="E209" t="s">
        <v>219</v>
      </c>
      <c r="F209">
        <v>2949</v>
      </c>
      <c r="G209">
        <v>476</v>
      </c>
      <c r="H209">
        <v>403</v>
      </c>
      <c r="I209">
        <v>44235</v>
      </c>
      <c r="J209">
        <v>43705</v>
      </c>
      <c r="K209">
        <v>135</v>
      </c>
      <c r="L209" t="s">
        <v>30</v>
      </c>
      <c r="O209" t="s">
        <v>25</v>
      </c>
      <c r="P209" t="s">
        <v>25</v>
      </c>
      <c r="Q209" t="s">
        <v>19</v>
      </c>
    </row>
    <row r="210" spans="1:17" x14ac:dyDescent="0.3">
      <c r="A210" t="s">
        <v>426</v>
      </c>
      <c r="B210" t="s">
        <v>14</v>
      </c>
      <c r="C210" s="5">
        <v>45735</v>
      </c>
      <c r="D210" t="s">
        <v>74</v>
      </c>
      <c r="E210" t="s">
        <v>145</v>
      </c>
      <c r="F210">
        <v>3160</v>
      </c>
      <c r="G210">
        <v>204</v>
      </c>
      <c r="H210">
        <v>297</v>
      </c>
      <c r="I210">
        <v>44240</v>
      </c>
      <c r="J210">
        <v>43666</v>
      </c>
      <c r="K210">
        <v>49</v>
      </c>
      <c r="L210" t="s">
        <v>62</v>
      </c>
      <c r="M210" t="s">
        <v>615</v>
      </c>
      <c r="O210" t="s">
        <v>38</v>
      </c>
      <c r="P210" t="s">
        <v>38</v>
      </c>
      <c r="Q210" t="s">
        <v>38</v>
      </c>
    </row>
    <row r="211" spans="1:17" x14ac:dyDescent="0.3">
      <c r="A211" t="s">
        <v>428</v>
      </c>
      <c r="B211" t="s">
        <v>27</v>
      </c>
      <c r="C211" s="5">
        <v>45707</v>
      </c>
      <c r="D211" t="s">
        <v>52</v>
      </c>
      <c r="E211" t="s">
        <v>53</v>
      </c>
      <c r="F211">
        <v>257</v>
      </c>
      <c r="G211">
        <v>966</v>
      </c>
      <c r="H211">
        <v>398</v>
      </c>
      <c r="I211">
        <v>3341</v>
      </c>
      <c r="J211">
        <v>2753</v>
      </c>
      <c r="K211">
        <v>287</v>
      </c>
      <c r="L211" t="s">
        <v>62</v>
      </c>
      <c r="O211" t="s">
        <v>19</v>
      </c>
      <c r="P211" t="s">
        <v>19</v>
      </c>
      <c r="Q211" t="s">
        <v>38</v>
      </c>
    </row>
    <row r="212" spans="1:17" x14ac:dyDescent="0.3">
      <c r="A212" t="s">
        <v>429</v>
      </c>
      <c r="B212" t="s">
        <v>14</v>
      </c>
      <c r="C212" s="5">
        <v>45491</v>
      </c>
      <c r="D212" t="s">
        <v>45</v>
      </c>
      <c r="E212" t="s">
        <v>49</v>
      </c>
      <c r="F212">
        <v>2120</v>
      </c>
      <c r="G212">
        <v>38</v>
      </c>
      <c r="H212">
        <v>212</v>
      </c>
      <c r="I212">
        <v>12720</v>
      </c>
      <c r="J212">
        <v>12564</v>
      </c>
      <c r="K212">
        <v>21</v>
      </c>
      <c r="L212" t="s">
        <v>62</v>
      </c>
      <c r="O212" t="s">
        <v>38</v>
      </c>
      <c r="P212" t="s">
        <v>38</v>
      </c>
      <c r="Q212" t="s">
        <v>38</v>
      </c>
    </row>
    <row r="213" spans="1:17" x14ac:dyDescent="0.3">
      <c r="A213" t="s">
        <v>431</v>
      </c>
      <c r="B213" t="s">
        <v>27</v>
      </c>
      <c r="C213" s="5">
        <v>45719</v>
      </c>
      <c r="D213" t="s">
        <v>74</v>
      </c>
      <c r="E213" t="s">
        <v>219</v>
      </c>
      <c r="F213">
        <v>3874</v>
      </c>
      <c r="G213">
        <v>884</v>
      </c>
      <c r="H213">
        <v>19</v>
      </c>
      <c r="I213">
        <v>38740</v>
      </c>
      <c r="J213">
        <v>38552</v>
      </c>
      <c r="K213">
        <v>219</v>
      </c>
      <c r="L213" t="s">
        <v>30</v>
      </c>
      <c r="O213" t="s">
        <v>25</v>
      </c>
      <c r="P213" t="s">
        <v>25</v>
      </c>
      <c r="Q213" t="s">
        <v>19</v>
      </c>
    </row>
    <row r="214" spans="1:17" x14ac:dyDescent="0.3">
      <c r="A214" t="s">
        <v>432</v>
      </c>
      <c r="B214" t="s">
        <v>43</v>
      </c>
      <c r="C214" s="5">
        <v>45778</v>
      </c>
      <c r="D214" t="s">
        <v>45</v>
      </c>
      <c r="E214" t="s">
        <v>46</v>
      </c>
      <c r="F214">
        <v>2696</v>
      </c>
      <c r="G214">
        <v>628</v>
      </c>
      <c r="H214">
        <v>443</v>
      </c>
      <c r="I214">
        <v>45832</v>
      </c>
      <c r="J214">
        <v>45632</v>
      </c>
      <c r="K214">
        <v>248</v>
      </c>
      <c r="L214" t="s">
        <v>37</v>
      </c>
      <c r="O214" t="s">
        <v>38</v>
      </c>
      <c r="P214" t="s">
        <v>38</v>
      </c>
      <c r="Q214" t="s">
        <v>19</v>
      </c>
    </row>
    <row r="215" spans="1:17" x14ac:dyDescent="0.3">
      <c r="A215" t="s">
        <v>434</v>
      </c>
      <c r="B215" t="s">
        <v>33</v>
      </c>
      <c r="C215" s="5">
        <v>45649</v>
      </c>
      <c r="D215" t="s">
        <v>52</v>
      </c>
      <c r="E215" t="s">
        <v>215</v>
      </c>
      <c r="F215">
        <v>521</v>
      </c>
      <c r="G215">
        <v>746</v>
      </c>
      <c r="H215">
        <v>315</v>
      </c>
      <c r="I215">
        <v>4168</v>
      </c>
      <c r="J215">
        <v>3399</v>
      </c>
      <c r="K215">
        <v>282</v>
      </c>
      <c r="L215" t="s">
        <v>62</v>
      </c>
      <c r="O215" t="s">
        <v>25</v>
      </c>
      <c r="P215" t="s">
        <v>25</v>
      </c>
      <c r="Q215" t="s">
        <v>38</v>
      </c>
    </row>
    <row r="216" spans="1:17" x14ac:dyDescent="0.3">
      <c r="A216" t="s">
        <v>435</v>
      </c>
      <c r="B216" t="s">
        <v>43</v>
      </c>
      <c r="C216" s="5">
        <v>45783</v>
      </c>
      <c r="D216" t="s">
        <v>52</v>
      </c>
      <c r="E216" t="s">
        <v>59</v>
      </c>
      <c r="F216">
        <v>4872</v>
      </c>
      <c r="G216">
        <v>925</v>
      </c>
      <c r="H216">
        <v>176</v>
      </c>
      <c r="I216">
        <v>82824</v>
      </c>
      <c r="J216">
        <v>82543</v>
      </c>
      <c r="K216">
        <v>89</v>
      </c>
      <c r="L216" t="s">
        <v>37</v>
      </c>
      <c r="O216" t="s">
        <v>25</v>
      </c>
      <c r="P216" t="s">
        <v>25</v>
      </c>
      <c r="Q216" t="s">
        <v>19</v>
      </c>
    </row>
    <row r="217" spans="1:17" x14ac:dyDescent="0.3">
      <c r="A217" t="s">
        <v>437</v>
      </c>
      <c r="B217" t="s">
        <v>27</v>
      </c>
      <c r="C217" s="5">
        <v>45502</v>
      </c>
      <c r="D217" t="s">
        <v>35</v>
      </c>
      <c r="E217" t="s">
        <v>154</v>
      </c>
      <c r="F217">
        <v>1509</v>
      </c>
      <c r="G217">
        <v>88</v>
      </c>
      <c r="H217">
        <v>163</v>
      </c>
      <c r="I217">
        <v>30180</v>
      </c>
      <c r="J217">
        <v>29689</v>
      </c>
      <c r="K217">
        <v>119</v>
      </c>
      <c r="L217" t="s">
        <v>37</v>
      </c>
      <c r="O217" t="s">
        <v>25</v>
      </c>
      <c r="P217" t="s">
        <v>25</v>
      </c>
      <c r="Q217" t="s">
        <v>19</v>
      </c>
    </row>
    <row r="218" spans="1:17" x14ac:dyDescent="0.3">
      <c r="A218" t="s">
        <v>438</v>
      </c>
      <c r="B218" t="s">
        <v>43</v>
      </c>
      <c r="C218" s="5">
        <v>45629</v>
      </c>
      <c r="D218" t="s">
        <v>52</v>
      </c>
      <c r="E218" t="s">
        <v>59</v>
      </c>
      <c r="F218">
        <v>4606</v>
      </c>
      <c r="G218">
        <v>931</v>
      </c>
      <c r="H218">
        <v>230</v>
      </c>
      <c r="I218">
        <v>92120</v>
      </c>
      <c r="J218">
        <v>91440</v>
      </c>
      <c r="K218">
        <v>56</v>
      </c>
      <c r="L218" t="s">
        <v>30</v>
      </c>
      <c r="P218" t="s">
        <v>25</v>
      </c>
      <c r="Q218" t="s">
        <v>19</v>
      </c>
    </row>
    <row r="219" spans="1:17" x14ac:dyDescent="0.3">
      <c r="A219" t="s">
        <v>439</v>
      </c>
      <c r="B219" t="s">
        <v>43</v>
      </c>
      <c r="C219" s="5">
        <v>45454</v>
      </c>
      <c r="D219" t="s">
        <v>45</v>
      </c>
      <c r="E219" t="s">
        <v>46</v>
      </c>
      <c r="F219">
        <v>1869</v>
      </c>
      <c r="G219">
        <v>453</v>
      </c>
      <c r="H219">
        <v>490</v>
      </c>
      <c r="I219">
        <v>14952</v>
      </c>
      <c r="J219">
        <v>14309</v>
      </c>
      <c r="K219">
        <v>275</v>
      </c>
      <c r="L219" t="s">
        <v>30</v>
      </c>
      <c r="O219" t="s">
        <v>38</v>
      </c>
      <c r="P219" t="s">
        <v>38</v>
      </c>
      <c r="Q219" t="s">
        <v>19</v>
      </c>
    </row>
    <row r="220" spans="1:17" x14ac:dyDescent="0.3">
      <c r="A220" t="s">
        <v>440</v>
      </c>
      <c r="B220" t="s">
        <v>14</v>
      </c>
      <c r="C220" s="5">
        <v>45685</v>
      </c>
      <c r="D220" t="s">
        <v>16</v>
      </c>
      <c r="E220" t="s">
        <v>17</v>
      </c>
      <c r="F220">
        <v>1188</v>
      </c>
      <c r="G220">
        <v>470</v>
      </c>
      <c r="H220">
        <v>174</v>
      </c>
      <c r="I220">
        <v>7128</v>
      </c>
      <c r="J220">
        <v>6145</v>
      </c>
      <c r="K220">
        <v>270</v>
      </c>
      <c r="L220" t="s">
        <v>30</v>
      </c>
      <c r="O220" t="s">
        <v>38</v>
      </c>
      <c r="P220" t="s">
        <v>38</v>
      </c>
      <c r="Q220" t="s">
        <v>19</v>
      </c>
    </row>
    <row r="221" spans="1:17" x14ac:dyDescent="0.3">
      <c r="A221" t="s">
        <v>441</v>
      </c>
      <c r="B221" t="s">
        <v>33</v>
      </c>
      <c r="C221" s="5">
        <v>45445</v>
      </c>
      <c r="D221" t="s">
        <v>35</v>
      </c>
      <c r="E221" t="s">
        <v>36</v>
      </c>
      <c r="F221">
        <v>84</v>
      </c>
      <c r="G221">
        <v>897</v>
      </c>
      <c r="H221">
        <v>85</v>
      </c>
      <c r="I221">
        <v>588</v>
      </c>
      <c r="J221">
        <v>8</v>
      </c>
      <c r="K221">
        <v>12</v>
      </c>
      <c r="L221" t="s">
        <v>37</v>
      </c>
      <c r="P221" t="s">
        <v>19</v>
      </c>
      <c r="Q221" t="s">
        <v>19</v>
      </c>
    </row>
    <row r="222" spans="1:17" x14ac:dyDescent="0.3">
      <c r="A222" t="s">
        <v>442</v>
      </c>
      <c r="B222" t="s">
        <v>43</v>
      </c>
      <c r="C222" s="5">
        <v>45739</v>
      </c>
      <c r="D222" t="s">
        <v>74</v>
      </c>
      <c r="E222" t="s">
        <v>75</v>
      </c>
      <c r="F222">
        <v>4453</v>
      </c>
      <c r="G222">
        <v>111</v>
      </c>
      <c r="H222">
        <v>420</v>
      </c>
      <c r="I222">
        <v>31171</v>
      </c>
      <c r="J222">
        <v>30565</v>
      </c>
      <c r="K222">
        <v>23</v>
      </c>
      <c r="L222" t="s">
        <v>30</v>
      </c>
      <c r="P222" t="s">
        <v>25</v>
      </c>
      <c r="Q222" t="s">
        <v>19</v>
      </c>
    </row>
    <row r="223" spans="1:17" x14ac:dyDescent="0.3">
      <c r="A223" t="s">
        <v>443</v>
      </c>
      <c r="B223" t="s">
        <v>43</v>
      </c>
      <c r="C223" s="5">
        <v>45573</v>
      </c>
      <c r="D223" t="s">
        <v>16</v>
      </c>
      <c r="E223" t="s">
        <v>65</v>
      </c>
      <c r="F223">
        <v>1814</v>
      </c>
      <c r="G223">
        <v>653</v>
      </c>
      <c r="H223">
        <v>363</v>
      </c>
      <c r="I223">
        <v>25396</v>
      </c>
      <c r="J223">
        <v>25286</v>
      </c>
      <c r="K223">
        <v>39</v>
      </c>
      <c r="L223" t="s">
        <v>62</v>
      </c>
      <c r="M223" t="s">
        <v>607</v>
      </c>
      <c r="O223" t="s">
        <v>19</v>
      </c>
      <c r="P223" t="s">
        <v>19</v>
      </c>
      <c r="Q223" t="s">
        <v>38</v>
      </c>
    </row>
    <row r="224" spans="1:17" x14ac:dyDescent="0.3">
      <c r="A224" t="s">
        <v>446</v>
      </c>
      <c r="B224" t="s">
        <v>14</v>
      </c>
      <c r="C224" s="5">
        <v>45608</v>
      </c>
      <c r="D224" t="s">
        <v>52</v>
      </c>
      <c r="E224" t="s">
        <v>132</v>
      </c>
      <c r="F224">
        <v>3338</v>
      </c>
      <c r="G224">
        <v>277</v>
      </c>
      <c r="H224">
        <v>118</v>
      </c>
      <c r="I224">
        <v>60084</v>
      </c>
      <c r="J224">
        <v>59842</v>
      </c>
      <c r="K224">
        <v>252</v>
      </c>
      <c r="L224" t="s">
        <v>30</v>
      </c>
      <c r="P224" t="s">
        <v>25</v>
      </c>
      <c r="Q224" t="s">
        <v>19</v>
      </c>
    </row>
    <row r="225" spans="1:17" x14ac:dyDescent="0.3">
      <c r="A225" t="s">
        <v>447</v>
      </c>
      <c r="B225" t="s">
        <v>43</v>
      </c>
      <c r="C225" s="5">
        <v>45790</v>
      </c>
      <c r="D225" t="s">
        <v>52</v>
      </c>
      <c r="E225" t="s">
        <v>59</v>
      </c>
      <c r="F225">
        <v>602</v>
      </c>
      <c r="G225">
        <v>594</v>
      </c>
      <c r="H225">
        <v>156</v>
      </c>
      <c r="I225">
        <v>4214</v>
      </c>
      <c r="J225">
        <v>3363</v>
      </c>
      <c r="K225">
        <v>164</v>
      </c>
      <c r="L225" t="s">
        <v>30</v>
      </c>
      <c r="O225" t="s">
        <v>31</v>
      </c>
      <c r="P225" t="s">
        <v>31</v>
      </c>
      <c r="Q225" t="s">
        <v>19</v>
      </c>
    </row>
    <row r="226" spans="1:17" x14ac:dyDescent="0.3">
      <c r="A226" t="s">
        <v>449</v>
      </c>
      <c r="B226" t="s">
        <v>14</v>
      </c>
      <c r="C226" s="5">
        <v>45463</v>
      </c>
      <c r="D226" t="s">
        <v>45</v>
      </c>
      <c r="E226" t="s">
        <v>49</v>
      </c>
      <c r="F226">
        <v>4672</v>
      </c>
      <c r="G226">
        <v>325</v>
      </c>
      <c r="H226">
        <v>32</v>
      </c>
      <c r="I226">
        <v>88768</v>
      </c>
      <c r="J226">
        <v>87833</v>
      </c>
      <c r="K226">
        <v>118</v>
      </c>
      <c r="L226" t="s">
        <v>37</v>
      </c>
      <c r="P226" t="s">
        <v>19</v>
      </c>
      <c r="Q226" t="s">
        <v>19</v>
      </c>
    </row>
    <row r="227" spans="1:17" x14ac:dyDescent="0.3">
      <c r="A227" t="s">
        <v>450</v>
      </c>
      <c r="B227" t="s">
        <v>33</v>
      </c>
      <c r="C227" s="5">
        <v>45511</v>
      </c>
      <c r="D227" t="s">
        <v>45</v>
      </c>
      <c r="E227" t="s">
        <v>88</v>
      </c>
      <c r="F227">
        <v>1741</v>
      </c>
      <c r="G227">
        <v>164</v>
      </c>
      <c r="H227">
        <v>318</v>
      </c>
      <c r="I227">
        <v>8705</v>
      </c>
      <c r="J227">
        <v>8272</v>
      </c>
      <c r="K227">
        <v>121</v>
      </c>
      <c r="L227" t="s">
        <v>30</v>
      </c>
      <c r="P227" t="s">
        <v>25</v>
      </c>
      <c r="Q227" t="s">
        <v>19</v>
      </c>
    </row>
    <row r="228" spans="1:17" x14ac:dyDescent="0.3">
      <c r="A228" t="s">
        <v>452</v>
      </c>
      <c r="B228" t="s">
        <v>33</v>
      </c>
      <c r="C228" s="5">
        <v>45455</v>
      </c>
      <c r="D228" t="s">
        <v>22</v>
      </c>
      <c r="E228" t="s">
        <v>113</v>
      </c>
      <c r="F228">
        <v>246</v>
      </c>
      <c r="G228">
        <v>149</v>
      </c>
      <c r="H228">
        <v>130</v>
      </c>
      <c r="I228">
        <v>4674</v>
      </c>
      <c r="J228">
        <v>4390</v>
      </c>
      <c r="K228">
        <v>217</v>
      </c>
      <c r="L228" t="s">
        <v>62</v>
      </c>
      <c r="O228" t="s">
        <v>31</v>
      </c>
      <c r="P228" t="s">
        <v>31</v>
      </c>
      <c r="Q228" t="s">
        <v>38</v>
      </c>
    </row>
    <row r="229" spans="1:17" x14ac:dyDescent="0.3">
      <c r="A229" t="s">
        <v>454</v>
      </c>
      <c r="B229" t="s">
        <v>33</v>
      </c>
      <c r="C229" s="5">
        <v>45474</v>
      </c>
      <c r="D229" t="s">
        <v>35</v>
      </c>
      <c r="E229" t="s">
        <v>36</v>
      </c>
      <c r="F229">
        <v>4808</v>
      </c>
      <c r="G229">
        <v>772</v>
      </c>
      <c r="H229">
        <v>320</v>
      </c>
      <c r="I229">
        <v>72120</v>
      </c>
      <c r="J229">
        <v>71696</v>
      </c>
      <c r="K229">
        <v>195</v>
      </c>
      <c r="L229" t="s">
        <v>37</v>
      </c>
      <c r="O229" t="s">
        <v>19</v>
      </c>
      <c r="P229" t="s">
        <v>19</v>
      </c>
      <c r="Q229" t="s">
        <v>19</v>
      </c>
    </row>
    <row r="230" spans="1:17" x14ac:dyDescent="0.3">
      <c r="A230" t="s">
        <v>456</v>
      </c>
      <c r="B230" t="s">
        <v>33</v>
      </c>
      <c r="C230" s="5">
        <v>45476</v>
      </c>
      <c r="D230" t="s">
        <v>45</v>
      </c>
      <c r="E230" t="s">
        <v>88</v>
      </c>
      <c r="F230">
        <v>4799</v>
      </c>
      <c r="G230">
        <v>694</v>
      </c>
      <c r="H230">
        <v>289</v>
      </c>
      <c r="I230">
        <v>43191</v>
      </c>
      <c r="J230">
        <v>42228</v>
      </c>
      <c r="K230">
        <v>118</v>
      </c>
      <c r="L230" t="s">
        <v>30</v>
      </c>
      <c r="P230" t="s">
        <v>25</v>
      </c>
      <c r="Q230" t="s">
        <v>19</v>
      </c>
    </row>
    <row r="231" spans="1:17" x14ac:dyDescent="0.3">
      <c r="A231" t="s">
        <v>457</v>
      </c>
      <c r="B231" t="s">
        <v>43</v>
      </c>
      <c r="C231" s="5">
        <v>45488</v>
      </c>
      <c r="D231" t="s">
        <v>16</v>
      </c>
      <c r="E231" t="s">
        <v>65</v>
      </c>
      <c r="F231">
        <v>3663</v>
      </c>
      <c r="G231">
        <v>17</v>
      </c>
      <c r="H231">
        <v>295</v>
      </c>
      <c r="I231">
        <v>51282</v>
      </c>
      <c r="J231">
        <v>50567</v>
      </c>
      <c r="K231">
        <v>84</v>
      </c>
      <c r="L231" t="s">
        <v>37</v>
      </c>
      <c r="O231" t="s">
        <v>31</v>
      </c>
      <c r="P231" t="s">
        <v>31</v>
      </c>
      <c r="Q231" t="s">
        <v>19</v>
      </c>
    </row>
    <row r="232" spans="1:17" x14ac:dyDescent="0.3">
      <c r="A232" t="s">
        <v>458</v>
      </c>
      <c r="B232" t="s">
        <v>33</v>
      </c>
      <c r="C232" s="5">
        <v>45778</v>
      </c>
      <c r="D232" t="s">
        <v>22</v>
      </c>
      <c r="E232" t="s">
        <v>113</v>
      </c>
      <c r="F232">
        <v>1430</v>
      </c>
      <c r="G232">
        <v>376</v>
      </c>
      <c r="H232">
        <v>33</v>
      </c>
      <c r="I232">
        <v>21450</v>
      </c>
      <c r="J232">
        <v>20509</v>
      </c>
      <c r="K232">
        <v>251</v>
      </c>
      <c r="L232" t="s">
        <v>62</v>
      </c>
      <c r="O232" t="s">
        <v>19</v>
      </c>
      <c r="P232" t="s">
        <v>19</v>
      </c>
      <c r="Q232" t="s">
        <v>38</v>
      </c>
    </row>
    <row r="233" spans="1:17" x14ac:dyDescent="0.3">
      <c r="A233" t="s">
        <v>459</v>
      </c>
      <c r="B233" t="s">
        <v>14</v>
      </c>
      <c r="C233" s="5">
        <v>45776</v>
      </c>
      <c r="D233" t="s">
        <v>35</v>
      </c>
      <c r="E233" t="s">
        <v>149</v>
      </c>
      <c r="F233">
        <v>249</v>
      </c>
      <c r="G233">
        <v>592</v>
      </c>
      <c r="H233">
        <v>230</v>
      </c>
      <c r="I233">
        <v>1494</v>
      </c>
      <c r="J233">
        <v>1044</v>
      </c>
      <c r="K233">
        <v>201</v>
      </c>
      <c r="L233" t="s">
        <v>37</v>
      </c>
      <c r="O233" t="s">
        <v>38</v>
      </c>
      <c r="P233" t="s">
        <v>38</v>
      </c>
      <c r="Q233" t="s">
        <v>19</v>
      </c>
    </row>
    <row r="234" spans="1:17" x14ac:dyDescent="0.3">
      <c r="A234" t="s">
        <v>461</v>
      </c>
      <c r="B234" t="s">
        <v>43</v>
      </c>
      <c r="C234" s="5">
        <v>45724</v>
      </c>
      <c r="D234" t="s">
        <v>52</v>
      </c>
      <c r="E234" t="s">
        <v>59</v>
      </c>
      <c r="F234">
        <v>2382</v>
      </c>
      <c r="G234">
        <v>265</v>
      </c>
      <c r="H234">
        <v>134</v>
      </c>
      <c r="I234">
        <v>38112</v>
      </c>
      <c r="J234">
        <v>37437</v>
      </c>
      <c r="K234">
        <v>249</v>
      </c>
      <c r="L234" t="s">
        <v>62</v>
      </c>
      <c r="O234" t="s">
        <v>38</v>
      </c>
      <c r="P234" t="s">
        <v>38</v>
      </c>
      <c r="Q234" t="s">
        <v>38</v>
      </c>
    </row>
    <row r="235" spans="1:17" x14ac:dyDescent="0.3">
      <c r="A235" t="s">
        <v>462</v>
      </c>
      <c r="B235" t="s">
        <v>43</v>
      </c>
      <c r="C235" s="5">
        <v>45444</v>
      </c>
      <c r="D235" t="s">
        <v>22</v>
      </c>
      <c r="E235" t="s">
        <v>56</v>
      </c>
      <c r="F235">
        <v>1272</v>
      </c>
      <c r="G235">
        <v>465</v>
      </c>
      <c r="H235">
        <v>99</v>
      </c>
      <c r="I235">
        <v>24168</v>
      </c>
      <c r="J235">
        <v>23719</v>
      </c>
      <c r="K235">
        <v>42</v>
      </c>
      <c r="L235" t="s">
        <v>30</v>
      </c>
      <c r="P235" t="s">
        <v>25</v>
      </c>
      <c r="Q235" t="s">
        <v>19</v>
      </c>
    </row>
    <row r="236" spans="1:17" x14ac:dyDescent="0.3">
      <c r="A236" t="s">
        <v>464</v>
      </c>
      <c r="B236" t="s">
        <v>43</v>
      </c>
      <c r="C236" s="5">
        <v>45648</v>
      </c>
      <c r="D236" t="s">
        <v>52</v>
      </c>
      <c r="E236" t="s">
        <v>59</v>
      </c>
      <c r="F236">
        <v>3196</v>
      </c>
      <c r="G236">
        <v>941</v>
      </c>
      <c r="H236">
        <v>376</v>
      </c>
      <c r="I236">
        <v>35156</v>
      </c>
      <c r="J236">
        <v>34444</v>
      </c>
      <c r="K236">
        <v>241</v>
      </c>
      <c r="L236" t="s">
        <v>30</v>
      </c>
      <c r="O236" t="s">
        <v>31</v>
      </c>
      <c r="P236" t="s">
        <v>31</v>
      </c>
      <c r="Q236" t="s">
        <v>19</v>
      </c>
    </row>
    <row r="237" spans="1:17" x14ac:dyDescent="0.3">
      <c r="A237" t="s">
        <v>465</v>
      </c>
      <c r="B237" t="s">
        <v>43</v>
      </c>
      <c r="C237" s="5">
        <v>45523</v>
      </c>
      <c r="D237" t="s">
        <v>22</v>
      </c>
      <c r="E237" t="s">
        <v>56</v>
      </c>
      <c r="F237">
        <v>1257</v>
      </c>
      <c r="G237">
        <v>19</v>
      </c>
      <c r="H237">
        <v>351</v>
      </c>
      <c r="I237">
        <v>12570</v>
      </c>
      <c r="J237">
        <v>11660</v>
      </c>
      <c r="K237">
        <v>194</v>
      </c>
      <c r="L237" t="s">
        <v>62</v>
      </c>
      <c r="M237" t="s">
        <v>615</v>
      </c>
      <c r="N237" t="s">
        <v>37</v>
      </c>
      <c r="O237" t="s">
        <v>25</v>
      </c>
      <c r="P237" t="s">
        <v>25</v>
      </c>
      <c r="Q237" t="s">
        <v>38</v>
      </c>
    </row>
    <row r="238" spans="1:17" x14ac:dyDescent="0.3">
      <c r="A238" t="s">
        <v>467</v>
      </c>
      <c r="B238" t="s">
        <v>33</v>
      </c>
      <c r="C238" s="5">
        <v>45587</v>
      </c>
      <c r="D238" t="s">
        <v>35</v>
      </c>
      <c r="E238" t="s">
        <v>36</v>
      </c>
      <c r="F238">
        <v>3770</v>
      </c>
      <c r="G238">
        <v>917</v>
      </c>
      <c r="H238">
        <v>129</v>
      </c>
      <c r="I238">
        <v>71630</v>
      </c>
      <c r="J238">
        <v>71322</v>
      </c>
      <c r="K238">
        <v>76</v>
      </c>
      <c r="L238" t="s">
        <v>62</v>
      </c>
      <c r="O238" t="s">
        <v>19</v>
      </c>
      <c r="P238" t="s">
        <v>19</v>
      </c>
      <c r="Q238" t="s">
        <v>38</v>
      </c>
    </row>
    <row r="239" spans="1:17" x14ac:dyDescent="0.3">
      <c r="A239" t="s">
        <v>468</v>
      </c>
      <c r="B239" t="s">
        <v>14</v>
      </c>
      <c r="C239" s="5">
        <v>45489</v>
      </c>
      <c r="D239" t="s">
        <v>22</v>
      </c>
      <c r="E239" t="s">
        <v>23</v>
      </c>
      <c r="F239">
        <v>4725</v>
      </c>
      <c r="G239">
        <v>400</v>
      </c>
      <c r="H239">
        <v>362</v>
      </c>
      <c r="I239">
        <v>75600</v>
      </c>
      <c r="J239">
        <v>74927</v>
      </c>
      <c r="K239">
        <v>43</v>
      </c>
      <c r="L239" t="s">
        <v>62</v>
      </c>
      <c r="O239" t="s">
        <v>38</v>
      </c>
      <c r="P239" t="s">
        <v>38</v>
      </c>
      <c r="Q239" t="s">
        <v>38</v>
      </c>
    </row>
    <row r="240" spans="1:17" x14ac:dyDescent="0.3">
      <c r="A240" t="s">
        <v>470</v>
      </c>
      <c r="B240" t="s">
        <v>27</v>
      </c>
      <c r="C240" s="5">
        <v>45712</v>
      </c>
      <c r="D240" t="s">
        <v>22</v>
      </c>
      <c r="E240" t="s">
        <v>104</v>
      </c>
      <c r="F240">
        <v>4188</v>
      </c>
      <c r="G240">
        <v>942</v>
      </c>
      <c r="H240">
        <v>118</v>
      </c>
      <c r="I240">
        <v>20940</v>
      </c>
      <c r="J240">
        <v>20471</v>
      </c>
      <c r="K240">
        <v>102</v>
      </c>
      <c r="L240" t="s">
        <v>62</v>
      </c>
      <c r="P240" t="s">
        <v>38</v>
      </c>
      <c r="Q240" t="s">
        <v>38</v>
      </c>
    </row>
    <row r="241" spans="1:17" x14ac:dyDescent="0.3">
      <c r="A241" t="s">
        <v>471</v>
      </c>
      <c r="B241" t="s">
        <v>14</v>
      </c>
      <c r="C241" s="5">
        <v>45530</v>
      </c>
      <c r="D241" t="s">
        <v>45</v>
      </c>
      <c r="E241" t="s">
        <v>49</v>
      </c>
      <c r="F241">
        <v>929</v>
      </c>
      <c r="G241">
        <v>192</v>
      </c>
      <c r="H241">
        <v>322</v>
      </c>
      <c r="I241">
        <v>16722</v>
      </c>
      <c r="J241">
        <v>15996</v>
      </c>
      <c r="K241">
        <v>145</v>
      </c>
      <c r="L241" t="s">
        <v>37</v>
      </c>
      <c r="M241" t="s">
        <v>30</v>
      </c>
      <c r="N241" t="s">
        <v>615</v>
      </c>
      <c r="O241" t="s">
        <v>31</v>
      </c>
      <c r="P241" t="s">
        <v>31</v>
      </c>
      <c r="Q241" t="s">
        <v>19</v>
      </c>
    </row>
    <row r="242" spans="1:17" x14ac:dyDescent="0.3">
      <c r="A242" t="s">
        <v>472</v>
      </c>
      <c r="B242" t="s">
        <v>43</v>
      </c>
      <c r="C242" s="5">
        <v>45675</v>
      </c>
      <c r="D242" t="s">
        <v>35</v>
      </c>
      <c r="E242" t="s">
        <v>71</v>
      </c>
      <c r="F242">
        <v>4321</v>
      </c>
      <c r="G242">
        <v>874</v>
      </c>
      <c r="H242">
        <v>172</v>
      </c>
      <c r="I242">
        <v>30247</v>
      </c>
      <c r="J242">
        <v>29254</v>
      </c>
      <c r="K242">
        <v>122</v>
      </c>
      <c r="L242" t="s">
        <v>30</v>
      </c>
      <c r="O242" t="s">
        <v>38</v>
      </c>
      <c r="P242" t="s">
        <v>38</v>
      </c>
      <c r="Q242" t="s">
        <v>19</v>
      </c>
    </row>
    <row r="243" spans="1:17" x14ac:dyDescent="0.3">
      <c r="A243" t="s">
        <v>474</v>
      </c>
      <c r="B243" t="s">
        <v>43</v>
      </c>
      <c r="C243" s="5">
        <v>45480</v>
      </c>
      <c r="D243" t="s">
        <v>16</v>
      </c>
      <c r="E243" t="s">
        <v>65</v>
      </c>
      <c r="F243">
        <v>4767</v>
      </c>
      <c r="G243">
        <v>190</v>
      </c>
      <c r="H243">
        <v>340</v>
      </c>
      <c r="I243">
        <v>28602</v>
      </c>
      <c r="J243">
        <v>28044</v>
      </c>
      <c r="K243">
        <v>210</v>
      </c>
      <c r="L243" t="s">
        <v>37</v>
      </c>
      <c r="O243" t="s">
        <v>31</v>
      </c>
      <c r="P243" t="s">
        <v>31</v>
      </c>
      <c r="Q243" t="s">
        <v>19</v>
      </c>
    </row>
    <row r="244" spans="1:17" x14ac:dyDescent="0.3">
      <c r="A244" t="s">
        <v>475</v>
      </c>
      <c r="B244" t="s">
        <v>14</v>
      </c>
      <c r="C244" s="5">
        <v>45722</v>
      </c>
      <c r="D244" t="s">
        <v>52</v>
      </c>
      <c r="E244" t="s">
        <v>132</v>
      </c>
      <c r="F244">
        <v>3592</v>
      </c>
      <c r="G244">
        <v>911</v>
      </c>
      <c r="H244">
        <v>375</v>
      </c>
      <c r="I244">
        <v>50288</v>
      </c>
      <c r="J244">
        <v>49490</v>
      </c>
      <c r="K244">
        <v>32</v>
      </c>
      <c r="L244" t="s">
        <v>62</v>
      </c>
      <c r="O244" t="s">
        <v>38</v>
      </c>
      <c r="P244" t="s">
        <v>38</v>
      </c>
      <c r="Q244" t="s">
        <v>38</v>
      </c>
    </row>
    <row r="245" spans="1:17" x14ac:dyDescent="0.3">
      <c r="A245" t="s">
        <v>477</v>
      </c>
      <c r="B245" t="s">
        <v>27</v>
      </c>
      <c r="C245" s="5">
        <v>45590</v>
      </c>
      <c r="D245" t="s">
        <v>74</v>
      </c>
      <c r="E245" t="s">
        <v>219</v>
      </c>
      <c r="F245">
        <v>4661</v>
      </c>
      <c r="G245">
        <v>935</v>
      </c>
      <c r="H245">
        <v>433</v>
      </c>
      <c r="I245">
        <v>23305</v>
      </c>
      <c r="J245">
        <v>22583</v>
      </c>
      <c r="K245">
        <v>63</v>
      </c>
      <c r="L245" t="s">
        <v>62</v>
      </c>
      <c r="O245" t="s">
        <v>31</v>
      </c>
      <c r="P245" t="s">
        <v>31</v>
      </c>
      <c r="Q245" t="s">
        <v>38</v>
      </c>
    </row>
    <row r="246" spans="1:17" x14ac:dyDescent="0.3">
      <c r="A246" t="s">
        <v>479</v>
      </c>
      <c r="B246" t="s">
        <v>43</v>
      </c>
      <c r="C246" s="5">
        <v>45669</v>
      </c>
      <c r="D246" t="s">
        <v>16</v>
      </c>
      <c r="E246" t="s">
        <v>65</v>
      </c>
      <c r="F246">
        <v>4134</v>
      </c>
      <c r="G246">
        <v>824</v>
      </c>
      <c r="H246">
        <v>99</v>
      </c>
      <c r="I246">
        <v>41340</v>
      </c>
      <c r="J246">
        <v>41050</v>
      </c>
      <c r="K246">
        <v>177</v>
      </c>
      <c r="L246" t="s">
        <v>37</v>
      </c>
      <c r="O246" t="s">
        <v>19</v>
      </c>
      <c r="P246" t="s">
        <v>19</v>
      </c>
      <c r="Q246" t="s">
        <v>19</v>
      </c>
    </row>
    <row r="247" spans="1:17" x14ac:dyDescent="0.3">
      <c r="A247" t="s">
        <v>481</v>
      </c>
      <c r="B247" t="s">
        <v>43</v>
      </c>
      <c r="C247" s="5">
        <v>45576</v>
      </c>
      <c r="D247" t="s">
        <v>52</v>
      </c>
      <c r="E247" t="s">
        <v>59</v>
      </c>
      <c r="F247">
        <v>400</v>
      </c>
      <c r="G247">
        <v>680</v>
      </c>
      <c r="H247">
        <v>434</v>
      </c>
      <c r="I247">
        <v>6400</v>
      </c>
      <c r="J247">
        <v>5472</v>
      </c>
      <c r="K247">
        <v>160</v>
      </c>
      <c r="L247" t="s">
        <v>62</v>
      </c>
      <c r="O247" t="s">
        <v>25</v>
      </c>
      <c r="P247" t="s">
        <v>25</v>
      </c>
      <c r="Q247" t="s">
        <v>38</v>
      </c>
    </row>
    <row r="248" spans="1:17" x14ac:dyDescent="0.3">
      <c r="A248" t="s">
        <v>483</v>
      </c>
      <c r="B248" t="s">
        <v>43</v>
      </c>
      <c r="C248" s="5">
        <v>45531</v>
      </c>
      <c r="D248" t="s">
        <v>16</v>
      </c>
      <c r="E248" t="s">
        <v>65</v>
      </c>
      <c r="F248">
        <v>3960</v>
      </c>
      <c r="G248">
        <v>266</v>
      </c>
      <c r="H248">
        <v>8</v>
      </c>
      <c r="I248">
        <v>35640</v>
      </c>
      <c r="J248">
        <v>34850</v>
      </c>
      <c r="K248">
        <v>208</v>
      </c>
      <c r="L248" t="s">
        <v>62</v>
      </c>
      <c r="M248" t="s">
        <v>37</v>
      </c>
      <c r="N248" t="s">
        <v>616</v>
      </c>
      <c r="P248" t="s">
        <v>19</v>
      </c>
      <c r="Q248" t="s">
        <v>38</v>
      </c>
    </row>
    <row r="249" spans="1:17" x14ac:dyDescent="0.3">
      <c r="A249" t="s">
        <v>486</v>
      </c>
      <c r="B249" t="s">
        <v>43</v>
      </c>
      <c r="C249" s="5">
        <v>45690</v>
      </c>
      <c r="D249" t="s">
        <v>35</v>
      </c>
      <c r="E249" t="s">
        <v>71</v>
      </c>
      <c r="F249">
        <v>886</v>
      </c>
      <c r="G249">
        <v>126</v>
      </c>
      <c r="H249">
        <v>153</v>
      </c>
      <c r="I249">
        <v>4430</v>
      </c>
      <c r="J249">
        <v>4037</v>
      </c>
      <c r="K249">
        <v>212</v>
      </c>
      <c r="L249" t="s">
        <v>37</v>
      </c>
      <c r="P249" t="s">
        <v>19</v>
      </c>
      <c r="Q249" t="s">
        <v>19</v>
      </c>
    </row>
    <row r="250" spans="1:17" x14ac:dyDescent="0.3">
      <c r="A250" t="s">
        <v>487</v>
      </c>
      <c r="B250" t="s">
        <v>14</v>
      </c>
      <c r="C250" s="5">
        <v>45491</v>
      </c>
      <c r="D250" t="s">
        <v>52</v>
      </c>
      <c r="E250" t="s">
        <v>132</v>
      </c>
      <c r="F250">
        <v>827</v>
      </c>
      <c r="G250">
        <v>77</v>
      </c>
      <c r="H250">
        <v>402</v>
      </c>
      <c r="I250">
        <v>14886</v>
      </c>
      <c r="J250">
        <v>14129</v>
      </c>
      <c r="K250">
        <v>254</v>
      </c>
      <c r="L250" t="s">
        <v>37</v>
      </c>
      <c r="O250" t="s">
        <v>25</v>
      </c>
      <c r="P250" t="s">
        <v>25</v>
      </c>
      <c r="Q250" t="s">
        <v>19</v>
      </c>
    </row>
    <row r="251" spans="1:17" x14ac:dyDescent="0.3">
      <c r="A251" t="s">
        <v>488</v>
      </c>
      <c r="B251" t="s">
        <v>43</v>
      </c>
      <c r="C251" s="5">
        <v>45465</v>
      </c>
      <c r="D251" t="s">
        <v>16</v>
      </c>
      <c r="E251" t="s">
        <v>65</v>
      </c>
      <c r="F251">
        <v>3813</v>
      </c>
      <c r="G251">
        <v>935</v>
      </c>
      <c r="H251">
        <v>274</v>
      </c>
      <c r="I251">
        <v>68634</v>
      </c>
      <c r="J251">
        <v>68488</v>
      </c>
      <c r="K251">
        <v>251</v>
      </c>
      <c r="L251" t="s">
        <v>62</v>
      </c>
      <c r="P251" t="s">
        <v>38</v>
      </c>
      <c r="Q251" t="s">
        <v>38</v>
      </c>
    </row>
    <row r="252" spans="1:17" x14ac:dyDescent="0.3">
      <c r="A252" t="s">
        <v>489</v>
      </c>
      <c r="B252" t="s">
        <v>33</v>
      </c>
      <c r="C252" s="5">
        <v>45743</v>
      </c>
      <c r="D252" t="s">
        <v>45</v>
      </c>
      <c r="E252" t="s">
        <v>88</v>
      </c>
      <c r="F252">
        <v>1377</v>
      </c>
      <c r="G252">
        <v>796</v>
      </c>
      <c r="H252">
        <v>387</v>
      </c>
      <c r="I252">
        <v>22032</v>
      </c>
      <c r="J252">
        <v>21869</v>
      </c>
      <c r="K252">
        <v>189</v>
      </c>
      <c r="L252" t="s">
        <v>62</v>
      </c>
      <c r="P252" t="s">
        <v>38</v>
      </c>
      <c r="Q252" t="s">
        <v>38</v>
      </c>
    </row>
    <row r="253" spans="1:17" x14ac:dyDescent="0.3">
      <c r="A253" t="s">
        <v>491</v>
      </c>
      <c r="B253" t="s">
        <v>43</v>
      </c>
      <c r="C253" s="5">
        <v>45775</v>
      </c>
      <c r="D253" t="s">
        <v>45</v>
      </c>
      <c r="E253" t="s">
        <v>46</v>
      </c>
      <c r="F253">
        <v>2089</v>
      </c>
      <c r="G253">
        <v>476</v>
      </c>
      <c r="H253">
        <v>69</v>
      </c>
      <c r="I253">
        <v>16712</v>
      </c>
      <c r="J253">
        <v>16309</v>
      </c>
      <c r="K253">
        <v>64</v>
      </c>
      <c r="L253" t="s">
        <v>62</v>
      </c>
      <c r="O253" t="s">
        <v>31</v>
      </c>
      <c r="P253" t="s">
        <v>31</v>
      </c>
      <c r="Q253" t="s">
        <v>38</v>
      </c>
    </row>
    <row r="254" spans="1:17" x14ac:dyDescent="0.3">
      <c r="A254" t="s">
        <v>492</v>
      </c>
      <c r="B254" t="s">
        <v>14</v>
      </c>
      <c r="C254" s="5">
        <v>45507</v>
      </c>
      <c r="D254" t="s">
        <v>16</v>
      </c>
      <c r="E254" t="s">
        <v>17</v>
      </c>
      <c r="F254">
        <v>3791</v>
      </c>
      <c r="G254">
        <v>593</v>
      </c>
      <c r="H254">
        <v>228</v>
      </c>
      <c r="I254">
        <v>53074</v>
      </c>
      <c r="J254">
        <v>52613</v>
      </c>
      <c r="K254">
        <v>205</v>
      </c>
      <c r="L254" t="s">
        <v>37</v>
      </c>
      <c r="P254" t="s">
        <v>19</v>
      </c>
      <c r="Q254" t="s">
        <v>19</v>
      </c>
    </row>
    <row r="255" spans="1:17" x14ac:dyDescent="0.3">
      <c r="A255" t="s">
        <v>494</v>
      </c>
      <c r="B255" t="s">
        <v>14</v>
      </c>
      <c r="C255" s="5">
        <v>45671</v>
      </c>
      <c r="D255" t="s">
        <v>52</v>
      </c>
      <c r="E255" t="s">
        <v>132</v>
      </c>
      <c r="F255">
        <v>2692</v>
      </c>
      <c r="G255">
        <v>115</v>
      </c>
      <c r="H255">
        <v>64</v>
      </c>
      <c r="I255">
        <v>21536</v>
      </c>
      <c r="J255">
        <v>21120</v>
      </c>
      <c r="K255">
        <v>224</v>
      </c>
      <c r="L255" t="s">
        <v>62</v>
      </c>
      <c r="O255" t="s">
        <v>25</v>
      </c>
      <c r="P255" t="s">
        <v>25</v>
      </c>
      <c r="Q255" t="s">
        <v>38</v>
      </c>
    </row>
    <row r="256" spans="1:17" x14ac:dyDescent="0.3">
      <c r="A256" t="s">
        <v>496</v>
      </c>
      <c r="B256" t="s">
        <v>43</v>
      </c>
      <c r="C256" s="5">
        <v>45750</v>
      </c>
      <c r="D256" t="s">
        <v>35</v>
      </c>
      <c r="E256" t="s">
        <v>71</v>
      </c>
      <c r="F256">
        <v>3767</v>
      </c>
      <c r="G256">
        <v>514</v>
      </c>
      <c r="H256">
        <v>238</v>
      </c>
      <c r="I256">
        <v>37670</v>
      </c>
      <c r="J256">
        <v>36807</v>
      </c>
      <c r="K256">
        <v>226</v>
      </c>
      <c r="L256" t="s">
        <v>62</v>
      </c>
      <c r="O256" t="s">
        <v>38</v>
      </c>
      <c r="P256" t="s">
        <v>38</v>
      </c>
      <c r="Q256" t="s">
        <v>38</v>
      </c>
    </row>
    <row r="257" spans="1:17" x14ac:dyDescent="0.3">
      <c r="A257" t="s">
        <v>497</v>
      </c>
      <c r="B257" t="s">
        <v>27</v>
      </c>
      <c r="C257" s="5">
        <v>45553</v>
      </c>
      <c r="D257" t="s">
        <v>45</v>
      </c>
      <c r="E257" t="s">
        <v>68</v>
      </c>
      <c r="F257">
        <v>2143</v>
      </c>
      <c r="G257">
        <v>12</v>
      </c>
      <c r="H257">
        <v>204</v>
      </c>
      <c r="I257">
        <v>40717</v>
      </c>
      <c r="J257">
        <v>40125</v>
      </c>
      <c r="K257">
        <v>248</v>
      </c>
      <c r="L257" t="s">
        <v>37</v>
      </c>
      <c r="O257" t="s">
        <v>25</v>
      </c>
      <c r="P257" t="s">
        <v>25</v>
      </c>
      <c r="Q257" t="s">
        <v>19</v>
      </c>
    </row>
    <row r="258" spans="1:17" x14ac:dyDescent="0.3">
      <c r="A258" t="s">
        <v>498</v>
      </c>
      <c r="B258" t="s">
        <v>43</v>
      </c>
      <c r="C258" s="5">
        <v>45753</v>
      </c>
      <c r="D258" t="s">
        <v>52</v>
      </c>
      <c r="E258" t="s">
        <v>59</v>
      </c>
      <c r="F258">
        <v>3090</v>
      </c>
      <c r="G258">
        <v>697</v>
      </c>
      <c r="H258">
        <v>164</v>
      </c>
      <c r="I258">
        <v>49440</v>
      </c>
      <c r="J258">
        <v>48524</v>
      </c>
      <c r="K258">
        <v>25</v>
      </c>
      <c r="L258" t="s">
        <v>37</v>
      </c>
      <c r="M258" t="s">
        <v>37</v>
      </c>
      <c r="N258" t="s">
        <v>616</v>
      </c>
      <c r="O258" t="s">
        <v>25</v>
      </c>
      <c r="P258" t="s">
        <v>25</v>
      </c>
      <c r="Q258" t="s">
        <v>19</v>
      </c>
    </row>
    <row r="259" spans="1:17" x14ac:dyDescent="0.3">
      <c r="A259" t="s">
        <v>500</v>
      </c>
      <c r="B259" t="s">
        <v>33</v>
      </c>
      <c r="C259" s="5">
        <v>45509</v>
      </c>
      <c r="D259" t="s">
        <v>35</v>
      </c>
      <c r="E259" t="s">
        <v>36</v>
      </c>
      <c r="F259">
        <v>3601</v>
      </c>
      <c r="G259">
        <v>695</v>
      </c>
      <c r="H259">
        <v>75</v>
      </c>
      <c r="I259">
        <v>21606</v>
      </c>
      <c r="J259">
        <v>21454</v>
      </c>
      <c r="K259">
        <v>172</v>
      </c>
      <c r="L259" t="s">
        <v>37</v>
      </c>
      <c r="O259" t="s">
        <v>25</v>
      </c>
      <c r="P259" t="s">
        <v>25</v>
      </c>
      <c r="Q259" t="s">
        <v>19</v>
      </c>
    </row>
    <row r="260" spans="1:17" x14ac:dyDescent="0.3">
      <c r="A260" t="s">
        <v>502</v>
      </c>
      <c r="B260" t="s">
        <v>43</v>
      </c>
      <c r="C260" s="5">
        <v>45698</v>
      </c>
      <c r="D260" t="s">
        <v>22</v>
      </c>
      <c r="E260" t="s">
        <v>56</v>
      </c>
      <c r="F260">
        <v>562</v>
      </c>
      <c r="G260">
        <v>158</v>
      </c>
      <c r="H260">
        <v>149</v>
      </c>
      <c r="I260">
        <v>3372</v>
      </c>
      <c r="J260">
        <v>2940</v>
      </c>
      <c r="K260">
        <v>93</v>
      </c>
      <c r="L260" t="s">
        <v>30</v>
      </c>
      <c r="O260" t="s">
        <v>19</v>
      </c>
      <c r="P260" t="s">
        <v>19</v>
      </c>
      <c r="Q260" t="s">
        <v>19</v>
      </c>
    </row>
    <row r="261" spans="1:17" x14ac:dyDescent="0.3">
      <c r="A261" t="s">
        <v>503</v>
      </c>
      <c r="B261" t="s">
        <v>33</v>
      </c>
      <c r="C261" s="5">
        <v>45700</v>
      </c>
      <c r="D261" t="s">
        <v>35</v>
      </c>
      <c r="E261" t="s">
        <v>36</v>
      </c>
      <c r="F261">
        <v>4332</v>
      </c>
      <c r="G261">
        <v>771</v>
      </c>
      <c r="H261">
        <v>219</v>
      </c>
      <c r="I261">
        <v>60648</v>
      </c>
      <c r="J261">
        <v>60397</v>
      </c>
      <c r="K261">
        <v>10</v>
      </c>
      <c r="L261" t="s">
        <v>30</v>
      </c>
      <c r="M261" t="s">
        <v>37</v>
      </c>
      <c r="N261" t="s">
        <v>616</v>
      </c>
      <c r="O261" t="s">
        <v>31</v>
      </c>
      <c r="P261" t="s">
        <v>31</v>
      </c>
      <c r="Q261" t="s">
        <v>19</v>
      </c>
    </row>
    <row r="262" spans="1:17" x14ac:dyDescent="0.3">
      <c r="A262" t="s">
        <v>506</v>
      </c>
      <c r="B262" t="s">
        <v>33</v>
      </c>
      <c r="C262" s="5">
        <v>45592</v>
      </c>
      <c r="D262" t="s">
        <v>52</v>
      </c>
      <c r="E262" t="s">
        <v>215</v>
      </c>
      <c r="F262">
        <v>4853</v>
      </c>
      <c r="G262">
        <v>837</v>
      </c>
      <c r="H262">
        <v>340</v>
      </c>
      <c r="I262">
        <v>72795</v>
      </c>
      <c r="J262">
        <v>72237</v>
      </c>
      <c r="K262">
        <v>170</v>
      </c>
      <c r="L262" t="s">
        <v>37</v>
      </c>
      <c r="O262" t="s">
        <v>19</v>
      </c>
      <c r="P262" t="s">
        <v>19</v>
      </c>
      <c r="Q262" t="s">
        <v>19</v>
      </c>
    </row>
    <row r="263" spans="1:17" x14ac:dyDescent="0.3">
      <c r="A263" t="s">
        <v>508</v>
      </c>
      <c r="B263" t="s">
        <v>27</v>
      </c>
      <c r="C263" s="5">
        <v>45675</v>
      </c>
      <c r="D263" t="s">
        <v>52</v>
      </c>
      <c r="E263" t="s">
        <v>53</v>
      </c>
      <c r="F263">
        <v>1206</v>
      </c>
      <c r="G263">
        <v>238</v>
      </c>
      <c r="H263">
        <v>36</v>
      </c>
      <c r="I263">
        <v>9648</v>
      </c>
      <c r="J263">
        <v>9417</v>
      </c>
      <c r="K263">
        <v>237</v>
      </c>
      <c r="L263" t="s">
        <v>30</v>
      </c>
      <c r="P263" t="s">
        <v>25</v>
      </c>
      <c r="Q263" t="s">
        <v>19</v>
      </c>
    </row>
    <row r="264" spans="1:17" x14ac:dyDescent="0.3">
      <c r="A264" t="s">
        <v>509</v>
      </c>
      <c r="B264" t="s">
        <v>33</v>
      </c>
      <c r="C264" s="5">
        <v>45524</v>
      </c>
      <c r="D264" t="s">
        <v>16</v>
      </c>
      <c r="E264" t="s">
        <v>82</v>
      </c>
      <c r="F264">
        <v>2603</v>
      </c>
      <c r="G264">
        <v>690</v>
      </c>
      <c r="H264">
        <v>205</v>
      </c>
      <c r="I264">
        <v>13015</v>
      </c>
      <c r="J264">
        <v>12130</v>
      </c>
      <c r="K264">
        <v>20</v>
      </c>
      <c r="L264" t="s">
        <v>62</v>
      </c>
      <c r="O264" t="s">
        <v>25</v>
      </c>
      <c r="P264" t="s">
        <v>25</v>
      </c>
      <c r="Q264" t="s">
        <v>38</v>
      </c>
    </row>
    <row r="265" spans="1:17" x14ac:dyDescent="0.3">
      <c r="A265" t="s">
        <v>511</v>
      </c>
      <c r="B265" t="s">
        <v>14</v>
      </c>
      <c r="C265" s="5">
        <v>45687</v>
      </c>
      <c r="D265" t="s">
        <v>52</v>
      </c>
      <c r="E265" t="s">
        <v>132</v>
      </c>
      <c r="F265">
        <v>59</v>
      </c>
      <c r="G265">
        <v>163</v>
      </c>
      <c r="H265">
        <v>93</v>
      </c>
      <c r="I265">
        <v>590</v>
      </c>
      <c r="J265">
        <v>475</v>
      </c>
      <c r="K265">
        <v>293</v>
      </c>
      <c r="L265" t="s">
        <v>30</v>
      </c>
      <c r="O265" t="s">
        <v>25</v>
      </c>
      <c r="P265" t="s">
        <v>25</v>
      </c>
      <c r="Q265" t="s">
        <v>19</v>
      </c>
    </row>
    <row r="266" spans="1:17" x14ac:dyDescent="0.3">
      <c r="A266" t="s">
        <v>513</v>
      </c>
      <c r="B266" t="s">
        <v>14</v>
      </c>
      <c r="C266" s="5">
        <v>45708</v>
      </c>
      <c r="D266" t="s">
        <v>45</v>
      </c>
      <c r="E266" t="s">
        <v>49</v>
      </c>
      <c r="F266">
        <v>1877</v>
      </c>
      <c r="G266">
        <v>745</v>
      </c>
      <c r="H266">
        <v>225</v>
      </c>
      <c r="I266">
        <v>11262</v>
      </c>
      <c r="J266">
        <v>10967</v>
      </c>
      <c r="K266">
        <v>41</v>
      </c>
      <c r="L266" t="s">
        <v>37</v>
      </c>
      <c r="O266" t="s">
        <v>38</v>
      </c>
      <c r="P266" t="s">
        <v>38</v>
      </c>
      <c r="Q266" t="s">
        <v>19</v>
      </c>
    </row>
    <row r="267" spans="1:17" x14ac:dyDescent="0.3">
      <c r="A267" t="s">
        <v>515</v>
      </c>
      <c r="B267" t="s">
        <v>43</v>
      </c>
      <c r="C267" s="5">
        <v>45621</v>
      </c>
      <c r="D267" t="s">
        <v>35</v>
      </c>
      <c r="E267" t="s">
        <v>71</v>
      </c>
      <c r="F267">
        <v>4182</v>
      </c>
      <c r="G267">
        <v>640</v>
      </c>
      <c r="H267">
        <v>240</v>
      </c>
      <c r="I267">
        <v>50184</v>
      </c>
      <c r="J267">
        <v>49351</v>
      </c>
      <c r="K267">
        <v>10</v>
      </c>
      <c r="L267" t="s">
        <v>30</v>
      </c>
      <c r="O267" t="s">
        <v>31</v>
      </c>
      <c r="P267" t="s">
        <v>31</v>
      </c>
      <c r="Q267" t="s">
        <v>19</v>
      </c>
    </row>
    <row r="268" spans="1:17" x14ac:dyDescent="0.3">
      <c r="A268" t="s">
        <v>516</v>
      </c>
      <c r="B268" t="s">
        <v>14</v>
      </c>
      <c r="C268" s="5">
        <v>45569</v>
      </c>
      <c r="D268" t="s">
        <v>16</v>
      </c>
      <c r="E268" t="s">
        <v>17</v>
      </c>
      <c r="F268">
        <v>4187</v>
      </c>
      <c r="G268">
        <v>66</v>
      </c>
      <c r="H268">
        <v>31</v>
      </c>
      <c r="I268">
        <v>66992</v>
      </c>
      <c r="J268">
        <v>66614</v>
      </c>
      <c r="K268">
        <v>62</v>
      </c>
      <c r="L268" t="s">
        <v>62</v>
      </c>
      <c r="P268" t="s">
        <v>38</v>
      </c>
      <c r="Q268" t="s">
        <v>38</v>
      </c>
    </row>
    <row r="269" spans="1:17" x14ac:dyDescent="0.3">
      <c r="A269" t="s">
        <v>517</v>
      </c>
      <c r="B269" t="s">
        <v>33</v>
      </c>
      <c r="C269" s="5">
        <v>45760</v>
      </c>
      <c r="D269" t="s">
        <v>16</v>
      </c>
      <c r="E269" t="s">
        <v>82</v>
      </c>
      <c r="F269">
        <v>4579</v>
      </c>
      <c r="G269">
        <v>125</v>
      </c>
      <c r="H269">
        <v>300</v>
      </c>
      <c r="I269">
        <v>59527</v>
      </c>
      <c r="J269">
        <v>59400</v>
      </c>
      <c r="K269">
        <v>269</v>
      </c>
      <c r="L269" t="s">
        <v>37</v>
      </c>
      <c r="O269" t="s">
        <v>19</v>
      </c>
      <c r="P269" t="s">
        <v>19</v>
      </c>
      <c r="Q269" t="s">
        <v>19</v>
      </c>
    </row>
    <row r="270" spans="1:17" x14ac:dyDescent="0.3">
      <c r="A270" t="s">
        <v>519</v>
      </c>
      <c r="B270" t="s">
        <v>33</v>
      </c>
      <c r="C270" s="5">
        <v>45601</v>
      </c>
      <c r="D270" t="s">
        <v>74</v>
      </c>
      <c r="E270" t="s">
        <v>85</v>
      </c>
      <c r="F270">
        <v>4561</v>
      </c>
      <c r="G270">
        <v>51</v>
      </c>
      <c r="H270">
        <v>441</v>
      </c>
      <c r="I270">
        <v>22805</v>
      </c>
      <c r="J270">
        <v>21890</v>
      </c>
      <c r="K270">
        <v>45</v>
      </c>
      <c r="L270" t="s">
        <v>30</v>
      </c>
      <c r="O270" t="s">
        <v>25</v>
      </c>
      <c r="P270" t="s">
        <v>25</v>
      </c>
      <c r="Q270" t="s">
        <v>19</v>
      </c>
    </row>
    <row r="271" spans="1:17" x14ac:dyDescent="0.3">
      <c r="A271" t="s">
        <v>521</v>
      </c>
      <c r="B271" t="s">
        <v>27</v>
      </c>
      <c r="C271" s="5">
        <v>45672</v>
      </c>
      <c r="D271" t="s">
        <v>16</v>
      </c>
      <c r="E271" t="s">
        <v>29</v>
      </c>
      <c r="F271">
        <v>3774</v>
      </c>
      <c r="G271">
        <v>239</v>
      </c>
      <c r="H271">
        <v>39</v>
      </c>
      <c r="I271">
        <v>60384</v>
      </c>
      <c r="J271">
        <v>59490</v>
      </c>
      <c r="K271">
        <v>241</v>
      </c>
      <c r="L271" t="s">
        <v>30</v>
      </c>
      <c r="O271" t="s">
        <v>31</v>
      </c>
      <c r="P271" t="s">
        <v>31</v>
      </c>
      <c r="Q271" t="s">
        <v>19</v>
      </c>
    </row>
    <row r="272" spans="1:17" x14ac:dyDescent="0.3">
      <c r="A272" t="s">
        <v>522</v>
      </c>
      <c r="B272" t="s">
        <v>33</v>
      </c>
      <c r="C272" s="5">
        <v>45582</v>
      </c>
      <c r="D272" t="s">
        <v>74</v>
      </c>
      <c r="E272" t="s">
        <v>85</v>
      </c>
      <c r="F272">
        <v>3575</v>
      </c>
      <c r="G272">
        <v>749</v>
      </c>
      <c r="H272">
        <v>111</v>
      </c>
      <c r="I272">
        <v>21450</v>
      </c>
      <c r="J272">
        <v>20785</v>
      </c>
      <c r="K272">
        <v>195</v>
      </c>
      <c r="L272" t="s">
        <v>37</v>
      </c>
      <c r="O272" t="s">
        <v>25</v>
      </c>
      <c r="P272" t="s">
        <v>25</v>
      </c>
      <c r="Q272" t="s">
        <v>19</v>
      </c>
    </row>
    <row r="273" spans="1:17" x14ac:dyDescent="0.3">
      <c r="A273" t="s">
        <v>524</v>
      </c>
      <c r="B273" t="s">
        <v>33</v>
      </c>
      <c r="C273" s="5">
        <v>45743</v>
      </c>
      <c r="D273" t="s">
        <v>22</v>
      </c>
      <c r="E273" t="s">
        <v>113</v>
      </c>
      <c r="F273">
        <v>4941</v>
      </c>
      <c r="G273">
        <v>414</v>
      </c>
      <c r="H273">
        <v>266</v>
      </c>
      <c r="I273">
        <v>39528</v>
      </c>
      <c r="J273">
        <v>39154</v>
      </c>
      <c r="K273">
        <v>217</v>
      </c>
      <c r="L273" t="s">
        <v>30</v>
      </c>
      <c r="O273" t="s">
        <v>31</v>
      </c>
      <c r="P273" t="s">
        <v>31</v>
      </c>
      <c r="Q273" t="s">
        <v>19</v>
      </c>
    </row>
    <row r="274" spans="1:17" x14ac:dyDescent="0.3">
      <c r="A274" t="s">
        <v>525</v>
      </c>
      <c r="B274" t="s">
        <v>27</v>
      </c>
      <c r="C274" s="5">
        <v>45577</v>
      </c>
      <c r="D274" t="s">
        <v>35</v>
      </c>
      <c r="E274" t="s">
        <v>154</v>
      </c>
      <c r="F274">
        <v>3641</v>
      </c>
      <c r="G274">
        <v>226</v>
      </c>
      <c r="H274">
        <v>46</v>
      </c>
      <c r="I274">
        <v>40051</v>
      </c>
      <c r="J274">
        <v>39319</v>
      </c>
      <c r="K274">
        <v>296</v>
      </c>
      <c r="L274" t="s">
        <v>37</v>
      </c>
      <c r="O274" t="s">
        <v>38</v>
      </c>
      <c r="P274" t="s">
        <v>38</v>
      </c>
      <c r="Q274" t="s">
        <v>19</v>
      </c>
    </row>
    <row r="275" spans="1:17" x14ac:dyDescent="0.3">
      <c r="A275" t="s">
        <v>527</v>
      </c>
      <c r="B275" t="s">
        <v>14</v>
      </c>
      <c r="C275" s="5">
        <v>45658</v>
      </c>
      <c r="D275" t="s">
        <v>45</v>
      </c>
      <c r="E275" t="s">
        <v>49</v>
      </c>
      <c r="F275">
        <v>3535</v>
      </c>
      <c r="G275">
        <v>494</v>
      </c>
      <c r="H275">
        <v>152</v>
      </c>
      <c r="I275">
        <v>53025</v>
      </c>
      <c r="J275">
        <v>52791</v>
      </c>
      <c r="K275">
        <v>44</v>
      </c>
      <c r="L275" t="s">
        <v>30</v>
      </c>
      <c r="O275" t="s">
        <v>38</v>
      </c>
      <c r="P275" t="s">
        <v>38</v>
      </c>
      <c r="Q275" t="s">
        <v>19</v>
      </c>
    </row>
    <row r="276" spans="1:17" x14ac:dyDescent="0.3">
      <c r="A276" t="s">
        <v>528</v>
      </c>
      <c r="B276" t="s">
        <v>43</v>
      </c>
      <c r="C276" s="5">
        <v>45509</v>
      </c>
      <c r="D276" t="s">
        <v>16</v>
      </c>
      <c r="E276" t="s">
        <v>65</v>
      </c>
      <c r="F276">
        <v>1741</v>
      </c>
      <c r="G276">
        <v>831</v>
      </c>
      <c r="H276">
        <v>345</v>
      </c>
      <c r="I276">
        <v>17410</v>
      </c>
      <c r="J276">
        <v>16844</v>
      </c>
      <c r="K276">
        <v>58</v>
      </c>
      <c r="L276" t="s">
        <v>37</v>
      </c>
      <c r="O276" t="s">
        <v>31</v>
      </c>
      <c r="P276" t="s">
        <v>31</v>
      </c>
      <c r="Q276" t="s">
        <v>19</v>
      </c>
    </row>
    <row r="277" spans="1:17" x14ac:dyDescent="0.3">
      <c r="A277" t="s">
        <v>529</v>
      </c>
      <c r="B277" t="s">
        <v>14</v>
      </c>
      <c r="C277" s="5">
        <v>45450</v>
      </c>
      <c r="D277" t="s">
        <v>45</v>
      </c>
      <c r="E277" t="s">
        <v>49</v>
      </c>
      <c r="F277">
        <v>1556</v>
      </c>
      <c r="G277">
        <v>195</v>
      </c>
      <c r="H277">
        <v>131</v>
      </c>
      <c r="I277">
        <v>9336</v>
      </c>
      <c r="J277">
        <v>8875</v>
      </c>
      <c r="K277">
        <v>137</v>
      </c>
      <c r="L277" t="s">
        <v>30</v>
      </c>
      <c r="O277" t="s">
        <v>25</v>
      </c>
      <c r="P277" t="s">
        <v>25</v>
      </c>
      <c r="Q277" t="s">
        <v>19</v>
      </c>
    </row>
    <row r="278" spans="1:17" x14ac:dyDescent="0.3">
      <c r="A278" t="s">
        <v>531</v>
      </c>
      <c r="B278" t="s">
        <v>43</v>
      </c>
      <c r="C278" s="5">
        <v>45753</v>
      </c>
      <c r="D278" t="s">
        <v>52</v>
      </c>
      <c r="E278" t="s">
        <v>59</v>
      </c>
      <c r="F278">
        <v>4236</v>
      </c>
      <c r="G278">
        <v>711</v>
      </c>
      <c r="H278">
        <v>298</v>
      </c>
      <c r="I278">
        <v>21180</v>
      </c>
      <c r="J278">
        <v>20516</v>
      </c>
      <c r="K278">
        <v>238</v>
      </c>
      <c r="L278" t="s">
        <v>62</v>
      </c>
      <c r="O278" t="s">
        <v>19</v>
      </c>
      <c r="P278" t="s">
        <v>19</v>
      </c>
      <c r="Q278" t="s">
        <v>38</v>
      </c>
    </row>
    <row r="279" spans="1:17" x14ac:dyDescent="0.3">
      <c r="A279" t="s">
        <v>532</v>
      </c>
      <c r="B279" t="s">
        <v>14</v>
      </c>
      <c r="C279" s="5">
        <v>45622</v>
      </c>
      <c r="D279" t="s">
        <v>22</v>
      </c>
      <c r="E279" t="s">
        <v>23</v>
      </c>
      <c r="F279">
        <v>4516</v>
      </c>
      <c r="G279">
        <v>836</v>
      </c>
      <c r="H279">
        <v>169</v>
      </c>
      <c r="I279">
        <v>49676</v>
      </c>
      <c r="J279">
        <v>49257</v>
      </c>
      <c r="K279">
        <v>282</v>
      </c>
      <c r="L279" t="s">
        <v>37</v>
      </c>
      <c r="O279" t="s">
        <v>38</v>
      </c>
      <c r="P279" t="s">
        <v>38</v>
      </c>
      <c r="Q279" t="s">
        <v>19</v>
      </c>
    </row>
    <row r="280" spans="1:17" x14ac:dyDescent="0.3">
      <c r="A280" t="s">
        <v>534</v>
      </c>
      <c r="B280" t="s">
        <v>27</v>
      </c>
      <c r="C280" s="5">
        <v>45537</v>
      </c>
      <c r="D280" t="s">
        <v>52</v>
      </c>
      <c r="E280" t="s">
        <v>53</v>
      </c>
      <c r="F280">
        <v>4905</v>
      </c>
      <c r="G280">
        <v>845</v>
      </c>
      <c r="H280">
        <v>129</v>
      </c>
      <c r="I280">
        <v>98100</v>
      </c>
      <c r="J280">
        <v>97772</v>
      </c>
      <c r="K280">
        <v>279</v>
      </c>
      <c r="L280" t="s">
        <v>30</v>
      </c>
      <c r="O280" t="s">
        <v>25</v>
      </c>
      <c r="P280" t="s">
        <v>25</v>
      </c>
      <c r="Q280" t="s">
        <v>19</v>
      </c>
    </row>
    <row r="281" spans="1:17" x14ac:dyDescent="0.3">
      <c r="A281" t="s">
        <v>535</v>
      </c>
      <c r="B281" t="s">
        <v>27</v>
      </c>
      <c r="C281" s="5">
        <v>45586</v>
      </c>
      <c r="D281" t="s">
        <v>74</v>
      </c>
      <c r="E281" t="s">
        <v>219</v>
      </c>
      <c r="F281">
        <v>4275</v>
      </c>
      <c r="G281">
        <v>680</v>
      </c>
      <c r="H281">
        <v>385</v>
      </c>
      <c r="I281">
        <v>64125</v>
      </c>
      <c r="J281">
        <v>63650</v>
      </c>
      <c r="K281">
        <v>104</v>
      </c>
      <c r="L281" t="s">
        <v>37</v>
      </c>
      <c r="M281" t="s">
        <v>30</v>
      </c>
      <c r="N281" t="s">
        <v>615</v>
      </c>
      <c r="O281" t="s">
        <v>38</v>
      </c>
      <c r="P281" t="s">
        <v>38</v>
      </c>
      <c r="Q281" t="s">
        <v>19</v>
      </c>
    </row>
    <row r="282" spans="1:17" x14ac:dyDescent="0.3">
      <c r="A282" t="s">
        <v>536</v>
      </c>
      <c r="B282" t="s">
        <v>27</v>
      </c>
      <c r="C282" s="5">
        <v>45738</v>
      </c>
      <c r="D282" t="s">
        <v>52</v>
      </c>
      <c r="E282" t="s">
        <v>53</v>
      </c>
      <c r="F282">
        <v>3166</v>
      </c>
      <c r="G282">
        <v>90</v>
      </c>
      <c r="H282">
        <v>341</v>
      </c>
      <c r="I282">
        <v>56988</v>
      </c>
      <c r="J282">
        <v>56125</v>
      </c>
      <c r="K282">
        <v>135</v>
      </c>
      <c r="L282" t="s">
        <v>37</v>
      </c>
      <c r="O282" t="s">
        <v>25</v>
      </c>
      <c r="P282" t="s">
        <v>25</v>
      </c>
      <c r="Q282" t="s">
        <v>19</v>
      </c>
    </row>
    <row r="283" spans="1:17" x14ac:dyDescent="0.3">
      <c r="A283" t="s">
        <v>538</v>
      </c>
      <c r="B283" t="s">
        <v>33</v>
      </c>
      <c r="C283" s="5">
        <v>45568</v>
      </c>
      <c r="D283" t="s">
        <v>74</v>
      </c>
      <c r="E283" t="s">
        <v>85</v>
      </c>
      <c r="F283">
        <v>1488</v>
      </c>
      <c r="G283">
        <v>417</v>
      </c>
      <c r="H283">
        <v>168</v>
      </c>
      <c r="I283">
        <v>19344</v>
      </c>
      <c r="J283">
        <v>18395</v>
      </c>
      <c r="K283">
        <v>30</v>
      </c>
      <c r="L283" t="s">
        <v>62</v>
      </c>
      <c r="O283" t="s">
        <v>31</v>
      </c>
      <c r="P283" t="s">
        <v>31</v>
      </c>
      <c r="Q283" t="s">
        <v>38</v>
      </c>
    </row>
    <row r="284" spans="1:17" x14ac:dyDescent="0.3">
      <c r="A284" t="s">
        <v>540</v>
      </c>
      <c r="B284" t="s">
        <v>14</v>
      </c>
      <c r="C284" s="5">
        <v>45786</v>
      </c>
      <c r="D284" t="s">
        <v>16</v>
      </c>
      <c r="E284" t="s">
        <v>17</v>
      </c>
      <c r="F284">
        <v>3367</v>
      </c>
      <c r="G284">
        <v>302</v>
      </c>
      <c r="H284">
        <v>57</v>
      </c>
      <c r="I284">
        <v>63973</v>
      </c>
      <c r="J284">
        <v>63789</v>
      </c>
      <c r="K284">
        <v>157</v>
      </c>
      <c r="L284" t="s">
        <v>62</v>
      </c>
      <c r="O284" t="s">
        <v>25</v>
      </c>
      <c r="P284" t="s">
        <v>25</v>
      </c>
      <c r="Q284" t="s">
        <v>38</v>
      </c>
    </row>
    <row r="285" spans="1:17" x14ac:dyDescent="0.3">
      <c r="A285" t="s">
        <v>542</v>
      </c>
      <c r="B285" t="s">
        <v>14</v>
      </c>
      <c r="C285" s="5">
        <v>45552</v>
      </c>
      <c r="D285" t="s">
        <v>22</v>
      </c>
      <c r="E285" t="s">
        <v>23</v>
      </c>
      <c r="F285">
        <v>571</v>
      </c>
      <c r="G285">
        <v>190</v>
      </c>
      <c r="H285">
        <v>352</v>
      </c>
      <c r="I285">
        <v>9707</v>
      </c>
      <c r="J285">
        <v>9418</v>
      </c>
      <c r="K285">
        <v>231</v>
      </c>
      <c r="L285" t="s">
        <v>30</v>
      </c>
      <c r="O285" t="s">
        <v>38</v>
      </c>
      <c r="P285" t="s">
        <v>38</v>
      </c>
      <c r="Q285" t="s">
        <v>19</v>
      </c>
    </row>
    <row r="286" spans="1:17" x14ac:dyDescent="0.3">
      <c r="A286" t="s">
        <v>543</v>
      </c>
      <c r="B286" t="s">
        <v>27</v>
      </c>
      <c r="C286" s="5">
        <v>45491</v>
      </c>
      <c r="D286" t="s">
        <v>22</v>
      </c>
      <c r="E286" t="s">
        <v>104</v>
      </c>
      <c r="F286">
        <v>4021</v>
      </c>
      <c r="G286">
        <v>794</v>
      </c>
      <c r="H286">
        <v>77</v>
      </c>
      <c r="I286">
        <v>36189</v>
      </c>
      <c r="J286">
        <v>35505</v>
      </c>
      <c r="K286">
        <v>174</v>
      </c>
      <c r="L286" t="s">
        <v>37</v>
      </c>
      <c r="P286" t="s">
        <v>19</v>
      </c>
      <c r="Q286" t="s">
        <v>19</v>
      </c>
    </row>
    <row r="287" spans="1:17" x14ac:dyDescent="0.3">
      <c r="A287" t="s">
        <v>544</v>
      </c>
      <c r="B287" t="s">
        <v>27</v>
      </c>
      <c r="C287" s="5">
        <v>45560</v>
      </c>
      <c r="D287" t="s">
        <v>74</v>
      </c>
      <c r="E287" t="s">
        <v>219</v>
      </c>
      <c r="F287">
        <v>3389</v>
      </c>
      <c r="G287">
        <v>344</v>
      </c>
      <c r="H287">
        <v>229</v>
      </c>
      <c r="I287">
        <v>20334</v>
      </c>
      <c r="J287">
        <v>19443</v>
      </c>
      <c r="K287">
        <v>228</v>
      </c>
      <c r="L287" t="s">
        <v>62</v>
      </c>
      <c r="O287" t="s">
        <v>31</v>
      </c>
      <c r="P287" t="s">
        <v>31</v>
      </c>
      <c r="Q287" t="s">
        <v>38</v>
      </c>
    </row>
    <row r="288" spans="1:17" x14ac:dyDescent="0.3">
      <c r="A288" t="s">
        <v>546</v>
      </c>
      <c r="B288" t="s">
        <v>33</v>
      </c>
      <c r="C288" s="5">
        <v>45519</v>
      </c>
      <c r="D288" t="s">
        <v>16</v>
      </c>
      <c r="E288" t="s">
        <v>82</v>
      </c>
      <c r="F288">
        <v>1164</v>
      </c>
      <c r="G288">
        <v>616</v>
      </c>
      <c r="H288">
        <v>324</v>
      </c>
      <c r="I288">
        <v>6984</v>
      </c>
      <c r="J288">
        <v>6636</v>
      </c>
      <c r="K288">
        <v>82</v>
      </c>
      <c r="L288" t="s">
        <v>37</v>
      </c>
      <c r="O288" t="s">
        <v>19</v>
      </c>
      <c r="P288" t="s">
        <v>19</v>
      </c>
      <c r="Q288" t="s">
        <v>19</v>
      </c>
    </row>
    <row r="289" spans="1:17" x14ac:dyDescent="0.3">
      <c r="A289" t="s">
        <v>547</v>
      </c>
      <c r="B289" t="s">
        <v>27</v>
      </c>
      <c r="C289" s="5">
        <v>45764</v>
      </c>
      <c r="D289" t="s">
        <v>45</v>
      </c>
      <c r="E289" t="s">
        <v>68</v>
      </c>
      <c r="F289">
        <v>4780</v>
      </c>
      <c r="G289">
        <v>691</v>
      </c>
      <c r="H289">
        <v>380</v>
      </c>
      <c r="I289">
        <v>86040</v>
      </c>
      <c r="J289">
        <v>85743</v>
      </c>
      <c r="K289">
        <v>262</v>
      </c>
      <c r="L289" t="s">
        <v>62</v>
      </c>
      <c r="O289" t="s">
        <v>31</v>
      </c>
      <c r="P289" t="s">
        <v>31</v>
      </c>
      <c r="Q289" t="s">
        <v>38</v>
      </c>
    </row>
    <row r="290" spans="1:17" x14ac:dyDescent="0.3">
      <c r="A290" t="s">
        <v>549</v>
      </c>
      <c r="B290" t="s">
        <v>43</v>
      </c>
      <c r="C290" s="5">
        <v>45624</v>
      </c>
      <c r="D290" t="s">
        <v>45</v>
      </c>
      <c r="E290" t="s">
        <v>46</v>
      </c>
      <c r="F290">
        <v>2751</v>
      </c>
      <c r="G290">
        <v>33</v>
      </c>
      <c r="H290">
        <v>430</v>
      </c>
      <c r="I290">
        <v>44016</v>
      </c>
      <c r="J290">
        <v>43415</v>
      </c>
      <c r="K290">
        <v>129</v>
      </c>
      <c r="L290" t="s">
        <v>62</v>
      </c>
      <c r="P290" t="s">
        <v>38</v>
      </c>
      <c r="Q290" t="s">
        <v>38</v>
      </c>
    </row>
    <row r="291" spans="1:17" x14ac:dyDescent="0.3">
      <c r="A291" t="s">
        <v>550</v>
      </c>
      <c r="B291" t="s">
        <v>33</v>
      </c>
      <c r="C291" s="5">
        <v>45646</v>
      </c>
      <c r="D291" t="s">
        <v>45</v>
      </c>
      <c r="E291" t="s">
        <v>88</v>
      </c>
      <c r="F291">
        <v>2107</v>
      </c>
      <c r="G291">
        <v>550</v>
      </c>
      <c r="H291">
        <v>349</v>
      </c>
      <c r="I291">
        <v>35819</v>
      </c>
      <c r="J291">
        <v>35340</v>
      </c>
      <c r="K291">
        <v>191</v>
      </c>
      <c r="L291" t="s">
        <v>37</v>
      </c>
      <c r="O291" t="s">
        <v>38</v>
      </c>
      <c r="P291" t="s">
        <v>38</v>
      </c>
      <c r="Q291" t="s">
        <v>19</v>
      </c>
    </row>
    <row r="292" spans="1:17" x14ac:dyDescent="0.3">
      <c r="A292" t="s">
        <v>552</v>
      </c>
      <c r="B292" t="s">
        <v>43</v>
      </c>
      <c r="C292" s="5">
        <v>45602</v>
      </c>
      <c r="D292" t="s">
        <v>74</v>
      </c>
      <c r="E292" t="s">
        <v>75</v>
      </c>
      <c r="F292">
        <v>4663</v>
      </c>
      <c r="G292">
        <v>145</v>
      </c>
      <c r="H292">
        <v>225</v>
      </c>
      <c r="I292">
        <v>69945</v>
      </c>
      <c r="J292">
        <v>69596</v>
      </c>
      <c r="K292">
        <v>35</v>
      </c>
      <c r="L292" t="s">
        <v>37</v>
      </c>
      <c r="O292" t="s">
        <v>38</v>
      </c>
      <c r="P292" t="s">
        <v>38</v>
      </c>
      <c r="Q292" t="s">
        <v>19</v>
      </c>
    </row>
    <row r="293" spans="1:17" x14ac:dyDescent="0.3">
      <c r="A293" t="s">
        <v>553</v>
      </c>
      <c r="B293" t="s">
        <v>43</v>
      </c>
      <c r="C293" s="5">
        <v>45613</v>
      </c>
      <c r="D293" t="s">
        <v>22</v>
      </c>
      <c r="E293" t="s">
        <v>56</v>
      </c>
      <c r="F293">
        <v>880</v>
      </c>
      <c r="G293">
        <v>297</v>
      </c>
      <c r="H293">
        <v>345</v>
      </c>
      <c r="I293">
        <v>12320</v>
      </c>
      <c r="J293">
        <v>11978</v>
      </c>
      <c r="K293">
        <v>238</v>
      </c>
      <c r="L293" t="s">
        <v>30</v>
      </c>
      <c r="M293" t="s">
        <v>615</v>
      </c>
      <c r="P293" t="s">
        <v>25</v>
      </c>
      <c r="Q293" t="s">
        <v>19</v>
      </c>
    </row>
    <row r="294" spans="1:17" x14ac:dyDescent="0.3">
      <c r="A294" t="s">
        <v>555</v>
      </c>
      <c r="B294" t="s">
        <v>43</v>
      </c>
      <c r="C294" s="5">
        <v>45791</v>
      </c>
      <c r="D294" t="s">
        <v>22</v>
      </c>
      <c r="E294" t="s">
        <v>56</v>
      </c>
      <c r="F294">
        <v>2634</v>
      </c>
      <c r="G294">
        <v>726</v>
      </c>
      <c r="H294">
        <v>241</v>
      </c>
      <c r="I294">
        <v>28974</v>
      </c>
      <c r="J294">
        <v>28102</v>
      </c>
      <c r="K294">
        <v>277</v>
      </c>
      <c r="L294" t="s">
        <v>37</v>
      </c>
      <c r="O294" t="s">
        <v>19</v>
      </c>
      <c r="P294" t="s">
        <v>19</v>
      </c>
      <c r="Q294" t="s">
        <v>19</v>
      </c>
    </row>
    <row r="295" spans="1:17" x14ac:dyDescent="0.3">
      <c r="A295" t="s">
        <v>557</v>
      </c>
      <c r="B295" t="s">
        <v>43</v>
      </c>
      <c r="C295" s="5">
        <v>45462</v>
      </c>
      <c r="D295" t="s">
        <v>45</v>
      </c>
      <c r="E295" t="s">
        <v>46</v>
      </c>
      <c r="F295">
        <v>4731</v>
      </c>
      <c r="G295">
        <v>173</v>
      </c>
      <c r="H295">
        <v>276</v>
      </c>
      <c r="I295">
        <v>28386</v>
      </c>
      <c r="J295">
        <v>28185</v>
      </c>
      <c r="K295">
        <v>89</v>
      </c>
      <c r="L295" t="s">
        <v>37</v>
      </c>
      <c r="O295" t="s">
        <v>31</v>
      </c>
      <c r="P295" t="s">
        <v>31</v>
      </c>
      <c r="Q295" t="s">
        <v>19</v>
      </c>
    </row>
    <row r="296" spans="1:17" x14ac:dyDescent="0.3">
      <c r="A296" t="s">
        <v>559</v>
      </c>
      <c r="B296" t="s">
        <v>14</v>
      </c>
      <c r="C296" s="5">
        <v>45783</v>
      </c>
      <c r="D296" t="s">
        <v>52</v>
      </c>
      <c r="E296" t="s">
        <v>132</v>
      </c>
      <c r="F296">
        <v>1952</v>
      </c>
      <c r="G296">
        <v>344</v>
      </c>
      <c r="H296">
        <v>287</v>
      </c>
      <c r="I296">
        <v>15616</v>
      </c>
      <c r="J296">
        <v>15403</v>
      </c>
      <c r="K296">
        <v>235</v>
      </c>
      <c r="L296" t="s">
        <v>62</v>
      </c>
      <c r="M296" t="s">
        <v>30</v>
      </c>
      <c r="N296" t="s">
        <v>615</v>
      </c>
      <c r="O296" t="s">
        <v>25</v>
      </c>
      <c r="P296" t="s">
        <v>25</v>
      </c>
      <c r="Q296" t="s">
        <v>38</v>
      </c>
    </row>
    <row r="297" spans="1:17" x14ac:dyDescent="0.3">
      <c r="A297" t="s">
        <v>560</v>
      </c>
      <c r="B297" t="s">
        <v>14</v>
      </c>
      <c r="C297" s="5">
        <v>45699</v>
      </c>
      <c r="D297" t="s">
        <v>74</v>
      </c>
      <c r="E297" t="s">
        <v>145</v>
      </c>
      <c r="F297">
        <v>3440</v>
      </c>
      <c r="G297">
        <v>13</v>
      </c>
      <c r="H297">
        <v>20</v>
      </c>
      <c r="I297">
        <v>58480</v>
      </c>
      <c r="J297">
        <v>58146</v>
      </c>
      <c r="K297">
        <v>210</v>
      </c>
      <c r="L297" t="s">
        <v>30</v>
      </c>
      <c r="M297" t="s">
        <v>607</v>
      </c>
      <c r="O297" t="s">
        <v>38</v>
      </c>
      <c r="P297" t="s">
        <v>38</v>
      </c>
      <c r="Q297" t="s">
        <v>19</v>
      </c>
    </row>
    <row r="298" spans="1:17" x14ac:dyDescent="0.3">
      <c r="A298" t="s">
        <v>562</v>
      </c>
      <c r="B298" t="s">
        <v>14</v>
      </c>
      <c r="C298" s="5">
        <v>45650</v>
      </c>
      <c r="D298" t="s">
        <v>22</v>
      </c>
      <c r="E298" t="s">
        <v>23</v>
      </c>
      <c r="F298">
        <v>2166</v>
      </c>
      <c r="G298">
        <v>354</v>
      </c>
      <c r="H298">
        <v>117</v>
      </c>
      <c r="I298">
        <v>10830</v>
      </c>
      <c r="J298">
        <v>10245</v>
      </c>
      <c r="K298">
        <v>24</v>
      </c>
      <c r="L298" t="s">
        <v>37</v>
      </c>
      <c r="O298" t="s">
        <v>38</v>
      </c>
      <c r="P298" t="s">
        <v>38</v>
      </c>
      <c r="Q298" t="s">
        <v>19</v>
      </c>
    </row>
    <row r="299" spans="1:17" x14ac:dyDescent="0.3">
      <c r="A299" t="s">
        <v>564</v>
      </c>
      <c r="B299" t="s">
        <v>43</v>
      </c>
      <c r="C299" s="5">
        <v>45589</v>
      </c>
      <c r="D299" t="s">
        <v>52</v>
      </c>
      <c r="E299" t="s">
        <v>59</v>
      </c>
      <c r="F299">
        <v>4303</v>
      </c>
      <c r="G299">
        <v>451</v>
      </c>
      <c r="H299">
        <v>286</v>
      </c>
      <c r="I299">
        <v>86060</v>
      </c>
      <c r="J299">
        <v>85823</v>
      </c>
      <c r="K299">
        <v>14</v>
      </c>
      <c r="L299" t="s">
        <v>30</v>
      </c>
      <c r="O299" t="s">
        <v>31</v>
      </c>
      <c r="P299" t="s">
        <v>31</v>
      </c>
      <c r="Q299" t="s">
        <v>19</v>
      </c>
    </row>
    <row r="300" spans="1:17" x14ac:dyDescent="0.3">
      <c r="A300" t="s">
        <v>565</v>
      </c>
      <c r="B300" t="s">
        <v>43</v>
      </c>
      <c r="C300" s="5">
        <v>45530</v>
      </c>
      <c r="D300" t="s">
        <v>52</v>
      </c>
      <c r="E300" t="s">
        <v>59</v>
      </c>
      <c r="F300">
        <v>2581</v>
      </c>
      <c r="G300">
        <v>517</v>
      </c>
      <c r="H300">
        <v>117</v>
      </c>
      <c r="I300">
        <v>23229</v>
      </c>
      <c r="J300">
        <v>22331</v>
      </c>
      <c r="K300">
        <v>70</v>
      </c>
      <c r="L300" t="s">
        <v>62</v>
      </c>
      <c r="O300" t="s">
        <v>31</v>
      </c>
      <c r="P300" t="s">
        <v>31</v>
      </c>
      <c r="Q300" t="s">
        <v>38</v>
      </c>
    </row>
    <row r="301" spans="1:17" x14ac:dyDescent="0.3">
      <c r="A301" t="s">
        <v>566</v>
      </c>
      <c r="B301" t="s">
        <v>14</v>
      </c>
      <c r="C301" s="5">
        <v>45535</v>
      </c>
      <c r="D301" t="s">
        <v>45</v>
      </c>
      <c r="E301" t="s">
        <v>49</v>
      </c>
      <c r="F301">
        <v>4494</v>
      </c>
      <c r="G301">
        <v>717</v>
      </c>
      <c r="H301">
        <v>45</v>
      </c>
      <c r="I301">
        <v>62916</v>
      </c>
      <c r="J301">
        <v>62688</v>
      </c>
      <c r="K301">
        <v>191</v>
      </c>
      <c r="L301" t="s">
        <v>30</v>
      </c>
      <c r="M301" t="s">
        <v>37</v>
      </c>
      <c r="N301" t="s">
        <v>616</v>
      </c>
      <c r="O301" t="s">
        <v>19</v>
      </c>
      <c r="P301" t="s">
        <v>19</v>
      </c>
      <c r="Q301" t="s">
        <v>19</v>
      </c>
    </row>
  </sheetData>
  <pageMargins left="0.7" right="0.7" top="0.75" bottom="0.75" header="0.3" footer="0.3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888BA2-6704-4C87-BD58-5B5DF71637A2}">
  <dimension ref="A1:G8"/>
  <sheetViews>
    <sheetView workbookViewId="0">
      <selection activeCell="B4" sqref="B4"/>
    </sheetView>
  </sheetViews>
  <sheetFormatPr defaultRowHeight="14.4" x14ac:dyDescent="0.3"/>
  <cols>
    <col min="1" max="1" width="17.77734375" bestFit="1" customWidth="1"/>
    <col min="2" max="2" width="12.109375" bestFit="1" customWidth="1"/>
    <col min="3" max="3" width="11.33203125" bestFit="1" customWidth="1"/>
    <col min="4" max="4" width="19.5546875" bestFit="1" customWidth="1"/>
    <col min="5" max="5" width="14.44140625" bestFit="1" customWidth="1"/>
    <col min="6" max="6" width="17.77734375" bestFit="1" customWidth="1"/>
    <col min="7" max="7" width="20.21875" bestFit="1" customWidth="1"/>
  </cols>
  <sheetData>
    <row r="1" spans="1:7" x14ac:dyDescent="0.3">
      <c r="A1" t="s">
        <v>12</v>
      </c>
      <c r="B1" t="s">
        <v>591</v>
      </c>
      <c r="C1" t="s">
        <v>592</v>
      </c>
      <c r="D1" t="s">
        <v>593</v>
      </c>
      <c r="E1" t="s">
        <v>594</v>
      </c>
      <c r="F1" t="s">
        <v>595</v>
      </c>
      <c r="G1" t="s">
        <v>619</v>
      </c>
    </row>
    <row r="2" spans="1:7" x14ac:dyDescent="0.3">
      <c r="A2" t="s">
        <v>19</v>
      </c>
      <c r="B2" s="5">
        <v>45458</v>
      </c>
      <c r="C2" s="5">
        <v>45488</v>
      </c>
      <c r="D2" t="s">
        <v>598</v>
      </c>
      <c r="E2">
        <v>150000</v>
      </c>
      <c r="F2" t="s">
        <v>599</v>
      </c>
      <c r="G2" t="s">
        <v>37</v>
      </c>
    </row>
    <row r="3" spans="1:7" x14ac:dyDescent="0.3">
      <c r="A3" t="s">
        <v>19</v>
      </c>
      <c r="B3" s="5">
        <v>45458</v>
      </c>
      <c r="C3" s="5">
        <v>45488</v>
      </c>
      <c r="D3" t="s">
        <v>598</v>
      </c>
      <c r="E3">
        <v>150000</v>
      </c>
      <c r="F3" t="s">
        <v>599</v>
      </c>
      <c r="G3" t="s">
        <v>30</v>
      </c>
    </row>
    <row r="4" spans="1:7" x14ac:dyDescent="0.3">
      <c r="A4" t="s">
        <v>25</v>
      </c>
      <c r="B4" s="5">
        <v>45566</v>
      </c>
      <c r="C4" s="5">
        <v>45596</v>
      </c>
      <c r="D4" t="s">
        <v>601</v>
      </c>
      <c r="E4">
        <v>200000</v>
      </c>
      <c r="F4" t="s">
        <v>602</v>
      </c>
      <c r="G4" t="s">
        <v>615</v>
      </c>
    </row>
    <row r="5" spans="1:7" x14ac:dyDescent="0.3">
      <c r="A5" t="s">
        <v>31</v>
      </c>
      <c r="B5" s="5">
        <v>45651</v>
      </c>
      <c r="C5" s="5">
        <v>45667</v>
      </c>
      <c r="D5" t="s">
        <v>605</v>
      </c>
      <c r="E5">
        <v>250000</v>
      </c>
      <c r="F5" t="s">
        <v>606</v>
      </c>
      <c r="G5" t="s">
        <v>607</v>
      </c>
    </row>
    <row r="6" spans="1:7" x14ac:dyDescent="0.3">
      <c r="A6" t="s">
        <v>38</v>
      </c>
      <c r="B6" s="5">
        <v>45717</v>
      </c>
      <c r="C6" s="5">
        <v>45747</v>
      </c>
      <c r="D6" t="s">
        <v>609</v>
      </c>
      <c r="E6">
        <v>180000</v>
      </c>
      <c r="F6" t="s">
        <v>610</v>
      </c>
      <c r="G6" t="s">
        <v>616</v>
      </c>
    </row>
    <row r="7" spans="1:7" x14ac:dyDescent="0.3">
      <c r="A7" t="s">
        <v>38</v>
      </c>
      <c r="B7" s="5">
        <v>45717</v>
      </c>
      <c r="C7" s="5">
        <v>45747</v>
      </c>
      <c r="D7" t="s">
        <v>609</v>
      </c>
      <c r="E7">
        <v>180000</v>
      </c>
      <c r="F7" t="s">
        <v>610</v>
      </c>
      <c r="G7" t="s">
        <v>62</v>
      </c>
    </row>
    <row r="8" spans="1:7" x14ac:dyDescent="0.3">
      <c r="B8" s="5"/>
      <c r="C8" s="5"/>
      <c r="G8" t="s">
        <v>623</v>
      </c>
    </row>
  </sheetData>
  <pageMargins left="0.7" right="0.7" top="0.75" bottom="0.75" header="0.3" footer="0.3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000"/>
  <sheetViews>
    <sheetView workbookViewId="0">
      <selection activeCell="I16" sqref="I16"/>
    </sheetView>
  </sheetViews>
  <sheetFormatPr defaultColWidth="14.44140625" defaultRowHeight="15" customHeight="1" x14ac:dyDescent="0.3"/>
  <cols>
    <col min="1" max="1" width="17.44140625" style="3" customWidth="1"/>
    <col min="2" max="2" width="11.88671875" style="3" customWidth="1"/>
    <col min="3" max="3" width="12.77734375" style="3" customWidth="1"/>
    <col min="4" max="4" width="20.5546875" style="3" customWidth="1"/>
    <col min="5" max="5" width="12.88671875" style="3" customWidth="1"/>
    <col min="6" max="6" width="17.5546875" style="3" customWidth="1"/>
    <col min="7" max="7" width="32.5546875" style="3" customWidth="1"/>
    <col min="8" max="9" width="8.6640625" customWidth="1"/>
    <col min="10" max="10" width="10.44140625" customWidth="1"/>
    <col min="11" max="26" width="8.6640625" customWidth="1"/>
  </cols>
  <sheetData>
    <row r="1" spans="1:7" ht="14.4" x14ac:dyDescent="0.3">
      <c r="A1" s="1" t="s">
        <v>12</v>
      </c>
      <c r="B1" s="1" t="s">
        <v>591</v>
      </c>
      <c r="C1" s="1" t="s">
        <v>592</v>
      </c>
      <c r="D1" s="1" t="s">
        <v>593</v>
      </c>
      <c r="E1" s="1" t="s">
        <v>594</v>
      </c>
      <c r="F1" s="1" t="s">
        <v>595</v>
      </c>
      <c r="G1" s="1" t="s">
        <v>596</v>
      </c>
    </row>
    <row r="2" spans="1:7" ht="14.4" x14ac:dyDescent="0.3">
      <c r="A2" s="2" t="s">
        <v>19</v>
      </c>
      <c r="B2" s="2" t="s">
        <v>597</v>
      </c>
      <c r="C2" s="2" t="s">
        <v>315</v>
      </c>
      <c r="D2" s="2" t="s">
        <v>598</v>
      </c>
      <c r="E2" s="2">
        <v>150000</v>
      </c>
      <c r="F2" s="2" t="s">
        <v>599</v>
      </c>
      <c r="G2" s="2" t="s">
        <v>41</v>
      </c>
    </row>
    <row r="3" spans="1:7" ht="14.4" x14ac:dyDescent="0.3">
      <c r="A3" s="2" t="s">
        <v>25</v>
      </c>
      <c r="B3" s="2" t="s">
        <v>600</v>
      </c>
      <c r="C3" s="2" t="s">
        <v>44</v>
      </c>
      <c r="D3" s="2" t="s">
        <v>601</v>
      </c>
      <c r="E3" s="2">
        <v>200000</v>
      </c>
      <c r="F3" s="2" t="s">
        <v>602</v>
      </c>
      <c r="G3" s="2" t="s">
        <v>603</v>
      </c>
    </row>
    <row r="4" spans="1:7" ht="14.4" x14ac:dyDescent="0.3">
      <c r="A4" s="2" t="s">
        <v>31</v>
      </c>
      <c r="B4" s="2" t="s">
        <v>604</v>
      </c>
      <c r="C4" s="2" t="s">
        <v>230</v>
      </c>
      <c r="D4" s="2" t="s">
        <v>605</v>
      </c>
      <c r="E4" s="2">
        <v>250000</v>
      </c>
      <c r="F4" s="2" t="s">
        <v>606</v>
      </c>
      <c r="G4" s="2" t="s">
        <v>607</v>
      </c>
    </row>
    <row r="5" spans="1:7" ht="14.4" x14ac:dyDescent="0.3">
      <c r="A5" s="2" t="s">
        <v>38</v>
      </c>
      <c r="B5" s="2" t="s">
        <v>608</v>
      </c>
      <c r="C5" s="2" t="s">
        <v>588</v>
      </c>
      <c r="D5" s="2" t="s">
        <v>609</v>
      </c>
      <c r="E5" s="2">
        <v>180000</v>
      </c>
      <c r="F5" s="2" t="s">
        <v>610</v>
      </c>
      <c r="G5" s="2" t="s">
        <v>611</v>
      </c>
    </row>
    <row r="20" spans="10:10" ht="15" customHeight="1" x14ac:dyDescent="0.3">
      <c r="J20" t="s">
        <v>623</v>
      </c>
    </row>
    <row r="21" spans="10:10" ht="15.75" customHeight="1" x14ac:dyDescent="0.3"/>
    <row r="22" spans="10:10" ht="15.75" customHeight="1" x14ac:dyDescent="0.3"/>
    <row r="23" spans="10:10" ht="15.75" customHeight="1" x14ac:dyDescent="0.3"/>
    <row r="24" spans="10:10" ht="15.75" customHeight="1" x14ac:dyDescent="0.3"/>
    <row r="25" spans="10:10" ht="15.75" customHeight="1" x14ac:dyDescent="0.3"/>
    <row r="26" spans="10:10" ht="15.75" customHeight="1" x14ac:dyDescent="0.3"/>
    <row r="27" spans="10:10" ht="15.75" customHeight="1" x14ac:dyDescent="0.3"/>
    <row r="28" spans="10:10" ht="15.75" customHeight="1" x14ac:dyDescent="0.3"/>
    <row r="29" spans="10:10" ht="15.75" customHeight="1" x14ac:dyDescent="0.3"/>
    <row r="30" spans="10:10" ht="15.75" customHeight="1" x14ac:dyDescent="0.3"/>
    <row r="31" spans="10:10" ht="15.75" customHeight="1" x14ac:dyDescent="0.3"/>
    <row r="32" spans="10:10" ht="15.75" customHeight="1" x14ac:dyDescent="0.3"/>
    <row r="33" ht="15.75" customHeight="1" x14ac:dyDescent="0.3"/>
    <row r="34" ht="15.75" customHeight="1" x14ac:dyDescent="0.3"/>
    <row r="35" ht="15.75" customHeight="1" x14ac:dyDescent="0.3"/>
    <row r="36" ht="15.75" customHeight="1" x14ac:dyDescent="0.3"/>
    <row r="37" ht="15.75" customHeight="1" x14ac:dyDescent="0.3"/>
    <row r="38" ht="15.75" customHeight="1" x14ac:dyDescent="0.3"/>
    <row r="39" ht="15.75" customHeight="1" x14ac:dyDescent="0.3"/>
    <row r="40" ht="15.75" customHeight="1" x14ac:dyDescent="0.3"/>
    <row r="41" ht="15.75" customHeight="1" x14ac:dyDescent="0.3"/>
    <row r="42" ht="15.75" customHeight="1" x14ac:dyDescent="0.3"/>
    <row r="43" ht="15.75" customHeight="1" x14ac:dyDescent="0.3"/>
    <row r="44" ht="15.75" customHeight="1" x14ac:dyDescent="0.3"/>
    <row r="45" ht="15.75" customHeight="1" x14ac:dyDescent="0.3"/>
    <row r="46" ht="15.75" customHeight="1" x14ac:dyDescent="0.3"/>
    <row r="47" ht="15.75" customHeight="1" x14ac:dyDescent="0.3"/>
    <row r="48" ht="15.75" customHeight="1" x14ac:dyDescent="0.3"/>
    <row r="49" ht="15.75" customHeight="1" x14ac:dyDescent="0.3"/>
    <row r="50" ht="15.75" customHeight="1" x14ac:dyDescent="0.3"/>
    <row r="51" ht="15.75" customHeight="1" x14ac:dyDescent="0.3"/>
    <row r="52" ht="15.75" customHeight="1" x14ac:dyDescent="0.3"/>
    <row r="53" ht="15.75" customHeight="1" x14ac:dyDescent="0.3"/>
    <row r="54" ht="15.75" customHeight="1" x14ac:dyDescent="0.3"/>
    <row r="55" ht="15.75" customHeight="1" x14ac:dyDescent="0.3"/>
    <row r="56" ht="15.75" customHeight="1" x14ac:dyDescent="0.3"/>
    <row r="57" ht="15.75" customHeight="1" x14ac:dyDescent="0.3"/>
    <row r="58" ht="15.75" customHeight="1" x14ac:dyDescent="0.3"/>
    <row r="59" ht="15.75" customHeight="1" x14ac:dyDescent="0.3"/>
    <row r="60" ht="15.75" customHeight="1" x14ac:dyDescent="0.3"/>
    <row r="61" ht="15.75" customHeight="1" x14ac:dyDescent="0.3"/>
    <row r="62" ht="15.75" customHeight="1" x14ac:dyDescent="0.3"/>
    <row r="63" ht="15.75" customHeight="1" x14ac:dyDescent="0.3"/>
    <row r="64" ht="15.75" customHeight="1" x14ac:dyDescent="0.3"/>
    <row r="65" ht="15.75" customHeight="1" x14ac:dyDescent="0.3"/>
    <row r="66" ht="15.75" customHeight="1" x14ac:dyDescent="0.3"/>
    <row r="67" ht="15.75" customHeight="1" x14ac:dyDescent="0.3"/>
    <row r="68" ht="15.75" customHeight="1" x14ac:dyDescent="0.3"/>
    <row r="69" ht="15.75" customHeight="1" x14ac:dyDescent="0.3"/>
    <row r="70" ht="15.75" customHeight="1" x14ac:dyDescent="0.3"/>
    <row r="71" ht="15.75" customHeight="1" x14ac:dyDescent="0.3"/>
    <row r="72" ht="15.75" customHeight="1" x14ac:dyDescent="0.3"/>
    <row r="73" ht="15.75" customHeight="1" x14ac:dyDescent="0.3"/>
    <row r="74" ht="15.75" customHeight="1" x14ac:dyDescent="0.3"/>
    <row r="75" ht="15.75" customHeight="1" x14ac:dyDescent="0.3"/>
    <row r="76" ht="15.75" customHeight="1" x14ac:dyDescent="0.3"/>
    <row r="77" ht="15.75" customHeight="1" x14ac:dyDescent="0.3"/>
    <row r="78" ht="15.75" customHeight="1" x14ac:dyDescent="0.3"/>
    <row r="79" ht="15.75" customHeight="1" x14ac:dyDescent="0.3"/>
    <row r="80" ht="15.75" customHeight="1" x14ac:dyDescent="0.3"/>
    <row r="81" ht="15.75" customHeight="1" x14ac:dyDescent="0.3"/>
    <row r="82" ht="15.75" customHeight="1" x14ac:dyDescent="0.3"/>
    <row r="83" ht="15.75" customHeight="1" x14ac:dyDescent="0.3"/>
    <row r="84" ht="15.75" customHeight="1" x14ac:dyDescent="0.3"/>
    <row r="85" ht="15.75" customHeight="1" x14ac:dyDescent="0.3"/>
    <row r="86" ht="15.75" customHeight="1" x14ac:dyDescent="0.3"/>
    <row r="87" ht="15.75" customHeight="1" x14ac:dyDescent="0.3"/>
    <row r="88" ht="15.75" customHeight="1" x14ac:dyDescent="0.3"/>
    <row r="89" ht="15.75" customHeight="1" x14ac:dyDescent="0.3"/>
    <row r="90" ht="15.75" customHeight="1" x14ac:dyDescent="0.3"/>
    <row r="91" ht="15.75" customHeight="1" x14ac:dyDescent="0.3"/>
    <row r="92" ht="15.75" customHeight="1" x14ac:dyDescent="0.3"/>
    <row r="93" ht="15.75" customHeight="1" x14ac:dyDescent="0.3"/>
    <row r="94" ht="15.75" customHeight="1" x14ac:dyDescent="0.3"/>
    <row r="95" ht="15.75" customHeight="1" x14ac:dyDescent="0.3"/>
    <row r="96" ht="15.75" customHeight="1" x14ac:dyDescent="0.3"/>
    <row r="97" ht="15.75" customHeight="1" x14ac:dyDescent="0.3"/>
    <row r="98" ht="15.75" customHeight="1" x14ac:dyDescent="0.3"/>
    <row r="99" ht="15.75" customHeight="1" x14ac:dyDescent="0.3"/>
    <row r="100" ht="15.75" customHeight="1" x14ac:dyDescent="0.3"/>
    <row r="101" ht="15.75" customHeight="1" x14ac:dyDescent="0.3"/>
    <row r="102" ht="15.75" customHeight="1" x14ac:dyDescent="0.3"/>
    <row r="103" ht="15.75" customHeight="1" x14ac:dyDescent="0.3"/>
    <row r="104" ht="15.75" customHeight="1" x14ac:dyDescent="0.3"/>
    <row r="105" ht="15.75" customHeight="1" x14ac:dyDescent="0.3"/>
    <row r="106" ht="15.75" customHeight="1" x14ac:dyDescent="0.3"/>
    <row r="107" ht="15.75" customHeight="1" x14ac:dyDescent="0.3"/>
    <row r="108" ht="15.75" customHeight="1" x14ac:dyDescent="0.3"/>
    <row r="109" ht="15.75" customHeight="1" x14ac:dyDescent="0.3"/>
    <row r="110" ht="15.75" customHeight="1" x14ac:dyDescent="0.3"/>
    <row r="111" ht="15.75" customHeight="1" x14ac:dyDescent="0.3"/>
    <row r="112" ht="15.75" customHeight="1" x14ac:dyDescent="0.3"/>
    <row r="113" ht="15.75" customHeight="1" x14ac:dyDescent="0.3"/>
    <row r="114" ht="15.75" customHeight="1" x14ac:dyDescent="0.3"/>
    <row r="115" ht="15.75" customHeight="1" x14ac:dyDescent="0.3"/>
    <row r="116" ht="15.75" customHeight="1" x14ac:dyDescent="0.3"/>
    <row r="117" ht="15.75" customHeight="1" x14ac:dyDescent="0.3"/>
    <row r="118" ht="15.75" customHeight="1" x14ac:dyDescent="0.3"/>
    <row r="119" ht="15.75" customHeight="1" x14ac:dyDescent="0.3"/>
    <row r="120" ht="15.75" customHeight="1" x14ac:dyDescent="0.3"/>
    <row r="121" ht="15.75" customHeight="1" x14ac:dyDescent="0.3"/>
    <row r="122" ht="15.75" customHeight="1" x14ac:dyDescent="0.3"/>
    <row r="123" ht="15.75" customHeight="1" x14ac:dyDescent="0.3"/>
    <row r="124" ht="15.75" customHeight="1" x14ac:dyDescent="0.3"/>
    <row r="125" ht="15.75" customHeight="1" x14ac:dyDescent="0.3"/>
    <row r="126" ht="15.75" customHeight="1" x14ac:dyDescent="0.3"/>
    <row r="127" ht="15.75" customHeight="1" x14ac:dyDescent="0.3"/>
    <row r="128" ht="15.75" customHeight="1" x14ac:dyDescent="0.3"/>
    <row r="129" ht="15.75" customHeight="1" x14ac:dyDescent="0.3"/>
    <row r="130" ht="15.75" customHeight="1" x14ac:dyDescent="0.3"/>
    <row r="131" ht="15.75" customHeight="1" x14ac:dyDescent="0.3"/>
    <row r="132" ht="15.75" customHeight="1" x14ac:dyDescent="0.3"/>
    <row r="133" ht="15.75" customHeight="1" x14ac:dyDescent="0.3"/>
    <row r="134" ht="15.75" customHeight="1" x14ac:dyDescent="0.3"/>
    <row r="135" ht="15.75" customHeight="1" x14ac:dyDescent="0.3"/>
    <row r="136" ht="15.75" customHeight="1" x14ac:dyDescent="0.3"/>
    <row r="137" ht="15.75" customHeight="1" x14ac:dyDescent="0.3"/>
    <row r="138" ht="15.75" customHeight="1" x14ac:dyDescent="0.3"/>
    <row r="139" ht="15.75" customHeight="1" x14ac:dyDescent="0.3"/>
    <row r="140" ht="15.75" customHeight="1" x14ac:dyDescent="0.3"/>
    <row r="141" ht="15.75" customHeight="1" x14ac:dyDescent="0.3"/>
    <row r="142" ht="15.75" customHeight="1" x14ac:dyDescent="0.3"/>
    <row r="143" ht="15.75" customHeight="1" x14ac:dyDescent="0.3"/>
    <row r="144" ht="15.75" customHeight="1" x14ac:dyDescent="0.3"/>
    <row r="145" ht="15.75" customHeight="1" x14ac:dyDescent="0.3"/>
    <row r="146" ht="15.75" customHeight="1" x14ac:dyDescent="0.3"/>
    <row r="147" ht="15.75" customHeight="1" x14ac:dyDescent="0.3"/>
    <row r="148" ht="15.75" customHeight="1" x14ac:dyDescent="0.3"/>
    <row r="149" ht="15.75" customHeight="1" x14ac:dyDescent="0.3"/>
    <row r="150" ht="15.75" customHeight="1" x14ac:dyDescent="0.3"/>
    <row r="151" ht="15.75" customHeight="1" x14ac:dyDescent="0.3"/>
    <row r="152" ht="15.75" customHeight="1" x14ac:dyDescent="0.3"/>
    <row r="153" ht="15.75" customHeight="1" x14ac:dyDescent="0.3"/>
    <row r="154" ht="15.75" customHeight="1" x14ac:dyDescent="0.3"/>
    <row r="155" ht="15.75" customHeight="1" x14ac:dyDescent="0.3"/>
    <row r="156" ht="15.75" customHeight="1" x14ac:dyDescent="0.3"/>
    <row r="157" ht="15.75" customHeight="1" x14ac:dyDescent="0.3"/>
    <row r="158" ht="15.75" customHeight="1" x14ac:dyDescent="0.3"/>
    <row r="159" ht="15.75" customHeight="1" x14ac:dyDescent="0.3"/>
    <row r="160" ht="15.75" customHeight="1" x14ac:dyDescent="0.3"/>
    <row r="161" ht="15.75" customHeight="1" x14ac:dyDescent="0.3"/>
    <row r="162" ht="15.75" customHeight="1" x14ac:dyDescent="0.3"/>
    <row r="163" ht="15.75" customHeight="1" x14ac:dyDescent="0.3"/>
    <row r="164" ht="15.75" customHeight="1" x14ac:dyDescent="0.3"/>
    <row r="165" ht="15.75" customHeight="1" x14ac:dyDescent="0.3"/>
    <row r="166" ht="15.75" customHeight="1" x14ac:dyDescent="0.3"/>
    <row r="167" ht="15.75" customHeight="1" x14ac:dyDescent="0.3"/>
    <row r="168" ht="15.75" customHeight="1" x14ac:dyDescent="0.3"/>
    <row r="169" ht="15.75" customHeight="1" x14ac:dyDescent="0.3"/>
    <row r="170" ht="15.75" customHeight="1" x14ac:dyDescent="0.3"/>
    <row r="171" ht="15.75" customHeight="1" x14ac:dyDescent="0.3"/>
    <row r="172" ht="15.75" customHeight="1" x14ac:dyDescent="0.3"/>
    <row r="173" ht="15.75" customHeight="1" x14ac:dyDescent="0.3"/>
    <row r="174" ht="15.75" customHeight="1" x14ac:dyDescent="0.3"/>
    <row r="175" ht="15.75" customHeight="1" x14ac:dyDescent="0.3"/>
    <row r="176" ht="15.75" customHeight="1" x14ac:dyDescent="0.3"/>
    <row r="177" ht="15.75" customHeight="1" x14ac:dyDescent="0.3"/>
    <row r="178" ht="15.75" customHeight="1" x14ac:dyDescent="0.3"/>
    <row r="179" ht="15.75" customHeight="1" x14ac:dyDescent="0.3"/>
    <row r="180" ht="15.75" customHeight="1" x14ac:dyDescent="0.3"/>
    <row r="181" ht="15.75" customHeight="1" x14ac:dyDescent="0.3"/>
    <row r="182" ht="15.75" customHeight="1" x14ac:dyDescent="0.3"/>
    <row r="183" ht="15.75" customHeight="1" x14ac:dyDescent="0.3"/>
    <row r="184" ht="15.75" customHeight="1" x14ac:dyDescent="0.3"/>
    <row r="185" ht="15.75" customHeight="1" x14ac:dyDescent="0.3"/>
    <row r="186" ht="15.75" customHeight="1" x14ac:dyDescent="0.3"/>
    <row r="187" ht="15.75" customHeight="1" x14ac:dyDescent="0.3"/>
    <row r="188" ht="15.75" customHeight="1" x14ac:dyDescent="0.3"/>
    <row r="189" ht="15.75" customHeight="1" x14ac:dyDescent="0.3"/>
    <row r="190" ht="15.75" customHeight="1" x14ac:dyDescent="0.3"/>
    <row r="191" ht="15.75" customHeight="1" x14ac:dyDescent="0.3"/>
    <row r="192" ht="15.75" customHeight="1" x14ac:dyDescent="0.3"/>
    <row r="193" ht="15.75" customHeight="1" x14ac:dyDescent="0.3"/>
    <row r="194" ht="15.75" customHeight="1" x14ac:dyDescent="0.3"/>
    <row r="195" ht="15.75" customHeight="1" x14ac:dyDescent="0.3"/>
    <row r="196" ht="15.75" customHeight="1" x14ac:dyDescent="0.3"/>
    <row r="197" ht="15.75" customHeight="1" x14ac:dyDescent="0.3"/>
    <row r="198" ht="15.75" customHeight="1" x14ac:dyDescent="0.3"/>
    <row r="199" ht="15.75" customHeight="1" x14ac:dyDescent="0.3"/>
    <row r="200" ht="15.75" customHeight="1" x14ac:dyDescent="0.3"/>
    <row r="201" ht="15.75" customHeight="1" x14ac:dyDescent="0.3"/>
    <row r="202" ht="15.75" customHeight="1" x14ac:dyDescent="0.3"/>
    <row r="203" ht="15.75" customHeight="1" x14ac:dyDescent="0.3"/>
    <row r="204" ht="15.75" customHeight="1" x14ac:dyDescent="0.3"/>
    <row r="205" ht="15.75" customHeight="1" x14ac:dyDescent="0.3"/>
    <row r="206" ht="15.75" customHeight="1" x14ac:dyDescent="0.3"/>
    <row r="207" ht="15.75" customHeight="1" x14ac:dyDescent="0.3"/>
    <row r="208" ht="15.75" customHeight="1" x14ac:dyDescent="0.3"/>
    <row r="209" ht="15.75" customHeight="1" x14ac:dyDescent="0.3"/>
    <row r="210" ht="15.7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5" right="0.75" top="1" bottom="1" header="0" footer="0"/>
  <pageSetup orientation="landscape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56FFFE3-811D-41CF-9E70-BF34D12584F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Table1</vt:lpstr>
      <vt:lpstr>Task 6</vt:lpstr>
      <vt:lpstr>Task 5.2</vt:lpstr>
      <vt:lpstr>Task 5</vt:lpstr>
      <vt:lpstr>Task 4.2</vt:lpstr>
      <vt:lpstr>Task 4</vt:lpstr>
      <vt:lpstr>Task 3</vt:lpstr>
      <vt:lpstr>Task2.3.2</vt:lpstr>
      <vt:lpstr>Task 2</vt:lpstr>
      <vt:lpstr>Task 1</vt:lpstr>
      <vt:lpstr>Sheet5</vt:lpstr>
      <vt:lpstr>Posts</vt:lpstr>
      <vt:lpstr>Engagement Summary</vt:lpstr>
      <vt:lpstr>Merge3</vt:lpstr>
      <vt:lpstr>Merge2</vt:lpstr>
      <vt:lpstr>Merge1</vt:lpstr>
      <vt:lpstr>Campaign Metadata (2)</vt:lpstr>
      <vt:lpstr>Campaign 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SOURIN DHUA</dc:creator>
  <cp:lastModifiedBy>SOURIN DHUA</cp:lastModifiedBy>
  <dcterms:created xsi:type="dcterms:W3CDTF">2025-10-31T14:12:03Z</dcterms:created>
  <dcterms:modified xsi:type="dcterms:W3CDTF">2025-11-12T17:34:22Z</dcterms:modified>
</cp:coreProperties>
</file>